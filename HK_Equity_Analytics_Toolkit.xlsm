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bookViews>
    <workbookView xWindow="0" yWindow="0" windowWidth="23040" windowHeight="8628" tabRatio="500"/>
  </bookViews>
  <sheets>
    <sheet name="README" sheetId="1" r:id="rId1"/>
    <sheet name="Dashboard" sheetId="2" r:id="rId2"/>
    <sheet name="Stats" sheetId="3" r:id="rId3"/>
    <sheet name="Correlation" sheetId="4" r:id="rId4"/>
    <sheet name="Monthly" sheetId="5" r:id="rId5"/>
    <sheet name="Prices" sheetId="6" r:id="rId6"/>
    <sheet name="Returns" sheetId="7" r:id="rId7"/>
    <sheet name="Drawdown" sheetId="8" r:id="rId8"/>
    <sheet name="Data" sheetId="9" r:id="rId9"/>
    <sheet name="Calc" sheetId="10" r:id="rId10"/>
  </sheets>
  <functionGroups builtInGroupCount="18"/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57" i="10" l="1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F51" i="10"/>
  <c r="A51" i="10"/>
  <c r="F50" i="10"/>
  <c r="A50" i="10"/>
  <c r="F49" i="10"/>
  <c r="A49" i="10"/>
  <c r="F48" i="10"/>
  <c r="A48" i="10"/>
  <c r="F47" i="10"/>
  <c r="A47" i="10"/>
  <c r="F46" i="10"/>
  <c r="A46" i="10"/>
  <c r="F45" i="10"/>
  <c r="A45" i="10"/>
  <c r="F44" i="10"/>
  <c r="A44" i="10"/>
  <c r="F43" i="10"/>
  <c r="A43" i="10"/>
  <c r="F42" i="10"/>
  <c r="A42" i="10"/>
  <c r="F41" i="10"/>
  <c r="A41" i="10"/>
  <c r="F40" i="10"/>
  <c r="A40" i="10"/>
  <c r="F39" i="10"/>
  <c r="A39" i="10"/>
  <c r="F38" i="10"/>
  <c r="A38" i="10"/>
  <c r="F37" i="10"/>
  <c r="A37" i="10"/>
  <c r="F36" i="10"/>
  <c r="A36" i="10"/>
  <c r="F35" i="10"/>
  <c r="A35" i="10"/>
  <c r="F34" i="10"/>
  <c r="A34" i="10"/>
  <c r="F33" i="10"/>
  <c r="A33" i="10"/>
  <c r="F32" i="10"/>
  <c r="A32" i="10"/>
  <c r="F31" i="10"/>
  <c r="A31" i="10"/>
  <c r="F30" i="10"/>
  <c r="A30" i="10"/>
  <c r="F29" i="10"/>
  <c r="A29" i="10"/>
  <c r="F28" i="10"/>
  <c r="A28" i="10"/>
  <c r="F27" i="10"/>
  <c r="A27" i="10"/>
  <c r="F26" i="10"/>
  <c r="A26" i="10"/>
  <c r="F25" i="10"/>
  <c r="A25" i="10"/>
  <c r="F24" i="10"/>
  <c r="A24" i="10"/>
  <c r="F23" i="10"/>
  <c r="A23" i="10"/>
  <c r="F22" i="10"/>
  <c r="A22" i="10"/>
  <c r="F21" i="10"/>
  <c r="A21" i="10"/>
  <c r="F20" i="10"/>
  <c r="A20" i="10"/>
  <c r="F19" i="10"/>
  <c r="A19" i="10"/>
  <c r="F18" i="10"/>
  <c r="A18" i="10"/>
  <c r="F17" i="10"/>
  <c r="A17" i="10"/>
  <c r="F16" i="10"/>
  <c r="A16" i="10"/>
  <c r="F15" i="10"/>
  <c r="A15" i="10"/>
  <c r="F14" i="10"/>
  <c r="A14" i="10"/>
  <c r="F13" i="10"/>
  <c r="A13" i="10"/>
  <c r="F12" i="10"/>
  <c r="A12" i="10"/>
  <c r="F11" i="10"/>
  <c r="A11" i="10"/>
  <c r="F10" i="10"/>
  <c r="A10" i="10"/>
  <c r="F9" i="10"/>
  <c r="A9" i="10"/>
  <c r="F8" i="10"/>
  <c r="A8" i="10"/>
  <c r="F7" i="10"/>
  <c r="A7" i="10"/>
  <c r="F6" i="10"/>
  <c r="A6" i="10"/>
  <c r="F5" i="10"/>
  <c r="A5" i="10"/>
  <c r="F4" i="10"/>
  <c r="A4" i="10"/>
  <c r="F3" i="10"/>
  <c r="A3" i="10"/>
  <c r="A2" i="10"/>
  <c r="F1281" i="9"/>
  <c r="E1281" i="9"/>
  <c r="F1280" i="9"/>
  <c r="E1280" i="9"/>
  <c r="F1279" i="9"/>
  <c r="E1279" i="9"/>
  <c r="F1278" i="9"/>
  <c r="E1278" i="9"/>
  <c r="F1277" i="9"/>
  <c r="E1277" i="9"/>
  <c r="F1276" i="9"/>
  <c r="E1276" i="9"/>
  <c r="F1275" i="9"/>
  <c r="E1275" i="9"/>
  <c r="F1274" i="9"/>
  <c r="E1274" i="9"/>
  <c r="F1273" i="9"/>
  <c r="E1273" i="9"/>
  <c r="F1272" i="9"/>
  <c r="E1272" i="9"/>
  <c r="F1271" i="9"/>
  <c r="E1271" i="9"/>
  <c r="F1270" i="9"/>
  <c r="E1270" i="9"/>
  <c r="F1269" i="9"/>
  <c r="E1269" i="9"/>
  <c r="F1268" i="9"/>
  <c r="E1268" i="9"/>
  <c r="F1267" i="9"/>
  <c r="E1267" i="9"/>
  <c r="F1266" i="9"/>
  <c r="E1266" i="9"/>
  <c r="F1265" i="9"/>
  <c r="E1265" i="9"/>
  <c r="F1264" i="9"/>
  <c r="E1264" i="9"/>
  <c r="F1263" i="9"/>
  <c r="E1263" i="9"/>
  <c r="F1262" i="9"/>
  <c r="E1262" i="9"/>
  <c r="F1261" i="9"/>
  <c r="E1261" i="9"/>
  <c r="F1260" i="9"/>
  <c r="E1260" i="9"/>
  <c r="F1259" i="9"/>
  <c r="E1259" i="9"/>
  <c r="F1258" i="9"/>
  <c r="E1258" i="9"/>
  <c r="F1257" i="9"/>
  <c r="E1257" i="9"/>
  <c r="F1256" i="9"/>
  <c r="E1256" i="9"/>
  <c r="F1255" i="9"/>
  <c r="E1255" i="9"/>
  <c r="F1254" i="9"/>
  <c r="E1254" i="9"/>
  <c r="F1253" i="9"/>
  <c r="E1253" i="9"/>
  <c r="F1252" i="9"/>
  <c r="E1252" i="9"/>
  <c r="F1251" i="9"/>
  <c r="E1251" i="9"/>
  <c r="F1250" i="9"/>
  <c r="E1250" i="9"/>
  <c r="F1249" i="9"/>
  <c r="E1249" i="9"/>
  <c r="F1248" i="9"/>
  <c r="E1248" i="9"/>
  <c r="F1247" i="9"/>
  <c r="E1247" i="9"/>
  <c r="F1246" i="9"/>
  <c r="E1246" i="9"/>
  <c r="F1245" i="9"/>
  <c r="E1245" i="9"/>
  <c r="F1244" i="9"/>
  <c r="E1244" i="9"/>
  <c r="F1243" i="9"/>
  <c r="E1243" i="9"/>
  <c r="F1242" i="9"/>
  <c r="E1242" i="9"/>
  <c r="F1241" i="9"/>
  <c r="E1241" i="9"/>
  <c r="F1240" i="9"/>
  <c r="E1240" i="9"/>
  <c r="F1239" i="9"/>
  <c r="E1239" i="9"/>
  <c r="F1238" i="9"/>
  <c r="E1238" i="9"/>
  <c r="F1237" i="9"/>
  <c r="E1237" i="9"/>
  <c r="F1236" i="9"/>
  <c r="E1236" i="9"/>
  <c r="F1235" i="9"/>
  <c r="E1235" i="9"/>
  <c r="F1234" i="9"/>
  <c r="E1234" i="9"/>
  <c r="F1233" i="9"/>
  <c r="E1233" i="9"/>
  <c r="F1232" i="9"/>
  <c r="E1232" i="9"/>
  <c r="F1231" i="9"/>
  <c r="E1231" i="9"/>
  <c r="F1230" i="9"/>
  <c r="E1230" i="9"/>
  <c r="F1229" i="9"/>
  <c r="E1229" i="9"/>
  <c r="F1228" i="9"/>
  <c r="E1228" i="9"/>
  <c r="F1227" i="9"/>
  <c r="E1227" i="9"/>
  <c r="F1226" i="9"/>
  <c r="E1226" i="9"/>
  <c r="F1225" i="9"/>
  <c r="E1225" i="9"/>
  <c r="F1224" i="9"/>
  <c r="E1224" i="9"/>
  <c r="F1223" i="9"/>
  <c r="E1223" i="9"/>
  <c r="F1222" i="9"/>
  <c r="E1222" i="9"/>
  <c r="F1221" i="9"/>
  <c r="E1221" i="9"/>
  <c r="F1220" i="9"/>
  <c r="E1220" i="9"/>
  <c r="F1219" i="9"/>
  <c r="E1219" i="9"/>
  <c r="F1218" i="9"/>
  <c r="E1218" i="9"/>
  <c r="F1217" i="9"/>
  <c r="E1217" i="9"/>
  <c r="F1216" i="9"/>
  <c r="E1216" i="9"/>
  <c r="F1215" i="9"/>
  <c r="E1215" i="9"/>
  <c r="F1214" i="9"/>
  <c r="E1214" i="9"/>
  <c r="F1213" i="9"/>
  <c r="E1213" i="9"/>
  <c r="F1212" i="9"/>
  <c r="E1212" i="9"/>
  <c r="F1211" i="9"/>
  <c r="E1211" i="9"/>
  <c r="F1210" i="9"/>
  <c r="E1210" i="9"/>
  <c r="F1209" i="9"/>
  <c r="E1209" i="9"/>
  <c r="F1208" i="9"/>
  <c r="E1208" i="9"/>
  <c r="F1207" i="9"/>
  <c r="E1207" i="9"/>
  <c r="F1206" i="9"/>
  <c r="E1206" i="9"/>
  <c r="F1205" i="9"/>
  <c r="E1205" i="9"/>
  <c r="F1204" i="9"/>
  <c r="E1204" i="9"/>
  <c r="F1203" i="9"/>
  <c r="E1203" i="9"/>
  <c r="F1202" i="9"/>
  <c r="E1202" i="9"/>
  <c r="F1201" i="9"/>
  <c r="E1201" i="9"/>
  <c r="F1200" i="9"/>
  <c r="E1200" i="9"/>
  <c r="F1199" i="9"/>
  <c r="E1199" i="9"/>
  <c r="F1198" i="9"/>
  <c r="E1198" i="9"/>
  <c r="F1197" i="9"/>
  <c r="E1197" i="9"/>
  <c r="F1196" i="9"/>
  <c r="E1196" i="9"/>
  <c r="F1195" i="9"/>
  <c r="E1195" i="9"/>
  <c r="F1194" i="9"/>
  <c r="E1194" i="9"/>
  <c r="F1193" i="9"/>
  <c r="E1193" i="9"/>
  <c r="F1192" i="9"/>
  <c r="E1192" i="9"/>
  <c r="F1191" i="9"/>
  <c r="E1191" i="9"/>
  <c r="F1190" i="9"/>
  <c r="E1190" i="9"/>
  <c r="F1189" i="9"/>
  <c r="E1189" i="9"/>
  <c r="F1188" i="9"/>
  <c r="E1188" i="9"/>
  <c r="F1187" i="9"/>
  <c r="E1187" i="9"/>
  <c r="F1186" i="9"/>
  <c r="E1186" i="9"/>
  <c r="F1185" i="9"/>
  <c r="E1185" i="9"/>
  <c r="F1184" i="9"/>
  <c r="E1184" i="9"/>
  <c r="F1183" i="9"/>
  <c r="E1183" i="9"/>
  <c r="F1182" i="9"/>
  <c r="E1182" i="9"/>
  <c r="F1181" i="9"/>
  <c r="E1181" i="9"/>
  <c r="F1180" i="9"/>
  <c r="E1180" i="9"/>
  <c r="F1179" i="9"/>
  <c r="E1179" i="9"/>
  <c r="F1178" i="9"/>
  <c r="E1178" i="9"/>
  <c r="F1177" i="9"/>
  <c r="E1177" i="9"/>
  <c r="F1176" i="9"/>
  <c r="E1176" i="9"/>
  <c r="F1175" i="9"/>
  <c r="E1175" i="9"/>
  <c r="F1174" i="9"/>
  <c r="E1174" i="9"/>
  <c r="F1173" i="9"/>
  <c r="E1173" i="9"/>
  <c r="F1172" i="9"/>
  <c r="E1172" i="9"/>
  <c r="F1171" i="9"/>
  <c r="E1171" i="9"/>
  <c r="F1170" i="9"/>
  <c r="E1170" i="9"/>
  <c r="F1169" i="9"/>
  <c r="E1169" i="9"/>
  <c r="F1168" i="9"/>
  <c r="E1168" i="9"/>
  <c r="F1167" i="9"/>
  <c r="E1167" i="9"/>
  <c r="F1166" i="9"/>
  <c r="E1166" i="9"/>
  <c r="F1165" i="9"/>
  <c r="E1165" i="9"/>
  <c r="F1164" i="9"/>
  <c r="E1164" i="9"/>
  <c r="F1163" i="9"/>
  <c r="E1163" i="9"/>
  <c r="F1162" i="9"/>
  <c r="E1162" i="9"/>
  <c r="F1161" i="9"/>
  <c r="E1161" i="9"/>
  <c r="F1160" i="9"/>
  <c r="E1160" i="9"/>
  <c r="F1159" i="9"/>
  <c r="E1159" i="9"/>
  <c r="F1158" i="9"/>
  <c r="E1158" i="9"/>
  <c r="F1157" i="9"/>
  <c r="E1157" i="9"/>
  <c r="F1156" i="9"/>
  <c r="E1156" i="9"/>
  <c r="F1155" i="9"/>
  <c r="E1155" i="9"/>
  <c r="F1154" i="9"/>
  <c r="E1154" i="9"/>
  <c r="F1153" i="9"/>
  <c r="E1153" i="9"/>
  <c r="F1152" i="9"/>
  <c r="E1152" i="9"/>
  <c r="F1151" i="9"/>
  <c r="E1151" i="9"/>
  <c r="F1150" i="9"/>
  <c r="E1150" i="9"/>
  <c r="F1149" i="9"/>
  <c r="E1149" i="9"/>
  <c r="F1148" i="9"/>
  <c r="E1148" i="9"/>
  <c r="F1147" i="9"/>
  <c r="E1147" i="9"/>
  <c r="F1146" i="9"/>
  <c r="E1146" i="9"/>
  <c r="F1145" i="9"/>
  <c r="E1145" i="9"/>
  <c r="F1144" i="9"/>
  <c r="E1144" i="9"/>
  <c r="F1143" i="9"/>
  <c r="E1143" i="9"/>
  <c r="F1142" i="9"/>
  <c r="E1142" i="9"/>
  <c r="F1141" i="9"/>
  <c r="E1141" i="9"/>
  <c r="F1140" i="9"/>
  <c r="E1140" i="9"/>
  <c r="F1139" i="9"/>
  <c r="E1139" i="9"/>
  <c r="F1138" i="9"/>
  <c r="E1138" i="9"/>
  <c r="F1137" i="9"/>
  <c r="E1137" i="9"/>
  <c r="F1136" i="9"/>
  <c r="E1136" i="9"/>
  <c r="F1135" i="9"/>
  <c r="E1135" i="9"/>
  <c r="F1134" i="9"/>
  <c r="E1134" i="9"/>
  <c r="F1133" i="9"/>
  <c r="E1133" i="9"/>
  <c r="F1132" i="9"/>
  <c r="E1132" i="9"/>
  <c r="F1131" i="9"/>
  <c r="E1131" i="9"/>
  <c r="F1130" i="9"/>
  <c r="E1130" i="9"/>
  <c r="F1129" i="9"/>
  <c r="E1129" i="9"/>
  <c r="F1128" i="9"/>
  <c r="E1128" i="9"/>
  <c r="F1127" i="9"/>
  <c r="E1127" i="9"/>
  <c r="F1126" i="9"/>
  <c r="E1126" i="9"/>
  <c r="F1125" i="9"/>
  <c r="E1125" i="9"/>
  <c r="F1124" i="9"/>
  <c r="E1124" i="9"/>
  <c r="F1123" i="9"/>
  <c r="E1123" i="9"/>
  <c r="F1122" i="9"/>
  <c r="E1122" i="9"/>
  <c r="F1121" i="9"/>
  <c r="E1121" i="9"/>
  <c r="F1120" i="9"/>
  <c r="E1120" i="9"/>
  <c r="F1119" i="9"/>
  <c r="E1119" i="9"/>
  <c r="F1118" i="9"/>
  <c r="E1118" i="9"/>
  <c r="F1117" i="9"/>
  <c r="E1117" i="9"/>
  <c r="F1116" i="9"/>
  <c r="E1116" i="9"/>
  <c r="F1115" i="9"/>
  <c r="E1115" i="9"/>
  <c r="F1114" i="9"/>
  <c r="E1114" i="9"/>
  <c r="F1113" i="9"/>
  <c r="E1113" i="9"/>
  <c r="F1112" i="9"/>
  <c r="E1112" i="9"/>
  <c r="F1111" i="9"/>
  <c r="E1111" i="9"/>
  <c r="F1110" i="9"/>
  <c r="E1110" i="9"/>
  <c r="F1109" i="9"/>
  <c r="E1109" i="9"/>
  <c r="F1108" i="9"/>
  <c r="E1108" i="9"/>
  <c r="F1107" i="9"/>
  <c r="E1107" i="9"/>
  <c r="F1106" i="9"/>
  <c r="E1106" i="9"/>
  <c r="F1105" i="9"/>
  <c r="E1105" i="9"/>
  <c r="F1104" i="9"/>
  <c r="E1104" i="9"/>
  <c r="F1103" i="9"/>
  <c r="E1103" i="9"/>
  <c r="F1102" i="9"/>
  <c r="E1102" i="9"/>
  <c r="F1101" i="9"/>
  <c r="E1101" i="9"/>
  <c r="F1100" i="9"/>
  <c r="E1100" i="9"/>
  <c r="F1099" i="9"/>
  <c r="E1099" i="9"/>
  <c r="F1098" i="9"/>
  <c r="E1098" i="9"/>
  <c r="F1097" i="9"/>
  <c r="E1097" i="9"/>
  <c r="F1096" i="9"/>
  <c r="E1096" i="9"/>
  <c r="F1095" i="9"/>
  <c r="E1095" i="9"/>
  <c r="F1094" i="9"/>
  <c r="E1094" i="9"/>
  <c r="F1093" i="9"/>
  <c r="E1093" i="9"/>
  <c r="F1092" i="9"/>
  <c r="E1092" i="9"/>
  <c r="F1091" i="9"/>
  <c r="E1091" i="9"/>
  <c r="F1090" i="9"/>
  <c r="E1090" i="9"/>
  <c r="F1089" i="9"/>
  <c r="E1089" i="9"/>
  <c r="F1088" i="9"/>
  <c r="E1088" i="9"/>
  <c r="F1087" i="9"/>
  <c r="E1087" i="9"/>
  <c r="F1086" i="9"/>
  <c r="E1086" i="9"/>
  <c r="F1085" i="9"/>
  <c r="E1085" i="9"/>
  <c r="F1084" i="9"/>
  <c r="E1084" i="9"/>
  <c r="F1083" i="9"/>
  <c r="E1083" i="9"/>
  <c r="F1082" i="9"/>
  <c r="E1082" i="9"/>
  <c r="F1081" i="9"/>
  <c r="E1081" i="9"/>
  <c r="F1080" i="9"/>
  <c r="E1080" i="9"/>
  <c r="F1079" i="9"/>
  <c r="E1079" i="9"/>
  <c r="F1078" i="9"/>
  <c r="E1078" i="9"/>
  <c r="F1077" i="9"/>
  <c r="E1077" i="9"/>
  <c r="F1076" i="9"/>
  <c r="E1076" i="9"/>
  <c r="F1075" i="9"/>
  <c r="E1075" i="9"/>
  <c r="F1074" i="9"/>
  <c r="E1074" i="9"/>
  <c r="F1073" i="9"/>
  <c r="E1073" i="9"/>
  <c r="F1072" i="9"/>
  <c r="E1072" i="9"/>
  <c r="F1071" i="9"/>
  <c r="E1071" i="9"/>
  <c r="F1070" i="9"/>
  <c r="E1070" i="9"/>
  <c r="F1069" i="9"/>
  <c r="E1069" i="9"/>
  <c r="F1068" i="9"/>
  <c r="E1068" i="9"/>
  <c r="F1067" i="9"/>
  <c r="E1067" i="9"/>
  <c r="F1066" i="9"/>
  <c r="E1066" i="9"/>
  <c r="F1065" i="9"/>
  <c r="E1065" i="9"/>
  <c r="F1064" i="9"/>
  <c r="E1064" i="9"/>
  <c r="F1063" i="9"/>
  <c r="E1063" i="9"/>
  <c r="F1062" i="9"/>
  <c r="E1062" i="9"/>
  <c r="F1061" i="9"/>
  <c r="E1061" i="9"/>
  <c r="F1060" i="9"/>
  <c r="E1060" i="9"/>
  <c r="F1059" i="9"/>
  <c r="E1059" i="9"/>
  <c r="F1058" i="9"/>
  <c r="E1058" i="9"/>
  <c r="F1057" i="9"/>
  <c r="E1057" i="9"/>
  <c r="F1056" i="9"/>
  <c r="E1056" i="9"/>
  <c r="F1055" i="9"/>
  <c r="E1055" i="9"/>
  <c r="F1054" i="9"/>
  <c r="E1054" i="9"/>
  <c r="F1053" i="9"/>
  <c r="E1053" i="9"/>
  <c r="F1052" i="9"/>
  <c r="E1052" i="9"/>
  <c r="F1051" i="9"/>
  <c r="E1051" i="9"/>
  <c r="F1050" i="9"/>
  <c r="E1050" i="9"/>
  <c r="F1049" i="9"/>
  <c r="E1049" i="9"/>
  <c r="F1048" i="9"/>
  <c r="E1048" i="9"/>
  <c r="F1047" i="9"/>
  <c r="E1047" i="9"/>
  <c r="F1046" i="9"/>
  <c r="E1046" i="9"/>
  <c r="F1045" i="9"/>
  <c r="E1045" i="9"/>
  <c r="F1044" i="9"/>
  <c r="E1044" i="9"/>
  <c r="F1043" i="9"/>
  <c r="E1043" i="9"/>
  <c r="F1042" i="9"/>
  <c r="E1042" i="9"/>
  <c r="F1041" i="9"/>
  <c r="E1041" i="9"/>
  <c r="F1040" i="9"/>
  <c r="E1040" i="9"/>
  <c r="F1039" i="9"/>
  <c r="E1039" i="9"/>
  <c r="F1038" i="9"/>
  <c r="E1038" i="9"/>
  <c r="F1037" i="9"/>
  <c r="E1037" i="9"/>
  <c r="F1036" i="9"/>
  <c r="E1036" i="9"/>
  <c r="F1035" i="9"/>
  <c r="E1035" i="9"/>
  <c r="F1034" i="9"/>
  <c r="E1034" i="9"/>
  <c r="F1033" i="9"/>
  <c r="E1033" i="9"/>
  <c r="F1032" i="9"/>
  <c r="E1032" i="9"/>
  <c r="F1031" i="9"/>
  <c r="E1031" i="9"/>
  <c r="F1030" i="9"/>
  <c r="E1030" i="9"/>
  <c r="F1029" i="9"/>
  <c r="E1029" i="9"/>
  <c r="F1028" i="9"/>
  <c r="E1028" i="9"/>
  <c r="F1027" i="9"/>
  <c r="E1027" i="9"/>
  <c r="F1026" i="9"/>
  <c r="E1026" i="9"/>
  <c r="F1025" i="9"/>
  <c r="E1025" i="9"/>
  <c r="F1024" i="9"/>
  <c r="E1024" i="9"/>
  <c r="F1023" i="9"/>
  <c r="E1023" i="9"/>
  <c r="F1022" i="9"/>
  <c r="E1022" i="9"/>
  <c r="F1021" i="9"/>
  <c r="E1021" i="9"/>
  <c r="F1020" i="9"/>
  <c r="E1020" i="9"/>
  <c r="F1019" i="9"/>
  <c r="E1019" i="9"/>
  <c r="F1018" i="9"/>
  <c r="E1018" i="9"/>
  <c r="F1017" i="9"/>
  <c r="E1017" i="9"/>
  <c r="F1016" i="9"/>
  <c r="E1016" i="9"/>
  <c r="F1015" i="9"/>
  <c r="E1015" i="9"/>
  <c r="F1014" i="9"/>
  <c r="E1014" i="9"/>
  <c r="F1013" i="9"/>
  <c r="E1013" i="9"/>
  <c r="F1012" i="9"/>
  <c r="E1012" i="9"/>
  <c r="F1011" i="9"/>
  <c r="E1011" i="9"/>
  <c r="F1010" i="9"/>
  <c r="E1010" i="9"/>
  <c r="F1009" i="9"/>
  <c r="E1009" i="9"/>
  <c r="F1008" i="9"/>
  <c r="E1008" i="9"/>
  <c r="F1007" i="9"/>
  <c r="E1007" i="9"/>
  <c r="F1006" i="9"/>
  <c r="E1006" i="9"/>
  <c r="F1005" i="9"/>
  <c r="E1005" i="9"/>
  <c r="F1004" i="9"/>
  <c r="E1004" i="9"/>
  <c r="F1003" i="9"/>
  <c r="E1003" i="9"/>
  <c r="F1002" i="9"/>
  <c r="E1002" i="9"/>
  <c r="F1001" i="9"/>
  <c r="E1001" i="9"/>
  <c r="F1000" i="9"/>
  <c r="E1000" i="9"/>
  <c r="F999" i="9"/>
  <c r="E999" i="9"/>
  <c r="F998" i="9"/>
  <c r="E998" i="9"/>
  <c r="F997" i="9"/>
  <c r="E997" i="9"/>
  <c r="F996" i="9"/>
  <c r="E996" i="9"/>
  <c r="F995" i="9"/>
  <c r="E995" i="9"/>
  <c r="F994" i="9"/>
  <c r="E994" i="9"/>
  <c r="F993" i="9"/>
  <c r="E993" i="9"/>
  <c r="F992" i="9"/>
  <c r="E992" i="9"/>
  <c r="F991" i="9"/>
  <c r="E991" i="9"/>
  <c r="F990" i="9"/>
  <c r="E990" i="9"/>
  <c r="F989" i="9"/>
  <c r="E989" i="9"/>
  <c r="F988" i="9"/>
  <c r="E988" i="9"/>
  <c r="F987" i="9"/>
  <c r="E987" i="9"/>
  <c r="F986" i="9"/>
  <c r="E986" i="9"/>
  <c r="F985" i="9"/>
  <c r="E985" i="9"/>
  <c r="F984" i="9"/>
  <c r="E984" i="9"/>
  <c r="F983" i="9"/>
  <c r="E983" i="9"/>
  <c r="F982" i="9"/>
  <c r="E982" i="9"/>
  <c r="F981" i="9"/>
  <c r="E981" i="9"/>
  <c r="F980" i="9"/>
  <c r="E980" i="9"/>
  <c r="F979" i="9"/>
  <c r="E979" i="9"/>
  <c r="F978" i="9"/>
  <c r="E978" i="9"/>
  <c r="F977" i="9"/>
  <c r="E977" i="9"/>
  <c r="F976" i="9"/>
  <c r="E976" i="9"/>
  <c r="F975" i="9"/>
  <c r="E975" i="9"/>
  <c r="F974" i="9"/>
  <c r="E974" i="9"/>
  <c r="F973" i="9"/>
  <c r="E973" i="9"/>
  <c r="F972" i="9"/>
  <c r="E972" i="9"/>
  <c r="F971" i="9"/>
  <c r="E971" i="9"/>
  <c r="F970" i="9"/>
  <c r="E970" i="9"/>
  <c r="F969" i="9"/>
  <c r="E969" i="9"/>
  <c r="F968" i="9"/>
  <c r="E968" i="9"/>
  <c r="F967" i="9"/>
  <c r="E967" i="9"/>
  <c r="F966" i="9"/>
  <c r="E966" i="9"/>
  <c r="F965" i="9"/>
  <c r="E965" i="9"/>
  <c r="F964" i="9"/>
  <c r="E964" i="9"/>
  <c r="F963" i="9"/>
  <c r="E963" i="9"/>
  <c r="F962" i="9"/>
  <c r="E962" i="9"/>
  <c r="F961" i="9"/>
  <c r="E961" i="9"/>
  <c r="F960" i="9"/>
  <c r="E960" i="9"/>
  <c r="F959" i="9"/>
  <c r="E959" i="9"/>
  <c r="F958" i="9"/>
  <c r="E958" i="9"/>
  <c r="F957" i="9"/>
  <c r="E957" i="9"/>
  <c r="F956" i="9"/>
  <c r="E956" i="9"/>
  <c r="F955" i="9"/>
  <c r="E955" i="9"/>
  <c r="F954" i="9"/>
  <c r="E954" i="9"/>
  <c r="F953" i="9"/>
  <c r="E953" i="9"/>
  <c r="F952" i="9"/>
  <c r="E952" i="9"/>
  <c r="F951" i="9"/>
  <c r="E951" i="9"/>
  <c r="F950" i="9"/>
  <c r="E950" i="9"/>
  <c r="F949" i="9"/>
  <c r="E949" i="9"/>
  <c r="F948" i="9"/>
  <c r="E948" i="9"/>
  <c r="F947" i="9"/>
  <c r="E947" i="9"/>
  <c r="F946" i="9"/>
  <c r="E946" i="9"/>
  <c r="F945" i="9"/>
  <c r="E945" i="9"/>
  <c r="F944" i="9"/>
  <c r="E944" i="9"/>
  <c r="F943" i="9"/>
  <c r="E943" i="9"/>
  <c r="F942" i="9"/>
  <c r="E942" i="9"/>
  <c r="F941" i="9"/>
  <c r="E941" i="9"/>
  <c r="F940" i="9"/>
  <c r="E940" i="9"/>
  <c r="F939" i="9"/>
  <c r="E939" i="9"/>
  <c r="F938" i="9"/>
  <c r="E938" i="9"/>
  <c r="F937" i="9"/>
  <c r="E937" i="9"/>
  <c r="F936" i="9"/>
  <c r="E936" i="9"/>
  <c r="F935" i="9"/>
  <c r="E935" i="9"/>
  <c r="F934" i="9"/>
  <c r="E934" i="9"/>
  <c r="F933" i="9"/>
  <c r="E933" i="9"/>
  <c r="F932" i="9"/>
  <c r="E932" i="9"/>
  <c r="F931" i="9"/>
  <c r="E931" i="9"/>
  <c r="F930" i="9"/>
  <c r="E930" i="9"/>
  <c r="F929" i="9"/>
  <c r="E929" i="9"/>
  <c r="F928" i="9"/>
  <c r="E928" i="9"/>
  <c r="F927" i="9"/>
  <c r="E927" i="9"/>
  <c r="F926" i="9"/>
  <c r="E926" i="9"/>
  <c r="F925" i="9"/>
  <c r="E925" i="9"/>
  <c r="F924" i="9"/>
  <c r="E924" i="9"/>
  <c r="F923" i="9"/>
  <c r="E923" i="9"/>
  <c r="F922" i="9"/>
  <c r="E922" i="9"/>
  <c r="F921" i="9"/>
  <c r="E921" i="9"/>
  <c r="F920" i="9"/>
  <c r="E920" i="9"/>
  <c r="F919" i="9"/>
  <c r="E919" i="9"/>
  <c r="F918" i="9"/>
  <c r="E918" i="9"/>
  <c r="F917" i="9"/>
  <c r="E917" i="9"/>
  <c r="F916" i="9"/>
  <c r="E916" i="9"/>
  <c r="F915" i="9"/>
  <c r="E915" i="9"/>
  <c r="F914" i="9"/>
  <c r="E914" i="9"/>
  <c r="F913" i="9"/>
  <c r="E913" i="9"/>
  <c r="F912" i="9"/>
  <c r="E912" i="9"/>
  <c r="F911" i="9"/>
  <c r="E911" i="9"/>
  <c r="F910" i="9"/>
  <c r="E910" i="9"/>
  <c r="F909" i="9"/>
  <c r="E909" i="9"/>
  <c r="F908" i="9"/>
  <c r="E908" i="9"/>
  <c r="F907" i="9"/>
  <c r="E907" i="9"/>
  <c r="F906" i="9"/>
  <c r="E906" i="9"/>
  <c r="F905" i="9"/>
  <c r="E905" i="9"/>
  <c r="F904" i="9"/>
  <c r="E904" i="9"/>
  <c r="F903" i="9"/>
  <c r="E903" i="9"/>
  <c r="F902" i="9"/>
  <c r="E902" i="9"/>
  <c r="F901" i="9"/>
  <c r="E901" i="9"/>
  <c r="F900" i="9"/>
  <c r="E900" i="9"/>
  <c r="F899" i="9"/>
  <c r="E899" i="9"/>
  <c r="F898" i="9"/>
  <c r="E898" i="9"/>
  <c r="F897" i="9"/>
  <c r="E897" i="9"/>
  <c r="F896" i="9"/>
  <c r="E896" i="9"/>
  <c r="F895" i="9"/>
  <c r="E895" i="9"/>
  <c r="F894" i="9"/>
  <c r="E894" i="9"/>
  <c r="F893" i="9"/>
  <c r="E893" i="9"/>
  <c r="F892" i="9"/>
  <c r="E892" i="9"/>
  <c r="F891" i="9"/>
  <c r="E891" i="9"/>
  <c r="F890" i="9"/>
  <c r="E890" i="9"/>
  <c r="F889" i="9"/>
  <c r="E889" i="9"/>
  <c r="F888" i="9"/>
  <c r="E888" i="9"/>
  <c r="F887" i="9"/>
  <c r="E887" i="9"/>
  <c r="F886" i="9"/>
  <c r="E886" i="9"/>
  <c r="F885" i="9"/>
  <c r="E885" i="9"/>
  <c r="F884" i="9"/>
  <c r="E884" i="9"/>
  <c r="F883" i="9"/>
  <c r="E883" i="9"/>
  <c r="F882" i="9"/>
  <c r="E882" i="9"/>
  <c r="F881" i="9"/>
  <c r="E881" i="9"/>
  <c r="F880" i="9"/>
  <c r="E880" i="9"/>
  <c r="F879" i="9"/>
  <c r="E879" i="9"/>
  <c r="F878" i="9"/>
  <c r="E878" i="9"/>
  <c r="F877" i="9"/>
  <c r="E877" i="9"/>
  <c r="F876" i="9"/>
  <c r="E876" i="9"/>
  <c r="F875" i="9"/>
  <c r="E875" i="9"/>
  <c r="F874" i="9"/>
  <c r="E874" i="9"/>
  <c r="F873" i="9"/>
  <c r="E873" i="9"/>
  <c r="F872" i="9"/>
  <c r="E872" i="9"/>
  <c r="F871" i="9"/>
  <c r="E871" i="9"/>
  <c r="F870" i="9"/>
  <c r="E870" i="9"/>
  <c r="F869" i="9"/>
  <c r="E869" i="9"/>
  <c r="F868" i="9"/>
  <c r="E868" i="9"/>
  <c r="F867" i="9"/>
  <c r="E867" i="9"/>
  <c r="F866" i="9"/>
  <c r="E866" i="9"/>
  <c r="F865" i="9"/>
  <c r="E865" i="9"/>
  <c r="F864" i="9"/>
  <c r="E864" i="9"/>
  <c r="F863" i="9"/>
  <c r="E863" i="9"/>
  <c r="F862" i="9"/>
  <c r="E862" i="9"/>
  <c r="F861" i="9"/>
  <c r="E861" i="9"/>
  <c r="F860" i="9"/>
  <c r="E860" i="9"/>
  <c r="F859" i="9"/>
  <c r="E859" i="9"/>
  <c r="F858" i="9"/>
  <c r="E858" i="9"/>
  <c r="F857" i="9"/>
  <c r="E857" i="9"/>
  <c r="F856" i="9"/>
  <c r="E856" i="9"/>
  <c r="F855" i="9"/>
  <c r="E855" i="9"/>
  <c r="F854" i="9"/>
  <c r="E854" i="9"/>
  <c r="F853" i="9"/>
  <c r="E853" i="9"/>
  <c r="F852" i="9"/>
  <c r="E852" i="9"/>
  <c r="F851" i="9"/>
  <c r="E851" i="9"/>
  <c r="F850" i="9"/>
  <c r="E850" i="9"/>
  <c r="F849" i="9"/>
  <c r="E849" i="9"/>
  <c r="F848" i="9"/>
  <c r="E848" i="9"/>
  <c r="F847" i="9"/>
  <c r="E847" i="9"/>
  <c r="F846" i="9"/>
  <c r="E846" i="9"/>
  <c r="F845" i="9"/>
  <c r="E845" i="9"/>
  <c r="F844" i="9"/>
  <c r="E844" i="9"/>
  <c r="F843" i="9"/>
  <c r="E843" i="9"/>
  <c r="F842" i="9"/>
  <c r="E842" i="9"/>
  <c r="F841" i="9"/>
  <c r="E841" i="9"/>
  <c r="F840" i="9"/>
  <c r="E840" i="9"/>
  <c r="F839" i="9"/>
  <c r="E839" i="9"/>
  <c r="F838" i="9"/>
  <c r="E838" i="9"/>
  <c r="F837" i="9"/>
  <c r="E837" i="9"/>
  <c r="F836" i="9"/>
  <c r="E836" i="9"/>
  <c r="F835" i="9"/>
  <c r="E835" i="9"/>
  <c r="F834" i="9"/>
  <c r="E834" i="9"/>
  <c r="F833" i="9"/>
  <c r="E833" i="9"/>
  <c r="F832" i="9"/>
  <c r="E832" i="9"/>
  <c r="F831" i="9"/>
  <c r="E831" i="9"/>
  <c r="F830" i="9"/>
  <c r="E830" i="9"/>
  <c r="F829" i="9"/>
  <c r="E829" i="9"/>
  <c r="F828" i="9"/>
  <c r="E828" i="9"/>
  <c r="F827" i="9"/>
  <c r="E827" i="9"/>
  <c r="F826" i="9"/>
  <c r="E826" i="9"/>
  <c r="F825" i="9"/>
  <c r="E825" i="9"/>
  <c r="F824" i="9"/>
  <c r="E824" i="9"/>
  <c r="F823" i="9"/>
  <c r="E823" i="9"/>
  <c r="F822" i="9"/>
  <c r="E822" i="9"/>
  <c r="F821" i="9"/>
  <c r="E821" i="9"/>
  <c r="F820" i="9"/>
  <c r="E820" i="9"/>
  <c r="F819" i="9"/>
  <c r="E819" i="9"/>
  <c r="F818" i="9"/>
  <c r="E818" i="9"/>
  <c r="F817" i="9"/>
  <c r="E817" i="9"/>
  <c r="F816" i="9"/>
  <c r="E816" i="9"/>
  <c r="F815" i="9"/>
  <c r="E815" i="9"/>
  <c r="F814" i="9"/>
  <c r="E814" i="9"/>
  <c r="F813" i="9"/>
  <c r="E813" i="9"/>
  <c r="F812" i="9"/>
  <c r="E812" i="9"/>
  <c r="F811" i="9"/>
  <c r="E811" i="9"/>
  <c r="F810" i="9"/>
  <c r="E810" i="9"/>
  <c r="F809" i="9"/>
  <c r="E809" i="9"/>
  <c r="F808" i="9"/>
  <c r="E808" i="9"/>
  <c r="F807" i="9"/>
  <c r="E807" i="9"/>
  <c r="F806" i="9"/>
  <c r="E806" i="9"/>
  <c r="F805" i="9"/>
  <c r="E805" i="9"/>
  <c r="F804" i="9"/>
  <c r="E804" i="9"/>
  <c r="F803" i="9"/>
  <c r="E803" i="9"/>
  <c r="F802" i="9"/>
  <c r="E802" i="9"/>
  <c r="F801" i="9"/>
  <c r="E801" i="9"/>
  <c r="F800" i="9"/>
  <c r="E800" i="9"/>
  <c r="F799" i="9"/>
  <c r="E799" i="9"/>
  <c r="F798" i="9"/>
  <c r="E798" i="9"/>
  <c r="F797" i="9"/>
  <c r="E797" i="9"/>
  <c r="F796" i="9"/>
  <c r="E796" i="9"/>
  <c r="F795" i="9"/>
  <c r="E795" i="9"/>
  <c r="F794" i="9"/>
  <c r="E794" i="9"/>
  <c r="F793" i="9"/>
  <c r="E793" i="9"/>
  <c r="F792" i="9"/>
  <c r="E792" i="9"/>
  <c r="F791" i="9"/>
  <c r="E791" i="9"/>
  <c r="F790" i="9"/>
  <c r="E790" i="9"/>
  <c r="F789" i="9"/>
  <c r="E789" i="9"/>
  <c r="F788" i="9"/>
  <c r="E788" i="9"/>
  <c r="F787" i="9"/>
  <c r="E787" i="9"/>
  <c r="F786" i="9"/>
  <c r="E786" i="9"/>
  <c r="F785" i="9"/>
  <c r="E785" i="9"/>
  <c r="F784" i="9"/>
  <c r="E784" i="9"/>
  <c r="F783" i="9"/>
  <c r="E783" i="9"/>
  <c r="F782" i="9"/>
  <c r="E782" i="9"/>
  <c r="F781" i="9"/>
  <c r="E781" i="9"/>
  <c r="F780" i="9"/>
  <c r="E780" i="9"/>
  <c r="F779" i="9"/>
  <c r="E779" i="9"/>
  <c r="F778" i="9"/>
  <c r="E778" i="9"/>
  <c r="F777" i="9"/>
  <c r="E777" i="9"/>
  <c r="F776" i="9"/>
  <c r="E776" i="9"/>
  <c r="F775" i="9"/>
  <c r="E775" i="9"/>
  <c r="F774" i="9"/>
  <c r="E774" i="9"/>
  <c r="F773" i="9"/>
  <c r="E773" i="9"/>
  <c r="F772" i="9"/>
  <c r="E772" i="9"/>
  <c r="F771" i="9"/>
  <c r="E771" i="9"/>
  <c r="F770" i="9"/>
  <c r="E770" i="9"/>
  <c r="F769" i="9"/>
  <c r="E769" i="9"/>
  <c r="F768" i="9"/>
  <c r="E768" i="9"/>
  <c r="F767" i="9"/>
  <c r="E767" i="9"/>
  <c r="F766" i="9"/>
  <c r="E766" i="9"/>
  <c r="F765" i="9"/>
  <c r="E765" i="9"/>
  <c r="F764" i="9"/>
  <c r="E764" i="9"/>
  <c r="F763" i="9"/>
  <c r="E763" i="9"/>
  <c r="F762" i="9"/>
  <c r="E762" i="9"/>
  <c r="F761" i="9"/>
  <c r="E761" i="9"/>
  <c r="F760" i="9"/>
  <c r="E760" i="9"/>
  <c r="F759" i="9"/>
  <c r="E759" i="9"/>
  <c r="F758" i="9"/>
  <c r="E758" i="9"/>
  <c r="F757" i="9"/>
  <c r="E757" i="9"/>
  <c r="F756" i="9"/>
  <c r="E756" i="9"/>
  <c r="F755" i="9"/>
  <c r="E755" i="9"/>
  <c r="F754" i="9"/>
  <c r="E754" i="9"/>
  <c r="F753" i="9"/>
  <c r="E753" i="9"/>
  <c r="F752" i="9"/>
  <c r="E752" i="9"/>
  <c r="F751" i="9"/>
  <c r="E751" i="9"/>
  <c r="F750" i="9"/>
  <c r="E750" i="9"/>
  <c r="F749" i="9"/>
  <c r="E749" i="9"/>
  <c r="F748" i="9"/>
  <c r="E748" i="9"/>
  <c r="F747" i="9"/>
  <c r="E747" i="9"/>
  <c r="F746" i="9"/>
  <c r="E746" i="9"/>
  <c r="F745" i="9"/>
  <c r="E745" i="9"/>
  <c r="F744" i="9"/>
  <c r="E744" i="9"/>
  <c r="F743" i="9"/>
  <c r="E743" i="9"/>
  <c r="F742" i="9"/>
  <c r="E742" i="9"/>
  <c r="F741" i="9"/>
  <c r="E741" i="9"/>
  <c r="F740" i="9"/>
  <c r="E740" i="9"/>
  <c r="F739" i="9"/>
  <c r="E739" i="9"/>
  <c r="F738" i="9"/>
  <c r="E738" i="9"/>
  <c r="F737" i="9"/>
  <c r="E737" i="9"/>
  <c r="F736" i="9"/>
  <c r="E736" i="9"/>
  <c r="F735" i="9"/>
  <c r="E735" i="9"/>
  <c r="F734" i="9"/>
  <c r="E734" i="9"/>
  <c r="F733" i="9"/>
  <c r="E733" i="9"/>
  <c r="F732" i="9"/>
  <c r="E732" i="9"/>
  <c r="F731" i="9"/>
  <c r="E731" i="9"/>
  <c r="F730" i="9"/>
  <c r="E730" i="9"/>
  <c r="F729" i="9"/>
  <c r="E729" i="9"/>
  <c r="F728" i="9"/>
  <c r="E728" i="9"/>
  <c r="F727" i="9"/>
  <c r="E727" i="9"/>
  <c r="F726" i="9"/>
  <c r="E726" i="9"/>
  <c r="F725" i="9"/>
  <c r="E725" i="9"/>
  <c r="F724" i="9"/>
  <c r="E724" i="9"/>
  <c r="F723" i="9"/>
  <c r="E723" i="9"/>
  <c r="F722" i="9"/>
  <c r="E722" i="9"/>
  <c r="F721" i="9"/>
  <c r="E721" i="9"/>
  <c r="F720" i="9"/>
  <c r="E720" i="9"/>
  <c r="F719" i="9"/>
  <c r="E719" i="9"/>
  <c r="F718" i="9"/>
  <c r="E718" i="9"/>
  <c r="F717" i="9"/>
  <c r="E717" i="9"/>
  <c r="F716" i="9"/>
  <c r="E716" i="9"/>
  <c r="F715" i="9"/>
  <c r="E715" i="9"/>
  <c r="F714" i="9"/>
  <c r="E714" i="9"/>
  <c r="F713" i="9"/>
  <c r="E713" i="9"/>
  <c r="F712" i="9"/>
  <c r="E712" i="9"/>
  <c r="F711" i="9"/>
  <c r="E711" i="9"/>
  <c r="F710" i="9"/>
  <c r="E710" i="9"/>
  <c r="F709" i="9"/>
  <c r="E709" i="9"/>
  <c r="F708" i="9"/>
  <c r="E708" i="9"/>
  <c r="F707" i="9"/>
  <c r="E707" i="9"/>
  <c r="F706" i="9"/>
  <c r="E706" i="9"/>
  <c r="F705" i="9"/>
  <c r="E705" i="9"/>
  <c r="F704" i="9"/>
  <c r="E704" i="9"/>
  <c r="F703" i="9"/>
  <c r="E703" i="9"/>
  <c r="F702" i="9"/>
  <c r="E702" i="9"/>
  <c r="F701" i="9"/>
  <c r="E701" i="9"/>
  <c r="F700" i="9"/>
  <c r="E700" i="9"/>
  <c r="F699" i="9"/>
  <c r="E699" i="9"/>
  <c r="F698" i="9"/>
  <c r="E698" i="9"/>
  <c r="F697" i="9"/>
  <c r="E697" i="9"/>
  <c r="F696" i="9"/>
  <c r="E696" i="9"/>
  <c r="F695" i="9"/>
  <c r="E695" i="9"/>
  <c r="F694" i="9"/>
  <c r="E694" i="9"/>
  <c r="F693" i="9"/>
  <c r="E693" i="9"/>
  <c r="F692" i="9"/>
  <c r="E692" i="9"/>
  <c r="F691" i="9"/>
  <c r="E691" i="9"/>
  <c r="F690" i="9"/>
  <c r="E690" i="9"/>
  <c r="F689" i="9"/>
  <c r="E689" i="9"/>
  <c r="F688" i="9"/>
  <c r="E688" i="9"/>
  <c r="F687" i="9"/>
  <c r="E687" i="9"/>
  <c r="F686" i="9"/>
  <c r="E686" i="9"/>
  <c r="F685" i="9"/>
  <c r="E685" i="9"/>
  <c r="F684" i="9"/>
  <c r="E684" i="9"/>
  <c r="F683" i="9"/>
  <c r="E683" i="9"/>
  <c r="F682" i="9"/>
  <c r="E682" i="9"/>
  <c r="F681" i="9"/>
  <c r="E681" i="9"/>
  <c r="F680" i="9"/>
  <c r="E680" i="9"/>
  <c r="F679" i="9"/>
  <c r="E679" i="9"/>
  <c r="F678" i="9"/>
  <c r="E678" i="9"/>
  <c r="F677" i="9"/>
  <c r="E677" i="9"/>
  <c r="F676" i="9"/>
  <c r="E676" i="9"/>
  <c r="F675" i="9"/>
  <c r="E675" i="9"/>
  <c r="F674" i="9"/>
  <c r="E674" i="9"/>
  <c r="F673" i="9"/>
  <c r="E673" i="9"/>
  <c r="F672" i="9"/>
  <c r="E672" i="9"/>
  <c r="F671" i="9"/>
  <c r="E671" i="9"/>
  <c r="F670" i="9"/>
  <c r="E670" i="9"/>
  <c r="F669" i="9"/>
  <c r="E669" i="9"/>
  <c r="F668" i="9"/>
  <c r="E668" i="9"/>
  <c r="F667" i="9"/>
  <c r="E667" i="9"/>
  <c r="F666" i="9"/>
  <c r="E666" i="9"/>
  <c r="F665" i="9"/>
  <c r="E665" i="9"/>
  <c r="F664" i="9"/>
  <c r="E664" i="9"/>
  <c r="F663" i="9"/>
  <c r="E663" i="9"/>
  <c r="F662" i="9"/>
  <c r="E662" i="9"/>
  <c r="F661" i="9"/>
  <c r="E661" i="9"/>
  <c r="F660" i="9"/>
  <c r="E660" i="9"/>
  <c r="F659" i="9"/>
  <c r="E659" i="9"/>
  <c r="F658" i="9"/>
  <c r="E658" i="9"/>
  <c r="F657" i="9"/>
  <c r="E657" i="9"/>
  <c r="F656" i="9"/>
  <c r="E656" i="9"/>
  <c r="F655" i="9"/>
  <c r="E655" i="9"/>
  <c r="F654" i="9"/>
  <c r="E654" i="9"/>
  <c r="F653" i="9"/>
  <c r="E653" i="9"/>
  <c r="F652" i="9"/>
  <c r="E652" i="9"/>
  <c r="F651" i="9"/>
  <c r="E651" i="9"/>
  <c r="F650" i="9"/>
  <c r="E650" i="9"/>
  <c r="F649" i="9"/>
  <c r="E649" i="9"/>
  <c r="F648" i="9"/>
  <c r="E648" i="9"/>
  <c r="F647" i="9"/>
  <c r="E647" i="9"/>
  <c r="F646" i="9"/>
  <c r="E646" i="9"/>
  <c r="F645" i="9"/>
  <c r="E645" i="9"/>
  <c r="F644" i="9"/>
  <c r="E644" i="9"/>
  <c r="F643" i="9"/>
  <c r="E643" i="9"/>
  <c r="F642" i="9"/>
  <c r="E642" i="9"/>
  <c r="F641" i="9"/>
  <c r="E641" i="9"/>
  <c r="F640" i="9"/>
  <c r="E640" i="9"/>
  <c r="F639" i="9"/>
  <c r="E639" i="9"/>
  <c r="F638" i="9"/>
  <c r="E638" i="9"/>
  <c r="F637" i="9"/>
  <c r="E637" i="9"/>
  <c r="F636" i="9"/>
  <c r="E636" i="9"/>
  <c r="F635" i="9"/>
  <c r="E635" i="9"/>
  <c r="F634" i="9"/>
  <c r="E634" i="9"/>
  <c r="F633" i="9"/>
  <c r="E633" i="9"/>
  <c r="F632" i="9"/>
  <c r="E632" i="9"/>
  <c r="F631" i="9"/>
  <c r="E631" i="9"/>
  <c r="F630" i="9"/>
  <c r="E630" i="9"/>
  <c r="F629" i="9"/>
  <c r="E629" i="9"/>
  <c r="F628" i="9"/>
  <c r="E628" i="9"/>
  <c r="F627" i="9"/>
  <c r="E627" i="9"/>
  <c r="F626" i="9"/>
  <c r="E626" i="9"/>
  <c r="F625" i="9"/>
  <c r="E625" i="9"/>
  <c r="F624" i="9"/>
  <c r="E624" i="9"/>
  <c r="F623" i="9"/>
  <c r="E623" i="9"/>
  <c r="F622" i="9"/>
  <c r="E622" i="9"/>
  <c r="F621" i="9"/>
  <c r="E621" i="9"/>
  <c r="F620" i="9"/>
  <c r="E620" i="9"/>
  <c r="F619" i="9"/>
  <c r="E619" i="9"/>
  <c r="F618" i="9"/>
  <c r="E618" i="9"/>
  <c r="F617" i="9"/>
  <c r="E617" i="9"/>
  <c r="F616" i="9"/>
  <c r="E616" i="9"/>
  <c r="F615" i="9"/>
  <c r="E615" i="9"/>
  <c r="F614" i="9"/>
  <c r="E614" i="9"/>
  <c r="F613" i="9"/>
  <c r="E613" i="9"/>
  <c r="F612" i="9"/>
  <c r="E612" i="9"/>
  <c r="F611" i="9"/>
  <c r="E611" i="9"/>
  <c r="F610" i="9"/>
  <c r="E610" i="9"/>
  <c r="F609" i="9"/>
  <c r="E609" i="9"/>
  <c r="F608" i="9"/>
  <c r="E608" i="9"/>
  <c r="F607" i="9"/>
  <c r="E607" i="9"/>
  <c r="F606" i="9"/>
  <c r="E606" i="9"/>
  <c r="F605" i="9"/>
  <c r="E605" i="9"/>
  <c r="F604" i="9"/>
  <c r="E604" i="9"/>
  <c r="F603" i="9"/>
  <c r="E603" i="9"/>
  <c r="F602" i="9"/>
  <c r="E602" i="9"/>
  <c r="F601" i="9"/>
  <c r="E601" i="9"/>
  <c r="F600" i="9"/>
  <c r="E600" i="9"/>
  <c r="F599" i="9"/>
  <c r="E599" i="9"/>
  <c r="F598" i="9"/>
  <c r="E598" i="9"/>
  <c r="F597" i="9"/>
  <c r="E597" i="9"/>
  <c r="F596" i="9"/>
  <c r="E596" i="9"/>
  <c r="F595" i="9"/>
  <c r="E595" i="9"/>
  <c r="F594" i="9"/>
  <c r="E594" i="9"/>
  <c r="F593" i="9"/>
  <c r="E593" i="9"/>
  <c r="F592" i="9"/>
  <c r="E592" i="9"/>
  <c r="F591" i="9"/>
  <c r="E591" i="9"/>
  <c r="F590" i="9"/>
  <c r="E590" i="9"/>
  <c r="F589" i="9"/>
  <c r="E589" i="9"/>
  <c r="F588" i="9"/>
  <c r="E588" i="9"/>
  <c r="F587" i="9"/>
  <c r="E587" i="9"/>
  <c r="F586" i="9"/>
  <c r="E586" i="9"/>
  <c r="F585" i="9"/>
  <c r="E585" i="9"/>
  <c r="F584" i="9"/>
  <c r="E584" i="9"/>
  <c r="F583" i="9"/>
  <c r="E583" i="9"/>
  <c r="F582" i="9"/>
  <c r="E582" i="9"/>
  <c r="F581" i="9"/>
  <c r="E581" i="9"/>
  <c r="F580" i="9"/>
  <c r="E580" i="9"/>
  <c r="F579" i="9"/>
  <c r="E579" i="9"/>
  <c r="F578" i="9"/>
  <c r="E578" i="9"/>
  <c r="F577" i="9"/>
  <c r="E577" i="9"/>
  <c r="F576" i="9"/>
  <c r="E576" i="9"/>
  <c r="F575" i="9"/>
  <c r="E575" i="9"/>
  <c r="F574" i="9"/>
  <c r="E574" i="9"/>
  <c r="F573" i="9"/>
  <c r="E573" i="9"/>
  <c r="F572" i="9"/>
  <c r="E572" i="9"/>
  <c r="F571" i="9"/>
  <c r="E571" i="9"/>
  <c r="F570" i="9"/>
  <c r="E570" i="9"/>
  <c r="F569" i="9"/>
  <c r="E569" i="9"/>
  <c r="F568" i="9"/>
  <c r="E568" i="9"/>
  <c r="F567" i="9"/>
  <c r="E567" i="9"/>
  <c r="F566" i="9"/>
  <c r="E566" i="9"/>
  <c r="F565" i="9"/>
  <c r="E565" i="9"/>
  <c r="F564" i="9"/>
  <c r="E564" i="9"/>
  <c r="F563" i="9"/>
  <c r="E563" i="9"/>
  <c r="F562" i="9"/>
  <c r="E562" i="9"/>
  <c r="F561" i="9"/>
  <c r="E561" i="9"/>
  <c r="F560" i="9"/>
  <c r="E560" i="9"/>
  <c r="F559" i="9"/>
  <c r="E559" i="9"/>
  <c r="F558" i="9"/>
  <c r="E558" i="9"/>
  <c r="F557" i="9"/>
  <c r="E557" i="9"/>
  <c r="F556" i="9"/>
  <c r="E556" i="9"/>
  <c r="F555" i="9"/>
  <c r="E555" i="9"/>
  <c r="F554" i="9"/>
  <c r="E554" i="9"/>
  <c r="F553" i="9"/>
  <c r="E553" i="9"/>
  <c r="F552" i="9"/>
  <c r="E552" i="9"/>
  <c r="F551" i="9"/>
  <c r="E551" i="9"/>
  <c r="F550" i="9"/>
  <c r="E550" i="9"/>
  <c r="F549" i="9"/>
  <c r="E549" i="9"/>
  <c r="F548" i="9"/>
  <c r="E548" i="9"/>
  <c r="F547" i="9"/>
  <c r="E547" i="9"/>
  <c r="F546" i="9"/>
  <c r="E546" i="9"/>
  <c r="F545" i="9"/>
  <c r="E545" i="9"/>
  <c r="F544" i="9"/>
  <c r="E544" i="9"/>
  <c r="F543" i="9"/>
  <c r="E543" i="9"/>
  <c r="F542" i="9"/>
  <c r="E542" i="9"/>
  <c r="F541" i="9"/>
  <c r="E541" i="9"/>
  <c r="F540" i="9"/>
  <c r="E540" i="9"/>
  <c r="F539" i="9"/>
  <c r="E539" i="9"/>
  <c r="F538" i="9"/>
  <c r="E538" i="9"/>
  <c r="F537" i="9"/>
  <c r="E537" i="9"/>
  <c r="F536" i="9"/>
  <c r="E536" i="9"/>
  <c r="F535" i="9"/>
  <c r="E535" i="9"/>
  <c r="F534" i="9"/>
  <c r="E534" i="9"/>
  <c r="F533" i="9"/>
  <c r="E533" i="9"/>
  <c r="F532" i="9"/>
  <c r="E532" i="9"/>
  <c r="F531" i="9"/>
  <c r="E531" i="9"/>
  <c r="F530" i="9"/>
  <c r="E530" i="9"/>
  <c r="F529" i="9"/>
  <c r="E529" i="9"/>
  <c r="F528" i="9"/>
  <c r="E528" i="9"/>
  <c r="F527" i="9"/>
  <c r="E527" i="9"/>
  <c r="F526" i="9"/>
  <c r="E526" i="9"/>
  <c r="F525" i="9"/>
  <c r="E525" i="9"/>
  <c r="F524" i="9"/>
  <c r="E524" i="9"/>
  <c r="F523" i="9"/>
  <c r="E523" i="9"/>
  <c r="F522" i="9"/>
  <c r="E522" i="9"/>
  <c r="F521" i="9"/>
  <c r="E521" i="9"/>
  <c r="F520" i="9"/>
  <c r="E520" i="9"/>
  <c r="F519" i="9"/>
  <c r="E519" i="9"/>
  <c r="F518" i="9"/>
  <c r="E518" i="9"/>
  <c r="F517" i="9"/>
  <c r="E517" i="9"/>
  <c r="F516" i="9"/>
  <c r="E516" i="9"/>
  <c r="F515" i="9"/>
  <c r="E515" i="9"/>
  <c r="F514" i="9"/>
  <c r="E514" i="9"/>
  <c r="F513" i="9"/>
  <c r="E513" i="9"/>
  <c r="F512" i="9"/>
  <c r="E512" i="9"/>
  <c r="F511" i="9"/>
  <c r="E511" i="9"/>
  <c r="F510" i="9"/>
  <c r="E510" i="9"/>
  <c r="F509" i="9"/>
  <c r="E509" i="9"/>
  <c r="F508" i="9"/>
  <c r="E508" i="9"/>
  <c r="F507" i="9"/>
  <c r="E507" i="9"/>
  <c r="F506" i="9"/>
  <c r="E506" i="9"/>
  <c r="F505" i="9"/>
  <c r="E505" i="9"/>
  <c r="F504" i="9"/>
  <c r="E504" i="9"/>
  <c r="F503" i="9"/>
  <c r="E503" i="9"/>
  <c r="F502" i="9"/>
  <c r="E502" i="9"/>
  <c r="F501" i="9"/>
  <c r="E501" i="9"/>
  <c r="F500" i="9"/>
  <c r="E500" i="9"/>
  <c r="F499" i="9"/>
  <c r="E499" i="9"/>
  <c r="F498" i="9"/>
  <c r="E498" i="9"/>
  <c r="F497" i="9"/>
  <c r="E497" i="9"/>
  <c r="F496" i="9"/>
  <c r="E496" i="9"/>
  <c r="F495" i="9"/>
  <c r="E495" i="9"/>
  <c r="F494" i="9"/>
  <c r="E494" i="9"/>
  <c r="F493" i="9"/>
  <c r="E493" i="9"/>
  <c r="F492" i="9"/>
  <c r="E492" i="9"/>
  <c r="F491" i="9"/>
  <c r="E491" i="9"/>
  <c r="F490" i="9"/>
  <c r="E490" i="9"/>
  <c r="F489" i="9"/>
  <c r="E489" i="9"/>
  <c r="F488" i="9"/>
  <c r="E488" i="9"/>
  <c r="F487" i="9"/>
  <c r="E487" i="9"/>
  <c r="F486" i="9"/>
  <c r="E486" i="9"/>
  <c r="F485" i="9"/>
  <c r="E485" i="9"/>
  <c r="F484" i="9"/>
  <c r="E484" i="9"/>
  <c r="F483" i="9"/>
  <c r="E483" i="9"/>
  <c r="F482" i="9"/>
  <c r="E482" i="9"/>
  <c r="F481" i="9"/>
  <c r="E481" i="9"/>
  <c r="F480" i="9"/>
  <c r="E480" i="9"/>
  <c r="F479" i="9"/>
  <c r="E479" i="9"/>
  <c r="F478" i="9"/>
  <c r="E478" i="9"/>
  <c r="F477" i="9"/>
  <c r="E477" i="9"/>
  <c r="F476" i="9"/>
  <c r="E476" i="9"/>
  <c r="F475" i="9"/>
  <c r="E475" i="9"/>
  <c r="F474" i="9"/>
  <c r="E474" i="9"/>
  <c r="F473" i="9"/>
  <c r="E473" i="9"/>
  <c r="F472" i="9"/>
  <c r="E472" i="9"/>
  <c r="F471" i="9"/>
  <c r="E471" i="9"/>
  <c r="F470" i="9"/>
  <c r="E470" i="9"/>
  <c r="F469" i="9"/>
  <c r="E469" i="9"/>
  <c r="F468" i="9"/>
  <c r="E468" i="9"/>
  <c r="F467" i="9"/>
  <c r="E467" i="9"/>
  <c r="F466" i="9"/>
  <c r="E466" i="9"/>
  <c r="F465" i="9"/>
  <c r="E465" i="9"/>
  <c r="F464" i="9"/>
  <c r="E464" i="9"/>
  <c r="F463" i="9"/>
  <c r="E463" i="9"/>
  <c r="F462" i="9"/>
  <c r="E462" i="9"/>
  <c r="F461" i="9"/>
  <c r="E461" i="9"/>
  <c r="F460" i="9"/>
  <c r="E460" i="9"/>
  <c r="F459" i="9"/>
  <c r="E459" i="9"/>
  <c r="F458" i="9"/>
  <c r="E458" i="9"/>
  <c r="F457" i="9"/>
  <c r="E457" i="9"/>
  <c r="F456" i="9"/>
  <c r="E456" i="9"/>
  <c r="F455" i="9"/>
  <c r="E455" i="9"/>
  <c r="F454" i="9"/>
  <c r="E454" i="9"/>
  <c r="F453" i="9"/>
  <c r="E453" i="9"/>
  <c r="F452" i="9"/>
  <c r="E452" i="9"/>
  <c r="F451" i="9"/>
  <c r="E451" i="9"/>
  <c r="F450" i="9"/>
  <c r="E450" i="9"/>
  <c r="F449" i="9"/>
  <c r="E449" i="9"/>
  <c r="F448" i="9"/>
  <c r="E448" i="9"/>
  <c r="F447" i="9"/>
  <c r="E447" i="9"/>
  <c r="F446" i="9"/>
  <c r="E446" i="9"/>
  <c r="F445" i="9"/>
  <c r="E445" i="9"/>
  <c r="F444" i="9"/>
  <c r="E444" i="9"/>
  <c r="F443" i="9"/>
  <c r="E443" i="9"/>
  <c r="F442" i="9"/>
  <c r="E442" i="9"/>
  <c r="F441" i="9"/>
  <c r="E441" i="9"/>
  <c r="F440" i="9"/>
  <c r="E440" i="9"/>
  <c r="F439" i="9"/>
  <c r="E439" i="9"/>
  <c r="F438" i="9"/>
  <c r="E438" i="9"/>
  <c r="F437" i="9"/>
  <c r="E437" i="9"/>
  <c r="F436" i="9"/>
  <c r="E436" i="9"/>
  <c r="F435" i="9"/>
  <c r="E435" i="9"/>
  <c r="F434" i="9"/>
  <c r="E434" i="9"/>
  <c r="F433" i="9"/>
  <c r="E433" i="9"/>
  <c r="F432" i="9"/>
  <c r="E432" i="9"/>
  <c r="F431" i="9"/>
  <c r="E431" i="9"/>
  <c r="F430" i="9"/>
  <c r="E430" i="9"/>
  <c r="F429" i="9"/>
  <c r="E429" i="9"/>
  <c r="F428" i="9"/>
  <c r="E428" i="9"/>
  <c r="F427" i="9"/>
  <c r="E427" i="9"/>
  <c r="F426" i="9"/>
  <c r="E426" i="9"/>
  <c r="F425" i="9"/>
  <c r="E425" i="9"/>
  <c r="F424" i="9"/>
  <c r="E424" i="9"/>
  <c r="F423" i="9"/>
  <c r="E423" i="9"/>
  <c r="F422" i="9"/>
  <c r="E422" i="9"/>
  <c r="F421" i="9"/>
  <c r="E421" i="9"/>
  <c r="F420" i="9"/>
  <c r="E420" i="9"/>
  <c r="F419" i="9"/>
  <c r="E419" i="9"/>
  <c r="F418" i="9"/>
  <c r="E418" i="9"/>
  <c r="F417" i="9"/>
  <c r="E417" i="9"/>
  <c r="F416" i="9"/>
  <c r="E416" i="9"/>
  <c r="F415" i="9"/>
  <c r="E415" i="9"/>
  <c r="F414" i="9"/>
  <c r="E414" i="9"/>
  <c r="F413" i="9"/>
  <c r="E413" i="9"/>
  <c r="F412" i="9"/>
  <c r="E412" i="9"/>
  <c r="F411" i="9"/>
  <c r="E411" i="9"/>
  <c r="F410" i="9"/>
  <c r="E410" i="9"/>
  <c r="F409" i="9"/>
  <c r="E409" i="9"/>
  <c r="F408" i="9"/>
  <c r="E408" i="9"/>
  <c r="F407" i="9"/>
  <c r="E407" i="9"/>
  <c r="F406" i="9"/>
  <c r="E406" i="9"/>
  <c r="F405" i="9"/>
  <c r="E405" i="9"/>
  <c r="F404" i="9"/>
  <c r="E404" i="9"/>
  <c r="F403" i="9"/>
  <c r="E403" i="9"/>
  <c r="F402" i="9"/>
  <c r="E402" i="9"/>
  <c r="F401" i="9"/>
  <c r="E401" i="9"/>
  <c r="F400" i="9"/>
  <c r="E400" i="9"/>
  <c r="F399" i="9"/>
  <c r="E399" i="9"/>
  <c r="F398" i="9"/>
  <c r="E398" i="9"/>
  <c r="F397" i="9"/>
  <c r="E397" i="9"/>
  <c r="F396" i="9"/>
  <c r="E396" i="9"/>
  <c r="F395" i="9"/>
  <c r="E395" i="9"/>
  <c r="F394" i="9"/>
  <c r="E394" i="9"/>
  <c r="F393" i="9"/>
  <c r="E393" i="9"/>
  <c r="F392" i="9"/>
  <c r="E392" i="9"/>
  <c r="F391" i="9"/>
  <c r="E391" i="9"/>
  <c r="F390" i="9"/>
  <c r="E390" i="9"/>
  <c r="F389" i="9"/>
  <c r="E389" i="9"/>
  <c r="F388" i="9"/>
  <c r="E388" i="9"/>
  <c r="F387" i="9"/>
  <c r="E387" i="9"/>
  <c r="F386" i="9"/>
  <c r="E386" i="9"/>
  <c r="F385" i="9"/>
  <c r="E385" i="9"/>
  <c r="F384" i="9"/>
  <c r="E384" i="9"/>
  <c r="F383" i="9"/>
  <c r="E383" i="9"/>
  <c r="F382" i="9"/>
  <c r="E382" i="9"/>
  <c r="F381" i="9"/>
  <c r="E381" i="9"/>
  <c r="F380" i="9"/>
  <c r="E380" i="9"/>
  <c r="F379" i="9"/>
  <c r="E379" i="9"/>
  <c r="F378" i="9"/>
  <c r="E378" i="9"/>
  <c r="F377" i="9"/>
  <c r="E377" i="9"/>
  <c r="F376" i="9"/>
  <c r="E376" i="9"/>
  <c r="F375" i="9"/>
  <c r="E375" i="9"/>
  <c r="F374" i="9"/>
  <c r="E374" i="9"/>
  <c r="F373" i="9"/>
  <c r="E373" i="9"/>
  <c r="F372" i="9"/>
  <c r="E372" i="9"/>
  <c r="F371" i="9"/>
  <c r="E371" i="9"/>
  <c r="F370" i="9"/>
  <c r="E370" i="9"/>
  <c r="F369" i="9"/>
  <c r="E369" i="9"/>
  <c r="F368" i="9"/>
  <c r="E368" i="9"/>
  <c r="F367" i="9"/>
  <c r="E367" i="9"/>
  <c r="F366" i="9"/>
  <c r="E366" i="9"/>
  <c r="F365" i="9"/>
  <c r="E365" i="9"/>
  <c r="F364" i="9"/>
  <c r="E364" i="9"/>
  <c r="F363" i="9"/>
  <c r="E363" i="9"/>
  <c r="F362" i="9"/>
  <c r="E362" i="9"/>
  <c r="F361" i="9"/>
  <c r="E361" i="9"/>
  <c r="F360" i="9"/>
  <c r="E360" i="9"/>
  <c r="F359" i="9"/>
  <c r="E359" i="9"/>
  <c r="F358" i="9"/>
  <c r="E358" i="9"/>
  <c r="F357" i="9"/>
  <c r="E357" i="9"/>
  <c r="F356" i="9"/>
  <c r="E356" i="9"/>
  <c r="F355" i="9"/>
  <c r="E355" i="9"/>
  <c r="F354" i="9"/>
  <c r="E354" i="9"/>
  <c r="F353" i="9"/>
  <c r="E353" i="9"/>
  <c r="F352" i="9"/>
  <c r="E352" i="9"/>
  <c r="F351" i="9"/>
  <c r="E351" i="9"/>
  <c r="F350" i="9"/>
  <c r="E350" i="9"/>
  <c r="F349" i="9"/>
  <c r="E349" i="9"/>
  <c r="F348" i="9"/>
  <c r="E348" i="9"/>
  <c r="F347" i="9"/>
  <c r="E347" i="9"/>
  <c r="F346" i="9"/>
  <c r="E346" i="9"/>
  <c r="F345" i="9"/>
  <c r="E345" i="9"/>
  <c r="F344" i="9"/>
  <c r="E344" i="9"/>
  <c r="F343" i="9"/>
  <c r="E343" i="9"/>
  <c r="F342" i="9"/>
  <c r="E342" i="9"/>
  <c r="F341" i="9"/>
  <c r="E341" i="9"/>
  <c r="F340" i="9"/>
  <c r="E340" i="9"/>
  <c r="F339" i="9"/>
  <c r="E339" i="9"/>
  <c r="F338" i="9"/>
  <c r="E338" i="9"/>
  <c r="F337" i="9"/>
  <c r="E337" i="9"/>
  <c r="F336" i="9"/>
  <c r="E336" i="9"/>
  <c r="F335" i="9"/>
  <c r="E335" i="9"/>
  <c r="F334" i="9"/>
  <c r="E334" i="9"/>
  <c r="F333" i="9"/>
  <c r="E333" i="9"/>
  <c r="F332" i="9"/>
  <c r="E332" i="9"/>
  <c r="F331" i="9"/>
  <c r="E331" i="9"/>
  <c r="F330" i="9"/>
  <c r="E330" i="9"/>
  <c r="F329" i="9"/>
  <c r="E329" i="9"/>
  <c r="F328" i="9"/>
  <c r="E328" i="9"/>
  <c r="F327" i="9"/>
  <c r="E327" i="9"/>
  <c r="F326" i="9"/>
  <c r="E326" i="9"/>
  <c r="F325" i="9"/>
  <c r="E325" i="9"/>
  <c r="F324" i="9"/>
  <c r="E324" i="9"/>
  <c r="F323" i="9"/>
  <c r="E323" i="9"/>
  <c r="F322" i="9"/>
  <c r="E322" i="9"/>
  <c r="F321" i="9"/>
  <c r="E321" i="9"/>
  <c r="F320" i="9"/>
  <c r="E320" i="9"/>
  <c r="F319" i="9"/>
  <c r="E319" i="9"/>
  <c r="F318" i="9"/>
  <c r="E318" i="9"/>
  <c r="F317" i="9"/>
  <c r="E317" i="9"/>
  <c r="F316" i="9"/>
  <c r="E316" i="9"/>
  <c r="F315" i="9"/>
  <c r="E315" i="9"/>
  <c r="F314" i="9"/>
  <c r="E314" i="9"/>
  <c r="F313" i="9"/>
  <c r="E313" i="9"/>
  <c r="F312" i="9"/>
  <c r="E312" i="9"/>
  <c r="F311" i="9"/>
  <c r="E311" i="9"/>
  <c r="F310" i="9"/>
  <c r="E310" i="9"/>
  <c r="F309" i="9"/>
  <c r="E309" i="9"/>
  <c r="F308" i="9"/>
  <c r="E308" i="9"/>
  <c r="F307" i="9"/>
  <c r="E307" i="9"/>
  <c r="F306" i="9"/>
  <c r="E306" i="9"/>
  <c r="F305" i="9"/>
  <c r="E305" i="9"/>
  <c r="F304" i="9"/>
  <c r="E304" i="9"/>
  <c r="F303" i="9"/>
  <c r="E303" i="9"/>
  <c r="F302" i="9"/>
  <c r="E302" i="9"/>
  <c r="F301" i="9"/>
  <c r="E301" i="9"/>
  <c r="F300" i="9"/>
  <c r="E300" i="9"/>
  <c r="F299" i="9"/>
  <c r="E299" i="9"/>
  <c r="F298" i="9"/>
  <c r="E298" i="9"/>
  <c r="F297" i="9"/>
  <c r="E297" i="9"/>
  <c r="F296" i="9"/>
  <c r="E296" i="9"/>
  <c r="F295" i="9"/>
  <c r="E295" i="9"/>
  <c r="F294" i="9"/>
  <c r="E294" i="9"/>
  <c r="F293" i="9"/>
  <c r="E293" i="9"/>
  <c r="F292" i="9"/>
  <c r="E292" i="9"/>
  <c r="F291" i="9"/>
  <c r="E291" i="9"/>
  <c r="F290" i="9"/>
  <c r="E290" i="9"/>
  <c r="F289" i="9"/>
  <c r="E289" i="9"/>
  <c r="F288" i="9"/>
  <c r="E288" i="9"/>
  <c r="F287" i="9"/>
  <c r="E287" i="9"/>
  <c r="F286" i="9"/>
  <c r="E286" i="9"/>
  <c r="F285" i="9"/>
  <c r="E285" i="9"/>
  <c r="F284" i="9"/>
  <c r="E284" i="9"/>
  <c r="F283" i="9"/>
  <c r="E283" i="9"/>
  <c r="F282" i="9"/>
  <c r="E282" i="9"/>
  <c r="F281" i="9"/>
  <c r="E281" i="9"/>
  <c r="F280" i="9"/>
  <c r="E280" i="9"/>
  <c r="F279" i="9"/>
  <c r="E279" i="9"/>
  <c r="F278" i="9"/>
  <c r="E278" i="9"/>
  <c r="F277" i="9"/>
  <c r="E277" i="9"/>
  <c r="F276" i="9"/>
  <c r="E276" i="9"/>
  <c r="F275" i="9"/>
  <c r="E275" i="9"/>
  <c r="F274" i="9"/>
  <c r="E274" i="9"/>
  <c r="F273" i="9"/>
  <c r="E273" i="9"/>
  <c r="F272" i="9"/>
  <c r="E272" i="9"/>
  <c r="F271" i="9"/>
  <c r="E271" i="9"/>
  <c r="F270" i="9"/>
  <c r="E270" i="9"/>
  <c r="F269" i="9"/>
  <c r="E269" i="9"/>
  <c r="F268" i="9"/>
  <c r="E268" i="9"/>
  <c r="F267" i="9"/>
  <c r="E267" i="9"/>
  <c r="F266" i="9"/>
  <c r="E266" i="9"/>
  <c r="F265" i="9"/>
  <c r="E265" i="9"/>
  <c r="F264" i="9"/>
  <c r="E264" i="9"/>
  <c r="F263" i="9"/>
  <c r="E263" i="9"/>
  <c r="F262" i="9"/>
  <c r="E262" i="9"/>
  <c r="F261" i="9"/>
  <c r="E261" i="9"/>
  <c r="F260" i="9"/>
  <c r="E260" i="9"/>
  <c r="F259" i="9"/>
  <c r="E259" i="9"/>
  <c r="F258" i="9"/>
  <c r="E258" i="9"/>
  <c r="F257" i="9"/>
  <c r="E257" i="9"/>
  <c r="F256" i="9"/>
  <c r="E256" i="9"/>
  <c r="F255" i="9"/>
  <c r="E255" i="9"/>
  <c r="F254" i="9"/>
  <c r="E254" i="9"/>
  <c r="F253" i="9"/>
  <c r="E253" i="9"/>
  <c r="F252" i="9"/>
  <c r="E252" i="9"/>
  <c r="F251" i="9"/>
  <c r="E251" i="9"/>
  <c r="F250" i="9"/>
  <c r="E250" i="9"/>
  <c r="F249" i="9"/>
  <c r="E249" i="9"/>
  <c r="F248" i="9"/>
  <c r="E248" i="9"/>
  <c r="F247" i="9"/>
  <c r="E247" i="9"/>
  <c r="F246" i="9"/>
  <c r="E246" i="9"/>
  <c r="F245" i="9"/>
  <c r="E245" i="9"/>
  <c r="F244" i="9"/>
  <c r="E244" i="9"/>
  <c r="F243" i="9"/>
  <c r="E243" i="9"/>
  <c r="F242" i="9"/>
  <c r="E242" i="9"/>
  <c r="F241" i="9"/>
  <c r="E241" i="9"/>
  <c r="F240" i="9"/>
  <c r="E240" i="9"/>
  <c r="F239" i="9"/>
  <c r="E239" i="9"/>
  <c r="F238" i="9"/>
  <c r="E238" i="9"/>
  <c r="F237" i="9"/>
  <c r="E237" i="9"/>
  <c r="F236" i="9"/>
  <c r="E236" i="9"/>
  <c r="F235" i="9"/>
  <c r="E235" i="9"/>
  <c r="F234" i="9"/>
  <c r="E234" i="9"/>
  <c r="F233" i="9"/>
  <c r="E233" i="9"/>
  <c r="F232" i="9"/>
  <c r="E232" i="9"/>
  <c r="F231" i="9"/>
  <c r="E231" i="9"/>
  <c r="F230" i="9"/>
  <c r="E230" i="9"/>
  <c r="F229" i="9"/>
  <c r="E229" i="9"/>
  <c r="F228" i="9"/>
  <c r="E228" i="9"/>
  <c r="F227" i="9"/>
  <c r="E227" i="9"/>
  <c r="F226" i="9"/>
  <c r="E226" i="9"/>
  <c r="F225" i="9"/>
  <c r="E225" i="9"/>
  <c r="F224" i="9"/>
  <c r="E224" i="9"/>
  <c r="F223" i="9"/>
  <c r="E223" i="9"/>
  <c r="F222" i="9"/>
  <c r="E222" i="9"/>
  <c r="F221" i="9"/>
  <c r="E221" i="9"/>
  <c r="F220" i="9"/>
  <c r="E220" i="9"/>
  <c r="F219" i="9"/>
  <c r="E219" i="9"/>
  <c r="F218" i="9"/>
  <c r="E218" i="9"/>
  <c r="F217" i="9"/>
  <c r="E217" i="9"/>
  <c r="F216" i="9"/>
  <c r="E216" i="9"/>
  <c r="F215" i="9"/>
  <c r="E215" i="9"/>
  <c r="F214" i="9"/>
  <c r="E214" i="9"/>
  <c r="F213" i="9"/>
  <c r="E213" i="9"/>
  <c r="F212" i="9"/>
  <c r="E212" i="9"/>
  <c r="F211" i="9"/>
  <c r="E211" i="9"/>
  <c r="F210" i="9"/>
  <c r="E210" i="9"/>
  <c r="F209" i="9"/>
  <c r="E209" i="9"/>
  <c r="F208" i="9"/>
  <c r="E208" i="9"/>
  <c r="F207" i="9"/>
  <c r="E207" i="9"/>
  <c r="F206" i="9"/>
  <c r="E206" i="9"/>
  <c r="F205" i="9"/>
  <c r="E205" i="9"/>
  <c r="F204" i="9"/>
  <c r="E204" i="9"/>
  <c r="F203" i="9"/>
  <c r="E203" i="9"/>
  <c r="F202" i="9"/>
  <c r="E202" i="9"/>
  <c r="F201" i="9"/>
  <c r="E201" i="9"/>
  <c r="F200" i="9"/>
  <c r="E200" i="9"/>
  <c r="F199" i="9"/>
  <c r="E199" i="9"/>
  <c r="F198" i="9"/>
  <c r="E198" i="9"/>
  <c r="F197" i="9"/>
  <c r="E197" i="9"/>
  <c r="F196" i="9"/>
  <c r="E196" i="9"/>
  <c r="F195" i="9"/>
  <c r="E195" i="9"/>
  <c r="F194" i="9"/>
  <c r="E194" i="9"/>
  <c r="F193" i="9"/>
  <c r="E193" i="9"/>
  <c r="F192" i="9"/>
  <c r="E192" i="9"/>
  <c r="F191" i="9"/>
  <c r="E191" i="9"/>
  <c r="F190" i="9"/>
  <c r="E190" i="9"/>
  <c r="F189" i="9"/>
  <c r="E189" i="9"/>
  <c r="F188" i="9"/>
  <c r="E188" i="9"/>
  <c r="F187" i="9"/>
  <c r="E187" i="9"/>
  <c r="F186" i="9"/>
  <c r="E186" i="9"/>
  <c r="F185" i="9"/>
  <c r="E185" i="9"/>
  <c r="F184" i="9"/>
  <c r="E184" i="9"/>
  <c r="F183" i="9"/>
  <c r="E183" i="9"/>
  <c r="F182" i="9"/>
  <c r="E182" i="9"/>
  <c r="F181" i="9"/>
  <c r="E181" i="9"/>
  <c r="F180" i="9"/>
  <c r="E180" i="9"/>
  <c r="F179" i="9"/>
  <c r="E179" i="9"/>
  <c r="F178" i="9"/>
  <c r="E178" i="9"/>
  <c r="F177" i="9"/>
  <c r="E177" i="9"/>
  <c r="F176" i="9"/>
  <c r="E176" i="9"/>
  <c r="F175" i="9"/>
  <c r="E175" i="9"/>
  <c r="F174" i="9"/>
  <c r="E174" i="9"/>
  <c r="F173" i="9"/>
  <c r="E173" i="9"/>
  <c r="F172" i="9"/>
  <c r="E172" i="9"/>
  <c r="F171" i="9"/>
  <c r="E171" i="9"/>
  <c r="F170" i="9"/>
  <c r="E170" i="9"/>
  <c r="F169" i="9"/>
  <c r="E169" i="9"/>
  <c r="F168" i="9"/>
  <c r="E168" i="9"/>
  <c r="F167" i="9"/>
  <c r="E167" i="9"/>
  <c r="F166" i="9"/>
  <c r="E166" i="9"/>
  <c r="F165" i="9"/>
  <c r="E165" i="9"/>
  <c r="F164" i="9"/>
  <c r="E164" i="9"/>
  <c r="F163" i="9"/>
  <c r="E163" i="9"/>
  <c r="F162" i="9"/>
  <c r="E162" i="9"/>
  <c r="F161" i="9"/>
  <c r="E161" i="9"/>
  <c r="F160" i="9"/>
  <c r="E160" i="9"/>
  <c r="F159" i="9"/>
  <c r="E159" i="9"/>
  <c r="F158" i="9"/>
  <c r="E158" i="9"/>
  <c r="F157" i="9"/>
  <c r="E157" i="9"/>
  <c r="F156" i="9"/>
  <c r="E156" i="9"/>
  <c r="F155" i="9"/>
  <c r="E155" i="9"/>
  <c r="F154" i="9"/>
  <c r="E154" i="9"/>
  <c r="F153" i="9"/>
  <c r="E153" i="9"/>
  <c r="F152" i="9"/>
  <c r="E152" i="9"/>
  <c r="F151" i="9"/>
  <c r="E151" i="9"/>
  <c r="F150" i="9"/>
  <c r="E150" i="9"/>
  <c r="F149" i="9"/>
  <c r="E149" i="9"/>
  <c r="F148" i="9"/>
  <c r="E148" i="9"/>
  <c r="F147" i="9"/>
  <c r="E147" i="9"/>
  <c r="F146" i="9"/>
  <c r="E146" i="9"/>
  <c r="F145" i="9"/>
  <c r="E145" i="9"/>
  <c r="F144" i="9"/>
  <c r="E144" i="9"/>
  <c r="F143" i="9"/>
  <c r="E143" i="9"/>
  <c r="F142" i="9"/>
  <c r="E142" i="9"/>
  <c r="F141" i="9"/>
  <c r="E141" i="9"/>
  <c r="F140" i="9"/>
  <c r="E140" i="9"/>
  <c r="F139" i="9"/>
  <c r="E139" i="9"/>
  <c r="F138" i="9"/>
  <c r="E138" i="9"/>
  <c r="F137" i="9"/>
  <c r="E137" i="9"/>
  <c r="F136" i="9"/>
  <c r="E136" i="9"/>
  <c r="F135" i="9"/>
  <c r="E135" i="9"/>
  <c r="F134" i="9"/>
  <c r="E134" i="9"/>
  <c r="F133" i="9"/>
  <c r="E133" i="9"/>
  <c r="F132" i="9"/>
  <c r="E132" i="9"/>
  <c r="F131" i="9"/>
  <c r="E131" i="9"/>
  <c r="F130" i="9"/>
  <c r="E130" i="9"/>
  <c r="F129" i="9"/>
  <c r="E129" i="9"/>
  <c r="F128" i="9"/>
  <c r="E128" i="9"/>
  <c r="F127" i="9"/>
  <c r="E127" i="9"/>
  <c r="F126" i="9"/>
  <c r="E126" i="9"/>
  <c r="F125" i="9"/>
  <c r="E125" i="9"/>
  <c r="F124" i="9"/>
  <c r="E124" i="9"/>
  <c r="F123" i="9"/>
  <c r="E123" i="9"/>
  <c r="F122" i="9"/>
  <c r="E122" i="9"/>
  <c r="F121" i="9"/>
  <c r="E121" i="9"/>
  <c r="F120" i="9"/>
  <c r="E120" i="9"/>
  <c r="F119" i="9"/>
  <c r="E119" i="9"/>
  <c r="F118" i="9"/>
  <c r="E118" i="9"/>
  <c r="F117" i="9"/>
  <c r="E117" i="9"/>
  <c r="F116" i="9"/>
  <c r="E116" i="9"/>
  <c r="F115" i="9"/>
  <c r="E115" i="9"/>
  <c r="F114" i="9"/>
  <c r="E114" i="9"/>
  <c r="F113" i="9"/>
  <c r="E113" i="9"/>
  <c r="F112" i="9"/>
  <c r="E112" i="9"/>
  <c r="F111" i="9"/>
  <c r="E111" i="9"/>
  <c r="F110" i="9"/>
  <c r="E110" i="9"/>
  <c r="F109" i="9"/>
  <c r="E109" i="9"/>
  <c r="F108" i="9"/>
  <c r="E108" i="9"/>
  <c r="F107" i="9"/>
  <c r="E107" i="9"/>
  <c r="F106" i="9"/>
  <c r="E106" i="9"/>
  <c r="F105" i="9"/>
  <c r="E105" i="9"/>
  <c r="F104" i="9"/>
  <c r="E104" i="9"/>
  <c r="F103" i="9"/>
  <c r="E103" i="9"/>
  <c r="F102" i="9"/>
  <c r="E102" i="9"/>
  <c r="F101" i="9"/>
  <c r="E101" i="9"/>
  <c r="F100" i="9"/>
  <c r="E100" i="9"/>
  <c r="F99" i="9"/>
  <c r="E99" i="9"/>
  <c r="F98" i="9"/>
  <c r="E98" i="9"/>
  <c r="F97" i="9"/>
  <c r="E97" i="9"/>
  <c r="F96" i="9"/>
  <c r="E96" i="9"/>
  <c r="F95" i="9"/>
  <c r="E95" i="9"/>
  <c r="F94" i="9"/>
  <c r="E94" i="9"/>
  <c r="F93" i="9"/>
  <c r="E93" i="9"/>
  <c r="F92" i="9"/>
  <c r="E92" i="9"/>
  <c r="F91" i="9"/>
  <c r="E91" i="9"/>
  <c r="F90" i="9"/>
  <c r="E90" i="9"/>
  <c r="F89" i="9"/>
  <c r="E89" i="9"/>
  <c r="F88" i="9"/>
  <c r="E88" i="9"/>
  <c r="F87" i="9"/>
  <c r="E87" i="9"/>
  <c r="F86" i="9"/>
  <c r="E86" i="9"/>
  <c r="F85" i="9"/>
  <c r="E85" i="9"/>
  <c r="F84" i="9"/>
  <c r="E84" i="9"/>
  <c r="F83" i="9"/>
  <c r="E83" i="9"/>
  <c r="F82" i="9"/>
  <c r="E82" i="9"/>
  <c r="F81" i="9"/>
  <c r="E81" i="9"/>
  <c r="F80" i="9"/>
  <c r="E80" i="9"/>
  <c r="F79" i="9"/>
  <c r="E79" i="9"/>
  <c r="F78" i="9"/>
  <c r="E78" i="9"/>
  <c r="F77" i="9"/>
  <c r="E77" i="9"/>
  <c r="F76" i="9"/>
  <c r="E76" i="9"/>
  <c r="F75" i="9"/>
  <c r="E75" i="9"/>
  <c r="F74" i="9"/>
  <c r="E74" i="9"/>
  <c r="F73" i="9"/>
  <c r="E73" i="9"/>
  <c r="F72" i="9"/>
  <c r="E72" i="9"/>
  <c r="F71" i="9"/>
  <c r="E71" i="9"/>
  <c r="F70" i="9"/>
  <c r="E70" i="9"/>
  <c r="F69" i="9"/>
  <c r="E69" i="9"/>
  <c r="F68" i="9"/>
  <c r="E68" i="9"/>
  <c r="F67" i="9"/>
  <c r="E67" i="9"/>
  <c r="F66" i="9"/>
  <c r="E66" i="9"/>
  <c r="F65" i="9"/>
  <c r="E65" i="9"/>
  <c r="F64" i="9"/>
  <c r="E64" i="9"/>
  <c r="F63" i="9"/>
  <c r="E63" i="9"/>
  <c r="F62" i="9"/>
  <c r="E62" i="9"/>
  <c r="F61" i="9"/>
  <c r="E61" i="9"/>
  <c r="F60" i="9"/>
  <c r="E60" i="9"/>
  <c r="F59" i="9"/>
  <c r="E59" i="9"/>
  <c r="F58" i="9"/>
  <c r="E58" i="9"/>
  <c r="F57" i="9"/>
  <c r="E57" i="9"/>
  <c r="F56" i="9"/>
  <c r="E56" i="9"/>
  <c r="F55" i="9"/>
  <c r="E55" i="9"/>
  <c r="F54" i="9"/>
  <c r="E54" i="9"/>
  <c r="F53" i="9"/>
  <c r="E53" i="9"/>
  <c r="F52" i="9"/>
  <c r="E52" i="9"/>
  <c r="F51" i="9"/>
  <c r="E51" i="9"/>
  <c r="F50" i="9"/>
  <c r="E50" i="9"/>
  <c r="F49" i="9"/>
  <c r="E49" i="9"/>
  <c r="F48" i="9"/>
  <c r="E48" i="9"/>
  <c r="F47" i="9"/>
  <c r="E47" i="9"/>
  <c r="F46" i="9"/>
  <c r="E46" i="9"/>
  <c r="F45" i="9"/>
  <c r="E45" i="9"/>
  <c r="F44" i="9"/>
  <c r="E44" i="9"/>
  <c r="F43" i="9"/>
  <c r="E43" i="9"/>
  <c r="F42" i="9"/>
  <c r="E42" i="9"/>
  <c r="F41" i="9"/>
  <c r="E41" i="9"/>
  <c r="F40" i="9"/>
  <c r="E40" i="9"/>
  <c r="F39" i="9"/>
  <c r="E39" i="9"/>
  <c r="F38" i="9"/>
  <c r="E38" i="9"/>
  <c r="F37" i="9"/>
  <c r="E37" i="9"/>
  <c r="F36" i="9"/>
  <c r="E36" i="9"/>
  <c r="F35" i="9"/>
  <c r="E35" i="9"/>
  <c r="F34" i="9"/>
  <c r="E34" i="9"/>
  <c r="F33" i="9"/>
  <c r="E33" i="9"/>
  <c r="F32" i="9"/>
  <c r="E32" i="9"/>
  <c r="F31" i="9"/>
  <c r="E31" i="9"/>
  <c r="F30" i="9"/>
  <c r="E30" i="9"/>
  <c r="F29" i="9"/>
  <c r="E29" i="9"/>
  <c r="F28" i="9"/>
  <c r="E28" i="9"/>
  <c r="F27" i="9"/>
  <c r="E27" i="9"/>
  <c r="F26" i="9"/>
  <c r="E26" i="9"/>
  <c r="F25" i="9"/>
  <c r="E25" i="9"/>
  <c r="F24" i="9"/>
  <c r="E24" i="9"/>
  <c r="F23" i="9"/>
  <c r="E23" i="9"/>
  <c r="F22" i="9"/>
  <c r="E22" i="9"/>
  <c r="F21" i="9"/>
  <c r="E21" i="9"/>
  <c r="F20" i="9"/>
  <c r="E20" i="9"/>
  <c r="F19" i="9"/>
  <c r="E19" i="9"/>
  <c r="F18" i="9"/>
  <c r="E18" i="9"/>
  <c r="F17" i="9"/>
  <c r="E17" i="9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F8" i="9"/>
  <c r="E8" i="9"/>
  <c r="F7" i="9"/>
  <c r="E7" i="9"/>
  <c r="F6" i="9"/>
  <c r="E6" i="9"/>
  <c r="F5" i="9"/>
  <c r="E5" i="9"/>
  <c r="F4" i="9"/>
  <c r="E4" i="9"/>
  <c r="F3" i="9"/>
  <c r="E3" i="9"/>
  <c r="E2" i="9"/>
  <c r="G257" i="8"/>
  <c r="F257" i="8"/>
  <c r="E257" i="8"/>
  <c r="D257" i="8"/>
  <c r="C257" i="8"/>
  <c r="B257" i="8"/>
  <c r="A257" i="8"/>
  <c r="G256" i="8"/>
  <c r="F256" i="8"/>
  <c r="E256" i="8"/>
  <c r="D256" i="8"/>
  <c r="C256" i="8"/>
  <c r="B256" i="8"/>
  <c r="A256" i="8"/>
  <c r="G255" i="8"/>
  <c r="F255" i="8"/>
  <c r="E255" i="8"/>
  <c r="D255" i="8"/>
  <c r="C255" i="8"/>
  <c r="B255" i="8"/>
  <c r="A255" i="8"/>
  <c r="G254" i="8"/>
  <c r="F254" i="8"/>
  <c r="E254" i="8"/>
  <c r="D254" i="8"/>
  <c r="C254" i="8"/>
  <c r="B254" i="8"/>
  <c r="A254" i="8"/>
  <c r="G253" i="8"/>
  <c r="F253" i="8"/>
  <c r="E253" i="8"/>
  <c r="D253" i="8"/>
  <c r="C253" i="8"/>
  <c r="B253" i="8"/>
  <c r="A253" i="8"/>
  <c r="G252" i="8"/>
  <c r="F252" i="8"/>
  <c r="E252" i="8"/>
  <c r="D252" i="8"/>
  <c r="C252" i="8"/>
  <c r="B252" i="8"/>
  <c r="A252" i="8"/>
  <c r="G251" i="8"/>
  <c r="F251" i="8"/>
  <c r="E251" i="8"/>
  <c r="D251" i="8"/>
  <c r="C251" i="8"/>
  <c r="B251" i="8"/>
  <c r="A251" i="8"/>
  <c r="G250" i="8"/>
  <c r="F250" i="8"/>
  <c r="E250" i="8"/>
  <c r="D250" i="8"/>
  <c r="C250" i="8"/>
  <c r="B250" i="8"/>
  <c r="A250" i="8"/>
  <c r="G249" i="8"/>
  <c r="F249" i="8"/>
  <c r="E249" i="8"/>
  <c r="D249" i="8"/>
  <c r="C249" i="8"/>
  <c r="B249" i="8"/>
  <c r="A249" i="8"/>
  <c r="G248" i="8"/>
  <c r="F248" i="8"/>
  <c r="E248" i="8"/>
  <c r="D248" i="8"/>
  <c r="C248" i="8"/>
  <c r="B248" i="8"/>
  <c r="A248" i="8"/>
  <c r="G247" i="8"/>
  <c r="F247" i="8"/>
  <c r="E247" i="8"/>
  <c r="D247" i="8"/>
  <c r="C247" i="8"/>
  <c r="B247" i="8"/>
  <c r="A247" i="8"/>
  <c r="G246" i="8"/>
  <c r="F246" i="8"/>
  <c r="E246" i="8"/>
  <c r="D246" i="8"/>
  <c r="C246" i="8"/>
  <c r="B246" i="8"/>
  <c r="A246" i="8"/>
  <c r="G245" i="8"/>
  <c r="F245" i="8"/>
  <c r="E245" i="8"/>
  <c r="D245" i="8"/>
  <c r="C245" i="8"/>
  <c r="B245" i="8"/>
  <c r="A245" i="8"/>
  <c r="G244" i="8"/>
  <c r="F244" i="8"/>
  <c r="E244" i="8"/>
  <c r="D244" i="8"/>
  <c r="C244" i="8"/>
  <c r="B244" i="8"/>
  <c r="A244" i="8"/>
  <c r="G243" i="8"/>
  <c r="F243" i="8"/>
  <c r="E243" i="8"/>
  <c r="D243" i="8"/>
  <c r="C243" i="8"/>
  <c r="B243" i="8"/>
  <c r="A243" i="8"/>
  <c r="G242" i="8"/>
  <c r="F242" i="8"/>
  <c r="E242" i="8"/>
  <c r="D242" i="8"/>
  <c r="C242" i="8"/>
  <c r="B242" i="8"/>
  <c r="A242" i="8"/>
  <c r="G241" i="8"/>
  <c r="F241" i="8"/>
  <c r="E241" i="8"/>
  <c r="D241" i="8"/>
  <c r="C241" i="8"/>
  <c r="B241" i="8"/>
  <c r="A241" i="8"/>
  <c r="G240" i="8"/>
  <c r="F240" i="8"/>
  <c r="E240" i="8"/>
  <c r="D240" i="8"/>
  <c r="C240" i="8"/>
  <c r="B240" i="8"/>
  <c r="A240" i="8"/>
  <c r="G239" i="8"/>
  <c r="F239" i="8"/>
  <c r="E239" i="8"/>
  <c r="D239" i="8"/>
  <c r="C239" i="8"/>
  <c r="B239" i="8"/>
  <c r="A239" i="8"/>
  <c r="G238" i="8"/>
  <c r="F238" i="8"/>
  <c r="E238" i="8"/>
  <c r="D238" i="8"/>
  <c r="C238" i="8"/>
  <c r="B238" i="8"/>
  <c r="A238" i="8"/>
  <c r="G237" i="8"/>
  <c r="F237" i="8"/>
  <c r="E237" i="8"/>
  <c r="D237" i="8"/>
  <c r="C237" i="8"/>
  <c r="B237" i="8"/>
  <c r="A237" i="8"/>
  <c r="G236" i="8"/>
  <c r="F236" i="8"/>
  <c r="E236" i="8"/>
  <c r="D236" i="8"/>
  <c r="C236" i="8"/>
  <c r="B236" i="8"/>
  <c r="A236" i="8"/>
  <c r="G235" i="8"/>
  <c r="F235" i="8"/>
  <c r="E235" i="8"/>
  <c r="D235" i="8"/>
  <c r="C235" i="8"/>
  <c r="B235" i="8"/>
  <c r="A235" i="8"/>
  <c r="G234" i="8"/>
  <c r="F234" i="8"/>
  <c r="E234" i="8"/>
  <c r="D234" i="8"/>
  <c r="C234" i="8"/>
  <c r="B234" i="8"/>
  <c r="A234" i="8"/>
  <c r="G233" i="8"/>
  <c r="F233" i="8"/>
  <c r="E233" i="8"/>
  <c r="D233" i="8"/>
  <c r="C233" i="8"/>
  <c r="B233" i="8"/>
  <c r="A233" i="8"/>
  <c r="G232" i="8"/>
  <c r="F232" i="8"/>
  <c r="E232" i="8"/>
  <c r="D232" i="8"/>
  <c r="C232" i="8"/>
  <c r="B232" i="8"/>
  <c r="A232" i="8"/>
  <c r="G231" i="8"/>
  <c r="F231" i="8"/>
  <c r="E231" i="8"/>
  <c r="D231" i="8"/>
  <c r="C231" i="8"/>
  <c r="B231" i="8"/>
  <c r="A231" i="8"/>
  <c r="G230" i="8"/>
  <c r="F230" i="8"/>
  <c r="E230" i="8"/>
  <c r="D230" i="8"/>
  <c r="C230" i="8"/>
  <c r="B230" i="8"/>
  <c r="A230" i="8"/>
  <c r="G229" i="8"/>
  <c r="F229" i="8"/>
  <c r="E229" i="8"/>
  <c r="D229" i="8"/>
  <c r="C229" i="8"/>
  <c r="B229" i="8"/>
  <c r="A229" i="8"/>
  <c r="G228" i="8"/>
  <c r="F228" i="8"/>
  <c r="E228" i="8"/>
  <c r="D228" i="8"/>
  <c r="C228" i="8"/>
  <c r="B228" i="8"/>
  <c r="A228" i="8"/>
  <c r="G227" i="8"/>
  <c r="F227" i="8"/>
  <c r="E227" i="8"/>
  <c r="D227" i="8"/>
  <c r="C227" i="8"/>
  <c r="B227" i="8"/>
  <c r="A227" i="8"/>
  <c r="G226" i="8"/>
  <c r="F226" i="8"/>
  <c r="E226" i="8"/>
  <c r="D226" i="8"/>
  <c r="C226" i="8"/>
  <c r="B226" i="8"/>
  <c r="A226" i="8"/>
  <c r="G225" i="8"/>
  <c r="F225" i="8"/>
  <c r="E225" i="8"/>
  <c r="D225" i="8"/>
  <c r="C225" i="8"/>
  <c r="B225" i="8"/>
  <c r="A225" i="8"/>
  <c r="G224" i="8"/>
  <c r="F224" i="8"/>
  <c r="E224" i="8"/>
  <c r="D224" i="8"/>
  <c r="C224" i="8"/>
  <c r="B224" i="8"/>
  <c r="A224" i="8"/>
  <c r="G223" i="8"/>
  <c r="F223" i="8"/>
  <c r="E223" i="8"/>
  <c r="D223" i="8"/>
  <c r="C223" i="8"/>
  <c r="B223" i="8"/>
  <c r="A223" i="8"/>
  <c r="G222" i="8"/>
  <c r="F222" i="8"/>
  <c r="E222" i="8"/>
  <c r="D222" i="8"/>
  <c r="C222" i="8"/>
  <c r="B222" i="8"/>
  <c r="A222" i="8"/>
  <c r="G221" i="8"/>
  <c r="F221" i="8"/>
  <c r="E221" i="8"/>
  <c r="D221" i="8"/>
  <c r="C221" i="8"/>
  <c r="B221" i="8"/>
  <c r="A221" i="8"/>
  <c r="G220" i="8"/>
  <c r="F220" i="8"/>
  <c r="E220" i="8"/>
  <c r="D220" i="8"/>
  <c r="C220" i="8"/>
  <c r="B220" i="8"/>
  <c r="A220" i="8"/>
  <c r="G219" i="8"/>
  <c r="F219" i="8"/>
  <c r="E219" i="8"/>
  <c r="D219" i="8"/>
  <c r="C219" i="8"/>
  <c r="B219" i="8"/>
  <c r="A219" i="8"/>
  <c r="G218" i="8"/>
  <c r="F218" i="8"/>
  <c r="E218" i="8"/>
  <c r="D218" i="8"/>
  <c r="C218" i="8"/>
  <c r="B218" i="8"/>
  <c r="A218" i="8"/>
  <c r="G217" i="8"/>
  <c r="F217" i="8"/>
  <c r="E217" i="8"/>
  <c r="D217" i="8"/>
  <c r="C217" i="8"/>
  <c r="B217" i="8"/>
  <c r="A217" i="8"/>
  <c r="G216" i="8"/>
  <c r="F216" i="8"/>
  <c r="E216" i="8"/>
  <c r="D216" i="8"/>
  <c r="C216" i="8"/>
  <c r="B216" i="8"/>
  <c r="A216" i="8"/>
  <c r="G215" i="8"/>
  <c r="F215" i="8"/>
  <c r="E215" i="8"/>
  <c r="D215" i="8"/>
  <c r="C215" i="8"/>
  <c r="B215" i="8"/>
  <c r="A215" i="8"/>
  <c r="G214" i="8"/>
  <c r="F214" i="8"/>
  <c r="E214" i="8"/>
  <c r="D214" i="8"/>
  <c r="C214" i="8"/>
  <c r="B214" i="8"/>
  <c r="A214" i="8"/>
  <c r="G213" i="8"/>
  <c r="F213" i="8"/>
  <c r="E213" i="8"/>
  <c r="D213" i="8"/>
  <c r="C213" i="8"/>
  <c r="B213" i="8"/>
  <c r="A213" i="8"/>
  <c r="G212" i="8"/>
  <c r="F212" i="8"/>
  <c r="E212" i="8"/>
  <c r="D212" i="8"/>
  <c r="C212" i="8"/>
  <c r="B212" i="8"/>
  <c r="A212" i="8"/>
  <c r="G211" i="8"/>
  <c r="F211" i="8"/>
  <c r="E211" i="8"/>
  <c r="D211" i="8"/>
  <c r="C211" i="8"/>
  <c r="B211" i="8"/>
  <c r="A211" i="8"/>
  <c r="G210" i="8"/>
  <c r="F210" i="8"/>
  <c r="E210" i="8"/>
  <c r="D210" i="8"/>
  <c r="C210" i="8"/>
  <c r="B210" i="8"/>
  <c r="A210" i="8"/>
  <c r="G209" i="8"/>
  <c r="F209" i="8"/>
  <c r="E209" i="8"/>
  <c r="D209" i="8"/>
  <c r="C209" i="8"/>
  <c r="B209" i="8"/>
  <c r="A209" i="8"/>
  <c r="G208" i="8"/>
  <c r="F208" i="8"/>
  <c r="E208" i="8"/>
  <c r="D208" i="8"/>
  <c r="C208" i="8"/>
  <c r="B208" i="8"/>
  <c r="A208" i="8"/>
  <c r="G207" i="8"/>
  <c r="F207" i="8"/>
  <c r="E207" i="8"/>
  <c r="D207" i="8"/>
  <c r="C207" i="8"/>
  <c r="B207" i="8"/>
  <c r="A207" i="8"/>
  <c r="G206" i="8"/>
  <c r="F206" i="8"/>
  <c r="E206" i="8"/>
  <c r="D206" i="8"/>
  <c r="C206" i="8"/>
  <c r="B206" i="8"/>
  <c r="A206" i="8"/>
  <c r="G205" i="8"/>
  <c r="F205" i="8"/>
  <c r="E205" i="8"/>
  <c r="D205" i="8"/>
  <c r="C205" i="8"/>
  <c r="B205" i="8"/>
  <c r="A205" i="8"/>
  <c r="G204" i="8"/>
  <c r="F204" i="8"/>
  <c r="E204" i="8"/>
  <c r="D204" i="8"/>
  <c r="C204" i="8"/>
  <c r="B204" i="8"/>
  <c r="A204" i="8"/>
  <c r="G203" i="8"/>
  <c r="F203" i="8"/>
  <c r="E203" i="8"/>
  <c r="D203" i="8"/>
  <c r="C203" i="8"/>
  <c r="B203" i="8"/>
  <c r="A203" i="8"/>
  <c r="G202" i="8"/>
  <c r="F202" i="8"/>
  <c r="E202" i="8"/>
  <c r="D202" i="8"/>
  <c r="C202" i="8"/>
  <c r="B202" i="8"/>
  <c r="A202" i="8"/>
  <c r="G201" i="8"/>
  <c r="F201" i="8"/>
  <c r="E201" i="8"/>
  <c r="D201" i="8"/>
  <c r="C201" i="8"/>
  <c r="B201" i="8"/>
  <c r="A201" i="8"/>
  <c r="G200" i="8"/>
  <c r="F200" i="8"/>
  <c r="E200" i="8"/>
  <c r="D200" i="8"/>
  <c r="C200" i="8"/>
  <c r="B200" i="8"/>
  <c r="A200" i="8"/>
  <c r="G199" i="8"/>
  <c r="F199" i="8"/>
  <c r="E199" i="8"/>
  <c r="D199" i="8"/>
  <c r="C199" i="8"/>
  <c r="B199" i="8"/>
  <c r="A199" i="8"/>
  <c r="G198" i="8"/>
  <c r="F198" i="8"/>
  <c r="E198" i="8"/>
  <c r="D198" i="8"/>
  <c r="C198" i="8"/>
  <c r="B198" i="8"/>
  <c r="A198" i="8"/>
  <c r="G197" i="8"/>
  <c r="F197" i="8"/>
  <c r="E197" i="8"/>
  <c r="D197" i="8"/>
  <c r="C197" i="8"/>
  <c r="B197" i="8"/>
  <c r="A197" i="8"/>
  <c r="G196" i="8"/>
  <c r="F196" i="8"/>
  <c r="E196" i="8"/>
  <c r="D196" i="8"/>
  <c r="C196" i="8"/>
  <c r="B196" i="8"/>
  <c r="A196" i="8"/>
  <c r="G195" i="8"/>
  <c r="F195" i="8"/>
  <c r="E195" i="8"/>
  <c r="D195" i="8"/>
  <c r="C195" i="8"/>
  <c r="B195" i="8"/>
  <c r="A195" i="8"/>
  <c r="G194" i="8"/>
  <c r="F194" i="8"/>
  <c r="E194" i="8"/>
  <c r="D194" i="8"/>
  <c r="C194" i="8"/>
  <c r="B194" i="8"/>
  <c r="A194" i="8"/>
  <c r="G193" i="8"/>
  <c r="F193" i="8"/>
  <c r="E193" i="8"/>
  <c r="D193" i="8"/>
  <c r="C193" i="8"/>
  <c r="B193" i="8"/>
  <c r="A193" i="8"/>
  <c r="G192" i="8"/>
  <c r="F192" i="8"/>
  <c r="E192" i="8"/>
  <c r="D192" i="8"/>
  <c r="C192" i="8"/>
  <c r="B192" i="8"/>
  <c r="A192" i="8"/>
  <c r="G191" i="8"/>
  <c r="F191" i="8"/>
  <c r="E191" i="8"/>
  <c r="D191" i="8"/>
  <c r="C191" i="8"/>
  <c r="B191" i="8"/>
  <c r="A191" i="8"/>
  <c r="G190" i="8"/>
  <c r="F190" i="8"/>
  <c r="E190" i="8"/>
  <c r="D190" i="8"/>
  <c r="C190" i="8"/>
  <c r="B190" i="8"/>
  <c r="A190" i="8"/>
  <c r="G189" i="8"/>
  <c r="F189" i="8"/>
  <c r="E189" i="8"/>
  <c r="D189" i="8"/>
  <c r="C189" i="8"/>
  <c r="B189" i="8"/>
  <c r="A189" i="8"/>
  <c r="G188" i="8"/>
  <c r="F188" i="8"/>
  <c r="E188" i="8"/>
  <c r="D188" i="8"/>
  <c r="C188" i="8"/>
  <c r="B188" i="8"/>
  <c r="A188" i="8"/>
  <c r="G187" i="8"/>
  <c r="F187" i="8"/>
  <c r="E187" i="8"/>
  <c r="D187" i="8"/>
  <c r="C187" i="8"/>
  <c r="B187" i="8"/>
  <c r="A187" i="8"/>
  <c r="G186" i="8"/>
  <c r="F186" i="8"/>
  <c r="E186" i="8"/>
  <c r="D186" i="8"/>
  <c r="C186" i="8"/>
  <c r="B186" i="8"/>
  <c r="A186" i="8"/>
  <c r="G185" i="8"/>
  <c r="F185" i="8"/>
  <c r="E185" i="8"/>
  <c r="D185" i="8"/>
  <c r="C185" i="8"/>
  <c r="B185" i="8"/>
  <c r="A185" i="8"/>
  <c r="G184" i="8"/>
  <c r="F184" i="8"/>
  <c r="E184" i="8"/>
  <c r="D184" i="8"/>
  <c r="C184" i="8"/>
  <c r="B184" i="8"/>
  <c r="A184" i="8"/>
  <c r="G183" i="8"/>
  <c r="F183" i="8"/>
  <c r="E183" i="8"/>
  <c r="D183" i="8"/>
  <c r="C183" i="8"/>
  <c r="B183" i="8"/>
  <c r="A183" i="8"/>
  <c r="G182" i="8"/>
  <c r="F182" i="8"/>
  <c r="E182" i="8"/>
  <c r="D182" i="8"/>
  <c r="C182" i="8"/>
  <c r="B182" i="8"/>
  <c r="A182" i="8"/>
  <c r="G181" i="8"/>
  <c r="F181" i="8"/>
  <c r="E181" i="8"/>
  <c r="D181" i="8"/>
  <c r="C181" i="8"/>
  <c r="B181" i="8"/>
  <c r="A181" i="8"/>
  <c r="G180" i="8"/>
  <c r="F180" i="8"/>
  <c r="E180" i="8"/>
  <c r="D180" i="8"/>
  <c r="C180" i="8"/>
  <c r="B180" i="8"/>
  <c r="A180" i="8"/>
  <c r="G179" i="8"/>
  <c r="F179" i="8"/>
  <c r="E179" i="8"/>
  <c r="D179" i="8"/>
  <c r="C179" i="8"/>
  <c r="B179" i="8"/>
  <c r="A179" i="8"/>
  <c r="G178" i="8"/>
  <c r="F178" i="8"/>
  <c r="E178" i="8"/>
  <c r="D178" i="8"/>
  <c r="C178" i="8"/>
  <c r="B178" i="8"/>
  <c r="A178" i="8"/>
  <c r="G177" i="8"/>
  <c r="F177" i="8"/>
  <c r="E177" i="8"/>
  <c r="D177" i="8"/>
  <c r="C177" i="8"/>
  <c r="B177" i="8"/>
  <c r="A177" i="8"/>
  <c r="G176" i="8"/>
  <c r="F176" i="8"/>
  <c r="E176" i="8"/>
  <c r="D176" i="8"/>
  <c r="C176" i="8"/>
  <c r="B176" i="8"/>
  <c r="A176" i="8"/>
  <c r="G175" i="8"/>
  <c r="F175" i="8"/>
  <c r="E175" i="8"/>
  <c r="D175" i="8"/>
  <c r="C175" i="8"/>
  <c r="B175" i="8"/>
  <c r="A175" i="8"/>
  <c r="G174" i="8"/>
  <c r="F174" i="8"/>
  <c r="E174" i="8"/>
  <c r="D174" i="8"/>
  <c r="C174" i="8"/>
  <c r="B174" i="8"/>
  <c r="A174" i="8"/>
  <c r="G173" i="8"/>
  <c r="F173" i="8"/>
  <c r="E173" i="8"/>
  <c r="D173" i="8"/>
  <c r="C173" i="8"/>
  <c r="B173" i="8"/>
  <c r="A173" i="8"/>
  <c r="G172" i="8"/>
  <c r="F172" i="8"/>
  <c r="E172" i="8"/>
  <c r="D172" i="8"/>
  <c r="C172" i="8"/>
  <c r="B172" i="8"/>
  <c r="A172" i="8"/>
  <c r="G171" i="8"/>
  <c r="F171" i="8"/>
  <c r="E171" i="8"/>
  <c r="D171" i="8"/>
  <c r="C171" i="8"/>
  <c r="B171" i="8"/>
  <c r="A171" i="8"/>
  <c r="G170" i="8"/>
  <c r="F170" i="8"/>
  <c r="E170" i="8"/>
  <c r="D170" i="8"/>
  <c r="C170" i="8"/>
  <c r="B170" i="8"/>
  <c r="A170" i="8"/>
  <c r="G169" i="8"/>
  <c r="F169" i="8"/>
  <c r="E169" i="8"/>
  <c r="D169" i="8"/>
  <c r="C169" i="8"/>
  <c r="B169" i="8"/>
  <c r="A169" i="8"/>
  <c r="G168" i="8"/>
  <c r="F168" i="8"/>
  <c r="E168" i="8"/>
  <c r="D168" i="8"/>
  <c r="C168" i="8"/>
  <c r="B168" i="8"/>
  <c r="A168" i="8"/>
  <c r="G167" i="8"/>
  <c r="F167" i="8"/>
  <c r="E167" i="8"/>
  <c r="D167" i="8"/>
  <c r="C167" i="8"/>
  <c r="B167" i="8"/>
  <c r="A167" i="8"/>
  <c r="G166" i="8"/>
  <c r="F166" i="8"/>
  <c r="E166" i="8"/>
  <c r="D166" i="8"/>
  <c r="C166" i="8"/>
  <c r="B166" i="8"/>
  <c r="A166" i="8"/>
  <c r="G165" i="8"/>
  <c r="F165" i="8"/>
  <c r="E165" i="8"/>
  <c r="D165" i="8"/>
  <c r="C165" i="8"/>
  <c r="B165" i="8"/>
  <c r="A165" i="8"/>
  <c r="G164" i="8"/>
  <c r="F164" i="8"/>
  <c r="E164" i="8"/>
  <c r="D164" i="8"/>
  <c r="C164" i="8"/>
  <c r="B164" i="8"/>
  <c r="A164" i="8"/>
  <c r="G163" i="8"/>
  <c r="F163" i="8"/>
  <c r="E163" i="8"/>
  <c r="D163" i="8"/>
  <c r="C163" i="8"/>
  <c r="B163" i="8"/>
  <c r="A163" i="8"/>
  <c r="G162" i="8"/>
  <c r="F162" i="8"/>
  <c r="E162" i="8"/>
  <c r="D162" i="8"/>
  <c r="C162" i="8"/>
  <c r="B162" i="8"/>
  <c r="A162" i="8"/>
  <c r="G161" i="8"/>
  <c r="F161" i="8"/>
  <c r="E161" i="8"/>
  <c r="D161" i="8"/>
  <c r="C161" i="8"/>
  <c r="B161" i="8"/>
  <c r="A161" i="8"/>
  <c r="G160" i="8"/>
  <c r="F160" i="8"/>
  <c r="E160" i="8"/>
  <c r="D160" i="8"/>
  <c r="C160" i="8"/>
  <c r="B160" i="8"/>
  <c r="A160" i="8"/>
  <c r="G159" i="8"/>
  <c r="F159" i="8"/>
  <c r="E159" i="8"/>
  <c r="D159" i="8"/>
  <c r="C159" i="8"/>
  <c r="B159" i="8"/>
  <c r="A159" i="8"/>
  <c r="G158" i="8"/>
  <c r="F158" i="8"/>
  <c r="E158" i="8"/>
  <c r="D158" i="8"/>
  <c r="C158" i="8"/>
  <c r="B158" i="8"/>
  <c r="A158" i="8"/>
  <c r="G157" i="8"/>
  <c r="F157" i="8"/>
  <c r="E157" i="8"/>
  <c r="D157" i="8"/>
  <c r="C157" i="8"/>
  <c r="B157" i="8"/>
  <c r="A157" i="8"/>
  <c r="G156" i="8"/>
  <c r="F156" i="8"/>
  <c r="E156" i="8"/>
  <c r="D156" i="8"/>
  <c r="C156" i="8"/>
  <c r="B156" i="8"/>
  <c r="A156" i="8"/>
  <c r="G155" i="8"/>
  <c r="F155" i="8"/>
  <c r="E155" i="8"/>
  <c r="D155" i="8"/>
  <c r="C155" i="8"/>
  <c r="B155" i="8"/>
  <c r="A155" i="8"/>
  <c r="G154" i="8"/>
  <c r="F154" i="8"/>
  <c r="E154" i="8"/>
  <c r="D154" i="8"/>
  <c r="C154" i="8"/>
  <c r="B154" i="8"/>
  <c r="A154" i="8"/>
  <c r="G153" i="8"/>
  <c r="F153" i="8"/>
  <c r="E153" i="8"/>
  <c r="D153" i="8"/>
  <c r="C153" i="8"/>
  <c r="B153" i="8"/>
  <c r="A153" i="8"/>
  <c r="G152" i="8"/>
  <c r="F152" i="8"/>
  <c r="E152" i="8"/>
  <c r="D152" i="8"/>
  <c r="C152" i="8"/>
  <c r="B152" i="8"/>
  <c r="A152" i="8"/>
  <c r="G151" i="8"/>
  <c r="F151" i="8"/>
  <c r="E151" i="8"/>
  <c r="D151" i="8"/>
  <c r="C151" i="8"/>
  <c r="B151" i="8"/>
  <c r="A151" i="8"/>
  <c r="G150" i="8"/>
  <c r="F150" i="8"/>
  <c r="E150" i="8"/>
  <c r="D150" i="8"/>
  <c r="C150" i="8"/>
  <c r="B150" i="8"/>
  <c r="A150" i="8"/>
  <c r="G149" i="8"/>
  <c r="F149" i="8"/>
  <c r="E149" i="8"/>
  <c r="D149" i="8"/>
  <c r="C149" i="8"/>
  <c r="B149" i="8"/>
  <c r="A149" i="8"/>
  <c r="G148" i="8"/>
  <c r="F148" i="8"/>
  <c r="E148" i="8"/>
  <c r="D148" i="8"/>
  <c r="C148" i="8"/>
  <c r="B148" i="8"/>
  <c r="A148" i="8"/>
  <c r="G147" i="8"/>
  <c r="F147" i="8"/>
  <c r="E147" i="8"/>
  <c r="D147" i="8"/>
  <c r="C147" i="8"/>
  <c r="B147" i="8"/>
  <c r="A147" i="8"/>
  <c r="G146" i="8"/>
  <c r="F146" i="8"/>
  <c r="E146" i="8"/>
  <c r="D146" i="8"/>
  <c r="C146" i="8"/>
  <c r="B146" i="8"/>
  <c r="A146" i="8"/>
  <c r="G145" i="8"/>
  <c r="F145" i="8"/>
  <c r="E145" i="8"/>
  <c r="D145" i="8"/>
  <c r="C145" i="8"/>
  <c r="B145" i="8"/>
  <c r="A145" i="8"/>
  <c r="G144" i="8"/>
  <c r="F144" i="8"/>
  <c r="E144" i="8"/>
  <c r="D144" i="8"/>
  <c r="C144" i="8"/>
  <c r="B144" i="8"/>
  <c r="A144" i="8"/>
  <c r="G143" i="8"/>
  <c r="F143" i="8"/>
  <c r="E143" i="8"/>
  <c r="D143" i="8"/>
  <c r="C143" i="8"/>
  <c r="B143" i="8"/>
  <c r="A143" i="8"/>
  <c r="G142" i="8"/>
  <c r="F142" i="8"/>
  <c r="E142" i="8"/>
  <c r="D142" i="8"/>
  <c r="C142" i="8"/>
  <c r="B142" i="8"/>
  <c r="A142" i="8"/>
  <c r="G141" i="8"/>
  <c r="F141" i="8"/>
  <c r="E141" i="8"/>
  <c r="D141" i="8"/>
  <c r="C141" i="8"/>
  <c r="B141" i="8"/>
  <c r="A141" i="8"/>
  <c r="G140" i="8"/>
  <c r="F140" i="8"/>
  <c r="E140" i="8"/>
  <c r="D140" i="8"/>
  <c r="C140" i="8"/>
  <c r="B140" i="8"/>
  <c r="A140" i="8"/>
  <c r="G139" i="8"/>
  <c r="F139" i="8"/>
  <c r="E139" i="8"/>
  <c r="D139" i="8"/>
  <c r="C139" i="8"/>
  <c r="B139" i="8"/>
  <c r="A139" i="8"/>
  <c r="G138" i="8"/>
  <c r="F138" i="8"/>
  <c r="E138" i="8"/>
  <c r="D138" i="8"/>
  <c r="C138" i="8"/>
  <c r="B138" i="8"/>
  <c r="A138" i="8"/>
  <c r="G137" i="8"/>
  <c r="F137" i="8"/>
  <c r="E137" i="8"/>
  <c r="D137" i="8"/>
  <c r="C137" i="8"/>
  <c r="B137" i="8"/>
  <c r="A137" i="8"/>
  <c r="G136" i="8"/>
  <c r="F136" i="8"/>
  <c r="E136" i="8"/>
  <c r="D136" i="8"/>
  <c r="C136" i="8"/>
  <c r="B136" i="8"/>
  <c r="A136" i="8"/>
  <c r="G135" i="8"/>
  <c r="F135" i="8"/>
  <c r="E135" i="8"/>
  <c r="D135" i="8"/>
  <c r="C135" i="8"/>
  <c r="B135" i="8"/>
  <c r="A135" i="8"/>
  <c r="G134" i="8"/>
  <c r="F134" i="8"/>
  <c r="E134" i="8"/>
  <c r="D134" i="8"/>
  <c r="C134" i="8"/>
  <c r="B134" i="8"/>
  <c r="A134" i="8"/>
  <c r="G133" i="8"/>
  <c r="F133" i="8"/>
  <c r="E133" i="8"/>
  <c r="D133" i="8"/>
  <c r="C133" i="8"/>
  <c r="B133" i="8"/>
  <c r="A133" i="8"/>
  <c r="G132" i="8"/>
  <c r="F132" i="8"/>
  <c r="E132" i="8"/>
  <c r="D132" i="8"/>
  <c r="C132" i="8"/>
  <c r="B132" i="8"/>
  <c r="A132" i="8"/>
  <c r="G131" i="8"/>
  <c r="F131" i="8"/>
  <c r="E131" i="8"/>
  <c r="D131" i="8"/>
  <c r="C131" i="8"/>
  <c r="B131" i="8"/>
  <c r="A131" i="8"/>
  <c r="G130" i="8"/>
  <c r="F130" i="8"/>
  <c r="E130" i="8"/>
  <c r="D130" i="8"/>
  <c r="C130" i="8"/>
  <c r="B130" i="8"/>
  <c r="A130" i="8"/>
  <c r="G129" i="8"/>
  <c r="F129" i="8"/>
  <c r="E129" i="8"/>
  <c r="D129" i="8"/>
  <c r="C129" i="8"/>
  <c r="B129" i="8"/>
  <c r="A129" i="8"/>
  <c r="G128" i="8"/>
  <c r="F128" i="8"/>
  <c r="E128" i="8"/>
  <c r="D128" i="8"/>
  <c r="C128" i="8"/>
  <c r="B128" i="8"/>
  <c r="A128" i="8"/>
  <c r="G127" i="8"/>
  <c r="F127" i="8"/>
  <c r="E127" i="8"/>
  <c r="D127" i="8"/>
  <c r="C127" i="8"/>
  <c r="B127" i="8"/>
  <c r="A127" i="8"/>
  <c r="G126" i="8"/>
  <c r="F126" i="8"/>
  <c r="E126" i="8"/>
  <c r="D126" i="8"/>
  <c r="C126" i="8"/>
  <c r="B126" i="8"/>
  <c r="A126" i="8"/>
  <c r="G125" i="8"/>
  <c r="F125" i="8"/>
  <c r="E125" i="8"/>
  <c r="D125" i="8"/>
  <c r="C125" i="8"/>
  <c r="B125" i="8"/>
  <c r="A125" i="8"/>
  <c r="G124" i="8"/>
  <c r="F124" i="8"/>
  <c r="E124" i="8"/>
  <c r="D124" i="8"/>
  <c r="C124" i="8"/>
  <c r="B124" i="8"/>
  <c r="A124" i="8"/>
  <c r="G123" i="8"/>
  <c r="F123" i="8"/>
  <c r="E123" i="8"/>
  <c r="D123" i="8"/>
  <c r="C123" i="8"/>
  <c r="B123" i="8"/>
  <c r="A123" i="8"/>
  <c r="G122" i="8"/>
  <c r="F122" i="8"/>
  <c r="E122" i="8"/>
  <c r="D122" i="8"/>
  <c r="C122" i="8"/>
  <c r="B122" i="8"/>
  <c r="A122" i="8"/>
  <c r="G121" i="8"/>
  <c r="F121" i="8"/>
  <c r="E121" i="8"/>
  <c r="D121" i="8"/>
  <c r="C121" i="8"/>
  <c r="B121" i="8"/>
  <c r="A121" i="8"/>
  <c r="G120" i="8"/>
  <c r="F120" i="8"/>
  <c r="E120" i="8"/>
  <c r="D120" i="8"/>
  <c r="C120" i="8"/>
  <c r="B120" i="8"/>
  <c r="A120" i="8"/>
  <c r="G119" i="8"/>
  <c r="F119" i="8"/>
  <c r="E119" i="8"/>
  <c r="D119" i="8"/>
  <c r="C119" i="8"/>
  <c r="B119" i="8"/>
  <c r="A119" i="8"/>
  <c r="G118" i="8"/>
  <c r="F118" i="8"/>
  <c r="E118" i="8"/>
  <c r="D118" i="8"/>
  <c r="C118" i="8"/>
  <c r="B118" i="8"/>
  <c r="A118" i="8"/>
  <c r="G117" i="8"/>
  <c r="F117" i="8"/>
  <c r="E117" i="8"/>
  <c r="D117" i="8"/>
  <c r="C117" i="8"/>
  <c r="B117" i="8"/>
  <c r="A117" i="8"/>
  <c r="G116" i="8"/>
  <c r="F116" i="8"/>
  <c r="E116" i="8"/>
  <c r="D116" i="8"/>
  <c r="C116" i="8"/>
  <c r="B116" i="8"/>
  <c r="A116" i="8"/>
  <c r="G115" i="8"/>
  <c r="F115" i="8"/>
  <c r="E115" i="8"/>
  <c r="D115" i="8"/>
  <c r="C115" i="8"/>
  <c r="B115" i="8"/>
  <c r="A115" i="8"/>
  <c r="G114" i="8"/>
  <c r="F114" i="8"/>
  <c r="E114" i="8"/>
  <c r="D114" i="8"/>
  <c r="C114" i="8"/>
  <c r="B114" i="8"/>
  <c r="A114" i="8"/>
  <c r="G113" i="8"/>
  <c r="F113" i="8"/>
  <c r="E113" i="8"/>
  <c r="D113" i="8"/>
  <c r="C113" i="8"/>
  <c r="B113" i="8"/>
  <c r="A113" i="8"/>
  <c r="G112" i="8"/>
  <c r="F112" i="8"/>
  <c r="E112" i="8"/>
  <c r="D112" i="8"/>
  <c r="C112" i="8"/>
  <c r="B112" i="8"/>
  <c r="A112" i="8"/>
  <c r="G111" i="8"/>
  <c r="F111" i="8"/>
  <c r="E111" i="8"/>
  <c r="D111" i="8"/>
  <c r="C111" i="8"/>
  <c r="B111" i="8"/>
  <c r="A111" i="8"/>
  <c r="G110" i="8"/>
  <c r="F110" i="8"/>
  <c r="E110" i="8"/>
  <c r="D110" i="8"/>
  <c r="C110" i="8"/>
  <c r="B110" i="8"/>
  <c r="A110" i="8"/>
  <c r="G109" i="8"/>
  <c r="F109" i="8"/>
  <c r="E109" i="8"/>
  <c r="D109" i="8"/>
  <c r="C109" i="8"/>
  <c r="B109" i="8"/>
  <c r="A109" i="8"/>
  <c r="G108" i="8"/>
  <c r="F108" i="8"/>
  <c r="E108" i="8"/>
  <c r="D108" i="8"/>
  <c r="C108" i="8"/>
  <c r="B108" i="8"/>
  <c r="A108" i="8"/>
  <c r="G107" i="8"/>
  <c r="F107" i="8"/>
  <c r="E107" i="8"/>
  <c r="D107" i="8"/>
  <c r="C107" i="8"/>
  <c r="B107" i="8"/>
  <c r="A107" i="8"/>
  <c r="G106" i="8"/>
  <c r="F106" i="8"/>
  <c r="E106" i="8"/>
  <c r="D106" i="8"/>
  <c r="C106" i="8"/>
  <c r="B106" i="8"/>
  <c r="A106" i="8"/>
  <c r="G105" i="8"/>
  <c r="F105" i="8"/>
  <c r="E105" i="8"/>
  <c r="D105" i="8"/>
  <c r="C105" i="8"/>
  <c r="B105" i="8"/>
  <c r="A105" i="8"/>
  <c r="G104" i="8"/>
  <c r="F104" i="8"/>
  <c r="E104" i="8"/>
  <c r="D104" i="8"/>
  <c r="C104" i="8"/>
  <c r="B104" i="8"/>
  <c r="A104" i="8"/>
  <c r="G103" i="8"/>
  <c r="F103" i="8"/>
  <c r="E103" i="8"/>
  <c r="D103" i="8"/>
  <c r="C103" i="8"/>
  <c r="B103" i="8"/>
  <c r="A103" i="8"/>
  <c r="G102" i="8"/>
  <c r="F102" i="8"/>
  <c r="E102" i="8"/>
  <c r="D102" i="8"/>
  <c r="C102" i="8"/>
  <c r="B102" i="8"/>
  <c r="A102" i="8"/>
  <c r="G101" i="8"/>
  <c r="F101" i="8"/>
  <c r="E101" i="8"/>
  <c r="D101" i="8"/>
  <c r="C101" i="8"/>
  <c r="B101" i="8"/>
  <c r="A101" i="8"/>
  <c r="G100" i="8"/>
  <c r="F100" i="8"/>
  <c r="E100" i="8"/>
  <c r="D100" i="8"/>
  <c r="C100" i="8"/>
  <c r="B100" i="8"/>
  <c r="A100" i="8"/>
  <c r="G99" i="8"/>
  <c r="F99" i="8"/>
  <c r="E99" i="8"/>
  <c r="D99" i="8"/>
  <c r="C99" i="8"/>
  <c r="B99" i="8"/>
  <c r="A99" i="8"/>
  <c r="G98" i="8"/>
  <c r="F98" i="8"/>
  <c r="E98" i="8"/>
  <c r="D98" i="8"/>
  <c r="C98" i="8"/>
  <c r="B98" i="8"/>
  <c r="A98" i="8"/>
  <c r="G97" i="8"/>
  <c r="F97" i="8"/>
  <c r="E97" i="8"/>
  <c r="D97" i="8"/>
  <c r="C97" i="8"/>
  <c r="B97" i="8"/>
  <c r="A97" i="8"/>
  <c r="G96" i="8"/>
  <c r="F96" i="8"/>
  <c r="E96" i="8"/>
  <c r="D96" i="8"/>
  <c r="C96" i="8"/>
  <c r="B96" i="8"/>
  <c r="A96" i="8"/>
  <c r="G95" i="8"/>
  <c r="F95" i="8"/>
  <c r="E95" i="8"/>
  <c r="D95" i="8"/>
  <c r="C95" i="8"/>
  <c r="B95" i="8"/>
  <c r="A95" i="8"/>
  <c r="G94" i="8"/>
  <c r="F94" i="8"/>
  <c r="E94" i="8"/>
  <c r="D94" i="8"/>
  <c r="C94" i="8"/>
  <c r="B94" i="8"/>
  <c r="A94" i="8"/>
  <c r="G93" i="8"/>
  <c r="F93" i="8"/>
  <c r="E93" i="8"/>
  <c r="D93" i="8"/>
  <c r="C93" i="8"/>
  <c r="B93" i="8"/>
  <c r="A93" i="8"/>
  <c r="G92" i="8"/>
  <c r="F92" i="8"/>
  <c r="E92" i="8"/>
  <c r="D92" i="8"/>
  <c r="C92" i="8"/>
  <c r="B92" i="8"/>
  <c r="A92" i="8"/>
  <c r="G91" i="8"/>
  <c r="F91" i="8"/>
  <c r="E91" i="8"/>
  <c r="D91" i="8"/>
  <c r="C91" i="8"/>
  <c r="B91" i="8"/>
  <c r="A91" i="8"/>
  <c r="G90" i="8"/>
  <c r="F90" i="8"/>
  <c r="E90" i="8"/>
  <c r="D90" i="8"/>
  <c r="C90" i="8"/>
  <c r="B90" i="8"/>
  <c r="A90" i="8"/>
  <c r="G89" i="8"/>
  <c r="F89" i="8"/>
  <c r="E89" i="8"/>
  <c r="D89" i="8"/>
  <c r="C89" i="8"/>
  <c r="B89" i="8"/>
  <c r="A89" i="8"/>
  <c r="G88" i="8"/>
  <c r="F88" i="8"/>
  <c r="E88" i="8"/>
  <c r="D88" i="8"/>
  <c r="C88" i="8"/>
  <c r="B88" i="8"/>
  <c r="A88" i="8"/>
  <c r="G87" i="8"/>
  <c r="F87" i="8"/>
  <c r="E87" i="8"/>
  <c r="D87" i="8"/>
  <c r="C87" i="8"/>
  <c r="B87" i="8"/>
  <c r="A87" i="8"/>
  <c r="G86" i="8"/>
  <c r="F86" i="8"/>
  <c r="E86" i="8"/>
  <c r="D86" i="8"/>
  <c r="C86" i="8"/>
  <c r="B86" i="8"/>
  <c r="A86" i="8"/>
  <c r="G85" i="8"/>
  <c r="F85" i="8"/>
  <c r="E85" i="8"/>
  <c r="D85" i="8"/>
  <c r="C85" i="8"/>
  <c r="B85" i="8"/>
  <c r="A85" i="8"/>
  <c r="G84" i="8"/>
  <c r="F84" i="8"/>
  <c r="E84" i="8"/>
  <c r="D84" i="8"/>
  <c r="C84" i="8"/>
  <c r="B84" i="8"/>
  <c r="A84" i="8"/>
  <c r="G83" i="8"/>
  <c r="F83" i="8"/>
  <c r="E83" i="8"/>
  <c r="D83" i="8"/>
  <c r="C83" i="8"/>
  <c r="B83" i="8"/>
  <c r="A83" i="8"/>
  <c r="G82" i="8"/>
  <c r="F82" i="8"/>
  <c r="E82" i="8"/>
  <c r="D82" i="8"/>
  <c r="C82" i="8"/>
  <c r="B82" i="8"/>
  <c r="A82" i="8"/>
  <c r="G81" i="8"/>
  <c r="F81" i="8"/>
  <c r="E81" i="8"/>
  <c r="D81" i="8"/>
  <c r="C81" i="8"/>
  <c r="B81" i="8"/>
  <c r="A81" i="8"/>
  <c r="G80" i="8"/>
  <c r="F80" i="8"/>
  <c r="E80" i="8"/>
  <c r="D80" i="8"/>
  <c r="C80" i="8"/>
  <c r="B80" i="8"/>
  <c r="A80" i="8"/>
  <c r="G79" i="8"/>
  <c r="F79" i="8"/>
  <c r="E79" i="8"/>
  <c r="D79" i="8"/>
  <c r="C79" i="8"/>
  <c r="B79" i="8"/>
  <c r="A79" i="8"/>
  <c r="G78" i="8"/>
  <c r="F78" i="8"/>
  <c r="E78" i="8"/>
  <c r="D78" i="8"/>
  <c r="C78" i="8"/>
  <c r="B78" i="8"/>
  <c r="A78" i="8"/>
  <c r="G77" i="8"/>
  <c r="F77" i="8"/>
  <c r="E77" i="8"/>
  <c r="D77" i="8"/>
  <c r="C77" i="8"/>
  <c r="B77" i="8"/>
  <c r="A77" i="8"/>
  <c r="G76" i="8"/>
  <c r="F76" i="8"/>
  <c r="E76" i="8"/>
  <c r="D76" i="8"/>
  <c r="C76" i="8"/>
  <c r="B76" i="8"/>
  <c r="A76" i="8"/>
  <c r="G75" i="8"/>
  <c r="F75" i="8"/>
  <c r="E75" i="8"/>
  <c r="D75" i="8"/>
  <c r="C75" i="8"/>
  <c r="B75" i="8"/>
  <c r="A75" i="8"/>
  <c r="G74" i="8"/>
  <c r="F74" i="8"/>
  <c r="E74" i="8"/>
  <c r="D74" i="8"/>
  <c r="C74" i="8"/>
  <c r="B74" i="8"/>
  <c r="A74" i="8"/>
  <c r="G73" i="8"/>
  <c r="F73" i="8"/>
  <c r="E73" i="8"/>
  <c r="D73" i="8"/>
  <c r="C73" i="8"/>
  <c r="B73" i="8"/>
  <c r="A73" i="8"/>
  <c r="G72" i="8"/>
  <c r="F72" i="8"/>
  <c r="E72" i="8"/>
  <c r="D72" i="8"/>
  <c r="C72" i="8"/>
  <c r="B72" i="8"/>
  <c r="A72" i="8"/>
  <c r="G71" i="8"/>
  <c r="F71" i="8"/>
  <c r="E71" i="8"/>
  <c r="D71" i="8"/>
  <c r="C71" i="8"/>
  <c r="B71" i="8"/>
  <c r="A71" i="8"/>
  <c r="G70" i="8"/>
  <c r="F70" i="8"/>
  <c r="E70" i="8"/>
  <c r="D70" i="8"/>
  <c r="C70" i="8"/>
  <c r="B70" i="8"/>
  <c r="A70" i="8"/>
  <c r="G69" i="8"/>
  <c r="F69" i="8"/>
  <c r="E69" i="8"/>
  <c r="D69" i="8"/>
  <c r="C69" i="8"/>
  <c r="B69" i="8"/>
  <c r="A69" i="8"/>
  <c r="G68" i="8"/>
  <c r="F68" i="8"/>
  <c r="E68" i="8"/>
  <c r="D68" i="8"/>
  <c r="C68" i="8"/>
  <c r="B68" i="8"/>
  <c r="A68" i="8"/>
  <c r="G67" i="8"/>
  <c r="F67" i="8"/>
  <c r="E67" i="8"/>
  <c r="D67" i="8"/>
  <c r="C67" i="8"/>
  <c r="B67" i="8"/>
  <c r="A67" i="8"/>
  <c r="G66" i="8"/>
  <c r="F66" i="8"/>
  <c r="E66" i="8"/>
  <c r="D66" i="8"/>
  <c r="C66" i="8"/>
  <c r="B66" i="8"/>
  <c r="A66" i="8"/>
  <c r="G65" i="8"/>
  <c r="F65" i="8"/>
  <c r="E65" i="8"/>
  <c r="D65" i="8"/>
  <c r="C65" i="8"/>
  <c r="B65" i="8"/>
  <c r="A65" i="8"/>
  <c r="G64" i="8"/>
  <c r="F64" i="8"/>
  <c r="E64" i="8"/>
  <c r="D64" i="8"/>
  <c r="C64" i="8"/>
  <c r="B64" i="8"/>
  <c r="A64" i="8"/>
  <c r="G63" i="8"/>
  <c r="F63" i="8"/>
  <c r="E63" i="8"/>
  <c r="D63" i="8"/>
  <c r="C63" i="8"/>
  <c r="B63" i="8"/>
  <c r="A63" i="8"/>
  <c r="G62" i="8"/>
  <c r="F62" i="8"/>
  <c r="E62" i="8"/>
  <c r="D62" i="8"/>
  <c r="C62" i="8"/>
  <c r="B62" i="8"/>
  <c r="A62" i="8"/>
  <c r="G61" i="8"/>
  <c r="F61" i="8"/>
  <c r="E61" i="8"/>
  <c r="D61" i="8"/>
  <c r="C61" i="8"/>
  <c r="B61" i="8"/>
  <c r="A61" i="8"/>
  <c r="G60" i="8"/>
  <c r="F60" i="8"/>
  <c r="E60" i="8"/>
  <c r="D60" i="8"/>
  <c r="C60" i="8"/>
  <c r="B60" i="8"/>
  <c r="A60" i="8"/>
  <c r="G59" i="8"/>
  <c r="F59" i="8"/>
  <c r="E59" i="8"/>
  <c r="D59" i="8"/>
  <c r="C59" i="8"/>
  <c r="B59" i="8"/>
  <c r="A59" i="8"/>
  <c r="G58" i="8"/>
  <c r="F58" i="8"/>
  <c r="E58" i="8"/>
  <c r="D58" i="8"/>
  <c r="C58" i="8"/>
  <c r="B58" i="8"/>
  <c r="A58" i="8"/>
  <c r="G57" i="8"/>
  <c r="F57" i="8"/>
  <c r="E57" i="8"/>
  <c r="D57" i="8"/>
  <c r="C57" i="8"/>
  <c r="B57" i="8"/>
  <c r="A57" i="8"/>
  <c r="G56" i="8"/>
  <c r="F56" i="8"/>
  <c r="E56" i="8"/>
  <c r="D56" i="8"/>
  <c r="C56" i="8"/>
  <c r="B56" i="8"/>
  <c r="A56" i="8"/>
  <c r="G55" i="8"/>
  <c r="F55" i="8"/>
  <c r="E55" i="8"/>
  <c r="D55" i="8"/>
  <c r="C55" i="8"/>
  <c r="B55" i="8"/>
  <c r="A55" i="8"/>
  <c r="G54" i="8"/>
  <c r="F54" i="8"/>
  <c r="E54" i="8"/>
  <c r="D54" i="8"/>
  <c r="C54" i="8"/>
  <c r="B54" i="8"/>
  <c r="A54" i="8"/>
  <c r="G53" i="8"/>
  <c r="F53" i="8"/>
  <c r="E53" i="8"/>
  <c r="D53" i="8"/>
  <c r="C53" i="8"/>
  <c r="B53" i="8"/>
  <c r="A53" i="8"/>
  <c r="G52" i="8"/>
  <c r="F52" i="8"/>
  <c r="E52" i="8"/>
  <c r="D52" i="8"/>
  <c r="C52" i="8"/>
  <c r="B52" i="8"/>
  <c r="A52" i="8"/>
  <c r="G51" i="8"/>
  <c r="F51" i="8"/>
  <c r="E51" i="8"/>
  <c r="D51" i="8"/>
  <c r="C51" i="8"/>
  <c r="B51" i="8"/>
  <c r="A51" i="8"/>
  <c r="G50" i="8"/>
  <c r="F50" i="8"/>
  <c r="E50" i="8"/>
  <c r="D50" i="8"/>
  <c r="C50" i="8"/>
  <c r="B50" i="8"/>
  <c r="A50" i="8"/>
  <c r="G49" i="8"/>
  <c r="F49" i="8"/>
  <c r="E49" i="8"/>
  <c r="D49" i="8"/>
  <c r="C49" i="8"/>
  <c r="B49" i="8"/>
  <c r="A49" i="8"/>
  <c r="G48" i="8"/>
  <c r="F48" i="8"/>
  <c r="E48" i="8"/>
  <c r="D48" i="8"/>
  <c r="C48" i="8"/>
  <c r="B48" i="8"/>
  <c r="A48" i="8"/>
  <c r="G47" i="8"/>
  <c r="F47" i="8"/>
  <c r="E47" i="8"/>
  <c r="D47" i="8"/>
  <c r="C47" i="8"/>
  <c r="B47" i="8"/>
  <c r="A47" i="8"/>
  <c r="G46" i="8"/>
  <c r="F46" i="8"/>
  <c r="E46" i="8"/>
  <c r="D46" i="8"/>
  <c r="C46" i="8"/>
  <c r="B46" i="8"/>
  <c r="A46" i="8"/>
  <c r="G45" i="8"/>
  <c r="F45" i="8"/>
  <c r="E45" i="8"/>
  <c r="D45" i="8"/>
  <c r="C45" i="8"/>
  <c r="B45" i="8"/>
  <c r="A45" i="8"/>
  <c r="G44" i="8"/>
  <c r="F44" i="8"/>
  <c r="E44" i="8"/>
  <c r="D44" i="8"/>
  <c r="C44" i="8"/>
  <c r="B44" i="8"/>
  <c r="A44" i="8"/>
  <c r="G43" i="8"/>
  <c r="F43" i="8"/>
  <c r="E43" i="8"/>
  <c r="D43" i="8"/>
  <c r="C43" i="8"/>
  <c r="B43" i="8"/>
  <c r="A43" i="8"/>
  <c r="G42" i="8"/>
  <c r="F42" i="8"/>
  <c r="E42" i="8"/>
  <c r="D42" i="8"/>
  <c r="C42" i="8"/>
  <c r="B42" i="8"/>
  <c r="A42" i="8"/>
  <c r="G41" i="8"/>
  <c r="F41" i="8"/>
  <c r="E41" i="8"/>
  <c r="D41" i="8"/>
  <c r="C41" i="8"/>
  <c r="B41" i="8"/>
  <c r="A41" i="8"/>
  <c r="G40" i="8"/>
  <c r="F40" i="8"/>
  <c r="E40" i="8"/>
  <c r="D40" i="8"/>
  <c r="C40" i="8"/>
  <c r="B40" i="8"/>
  <c r="A40" i="8"/>
  <c r="G39" i="8"/>
  <c r="F39" i="8"/>
  <c r="E39" i="8"/>
  <c r="D39" i="8"/>
  <c r="C39" i="8"/>
  <c r="B39" i="8"/>
  <c r="A39" i="8"/>
  <c r="G38" i="8"/>
  <c r="F38" i="8"/>
  <c r="E38" i="8"/>
  <c r="D38" i="8"/>
  <c r="C38" i="8"/>
  <c r="B38" i="8"/>
  <c r="A38" i="8"/>
  <c r="G37" i="8"/>
  <c r="F37" i="8"/>
  <c r="E37" i="8"/>
  <c r="D37" i="8"/>
  <c r="C37" i="8"/>
  <c r="B37" i="8"/>
  <c r="A37" i="8"/>
  <c r="G36" i="8"/>
  <c r="F36" i="8"/>
  <c r="E36" i="8"/>
  <c r="D36" i="8"/>
  <c r="C36" i="8"/>
  <c r="B36" i="8"/>
  <c r="A36" i="8"/>
  <c r="G35" i="8"/>
  <c r="F35" i="8"/>
  <c r="E35" i="8"/>
  <c r="D35" i="8"/>
  <c r="C35" i="8"/>
  <c r="B35" i="8"/>
  <c r="A35" i="8"/>
  <c r="G34" i="8"/>
  <c r="F34" i="8"/>
  <c r="E34" i="8"/>
  <c r="D34" i="8"/>
  <c r="C34" i="8"/>
  <c r="B34" i="8"/>
  <c r="A34" i="8"/>
  <c r="G33" i="8"/>
  <c r="F33" i="8"/>
  <c r="E33" i="8"/>
  <c r="D33" i="8"/>
  <c r="C33" i="8"/>
  <c r="B33" i="8"/>
  <c r="A33" i="8"/>
  <c r="G32" i="8"/>
  <c r="F32" i="8"/>
  <c r="E32" i="8"/>
  <c r="D32" i="8"/>
  <c r="C32" i="8"/>
  <c r="B32" i="8"/>
  <c r="A32" i="8"/>
  <c r="G31" i="8"/>
  <c r="F31" i="8"/>
  <c r="E31" i="8"/>
  <c r="D31" i="8"/>
  <c r="C31" i="8"/>
  <c r="B31" i="8"/>
  <c r="A31" i="8"/>
  <c r="G30" i="8"/>
  <c r="F30" i="8"/>
  <c r="E30" i="8"/>
  <c r="D30" i="8"/>
  <c r="C30" i="8"/>
  <c r="B30" i="8"/>
  <c r="A30" i="8"/>
  <c r="G29" i="8"/>
  <c r="F29" i="8"/>
  <c r="E29" i="8"/>
  <c r="D29" i="8"/>
  <c r="C29" i="8"/>
  <c r="B29" i="8"/>
  <c r="A29" i="8"/>
  <c r="G28" i="8"/>
  <c r="F28" i="8"/>
  <c r="E28" i="8"/>
  <c r="D28" i="8"/>
  <c r="C28" i="8"/>
  <c r="B28" i="8"/>
  <c r="A28" i="8"/>
  <c r="G27" i="8"/>
  <c r="F27" i="8"/>
  <c r="E27" i="8"/>
  <c r="D27" i="8"/>
  <c r="C27" i="8"/>
  <c r="B27" i="8"/>
  <c r="A27" i="8"/>
  <c r="G26" i="8"/>
  <c r="F26" i="8"/>
  <c r="E26" i="8"/>
  <c r="D26" i="8"/>
  <c r="C26" i="8"/>
  <c r="B26" i="8"/>
  <c r="A26" i="8"/>
  <c r="G25" i="8"/>
  <c r="F25" i="8"/>
  <c r="E25" i="8"/>
  <c r="D25" i="8"/>
  <c r="C25" i="8"/>
  <c r="B25" i="8"/>
  <c r="A25" i="8"/>
  <c r="G24" i="8"/>
  <c r="F24" i="8"/>
  <c r="E24" i="8"/>
  <c r="D24" i="8"/>
  <c r="C24" i="8"/>
  <c r="B24" i="8"/>
  <c r="A24" i="8"/>
  <c r="G23" i="8"/>
  <c r="F23" i="8"/>
  <c r="E23" i="8"/>
  <c r="D23" i="8"/>
  <c r="C23" i="8"/>
  <c r="B23" i="8"/>
  <c r="A23" i="8"/>
  <c r="G22" i="8"/>
  <c r="F22" i="8"/>
  <c r="E22" i="8"/>
  <c r="D22" i="8"/>
  <c r="C22" i="8"/>
  <c r="B22" i="8"/>
  <c r="A22" i="8"/>
  <c r="G21" i="8"/>
  <c r="F21" i="8"/>
  <c r="E21" i="8"/>
  <c r="D21" i="8"/>
  <c r="C21" i="8"/>
  <c r="B21" i="8"/>
  <c r="A21" i="8"/>
  <c r="G20" i="8"/>
  <c r="F20" i="8"/>
  <c r="E20" i="8"/>
  <c r="D20" i="8"/>
  <c r="C20" i="8"/>
  <c r="B20" i="8"/>
  <c r="A20" i="8"/>
  <c r="G19" i="8"/>
  <c r="F19" i="8"/>
  <c r="E19" i="8"/>
  <c r="D19" i="8"/>
  <c r="C19" i="8"/>
  <c r="B19" i="8"/>
  <c r="A19" i="8"/>
  <c r="G18" i="8"/>
  <c r="F18" i="8"/>
  <c r="E18" i="8"/>
  <c r="D18" i="8"/>
  <c r="C18" i="8"/>
  <c r="B18" i="8"/>
  <c r="A18" i="8"/>
  <c r="G17" i="8"/>
  <c r="F17" i="8"/>
  <c r="E17" i="8"/>
  <c r="D17" i="8"/>
  <c r="C17" i="8"/>
  <c r="B17" i="8"/>
  <c r="A17" i="8"/>
  <c r="G16" i="8"/>
  <c r="F16" i="8"/>
  <c r="E16" i="8"/>
  <c r="D16" i="8"/>
  <c r="C16" i="8"/>
  <c r="B16" i="8"/>
  <c r="A16" i="8"/>
  <c r="G15" i="8"/>
  <c r="F15" i="8"/>
  <c r="E15" i="8"/>
  <c r="D15" i="8"/>
  <c r="C15" i="8"/>
  <c r="B15" i="8"/>
  <c r="A15" i="8"/>
  <c r="G14" i="8"/>
  <c r="F14" i="8"/>
  <c r="E14" i="8"/>
  <c r="D14" i="8"/>
  <c r="C14" i="8"/>
  <c r="B14" i="8"/>
  <c r="A14" i="8"/>
  <c r="G13" i="8"/>
  <c r="F13" i="8"/>
  <c r="E13" i="8"/>
  <c r="D13" i="8"/>
  <c r="C13" i="8"/>
  <c r="B13" i="8"/>
  <c r="A13" i="8"/>
  <c r="G12" i="8"/>
  <c r="F12" i="8"/>
  <c r="E12" i="8"/>
  <c r="D12" i="8"/>
  <c r="C12" i="8"/>
  <c r="B12" i="8"/>
  <c r="A12" i="8"/>
  <c r="G11" i="8"/>
  <c r="F11" i="8"/>
  <c r="E11" i="8"/>
  <c r="D11" i="8"/>
  <c r="C11" i="8"/>
  <c r="B11" i="8"/>
  <c r="A11" i="8"/>
  <c r="G10" i="8"/>
  <c r="F10" i="8"/>
  <c r="E10" i="8"/>
  <c r="D10" i="8"/>
  <c r="C10" i="8"/>
  <c r="B10" i="8"/>
  <c r="A10" i="8"/>
  <c r="G9" i="8"/>
  <c r="F9" i="8"/>
  <c r="E9" i="8"/>
  <c r="D9" i="8"/>
  <c r="C9" i="8"/>
  <c r="B9" i="8"/>
  <c r="A9" i="8"/>
  <c r="G8" i="8"/>
  <c r="F8" i="8"/>
  <c r="E8" i="8"/>
  <c r="D8" i="8"/>
  <c r="C8" i="8"/>
  <c r="B8" i="8"/>
  <c r="A8" i="8"/>
  <c r="G7" i="8"/>
  <c r="F7" i="8"/>
  <c r="E7" i="8"/>
  <c r="D7" i="8"/>
  <c r="C7" i="8"/>
  <c r="B7" i="8"/>
  <c r="A7" i="8"/>
  <c r="G6" i="8"/>
  <c r="F6" i="8"/>
  <c r="E6" i="8"/>
  <c r="D6" i="8"/>
  <c r="C6" i="8"/>
  <c r="B6" i="8"/>
  <c r="A6" i="8"/>
  <c r="G5" i="8"/>
  <c r="F5" i="8"/>
  <c r="E5" i="8"/>
  <c r="D5" i="8"/>
  <c r="C5" i="8"/>
  <c r="B5" i="8"/>
  <c r="A5" i="8"/>
  <c r="G4" i="8"/>
  <c r="F4" i="8"/>
  <c r="E4" i="8"/>
  <c r="D4" i="8"/>
  <c r="C4" i="8"/>
  <c r="B4" i="8"/>
  <c r="A4" i="8"/>
  <c r="G3" i="8"/>
  <c r="F3" i="8"/>
  <c r="E3" i="8"/>
  <c r="D3" i="8"/>
  <c r="C3" i="8"/>
  <c r="B3" i="8"/>
  <c r="A3" i="8"/>
  <c r="G2" i="8"/>
  <c r="F2" i="8"/>
  <c r="E2" i="8"/>
  <c r="D2" i="8"/>
  <c r="C2" i="8"/>
  <c r="B2" i="8"/>
  <c r="A2" i="8"/>
  <c r="G257" i="7"/>
  <c r="F257" i="7"/>
  <c r="E257" i="7"/>
  <c r="D257" i="7"/>
  <c r="C257" i="7"/>
  <c r="B257" i="7"/>
  <c r="A257" i="7"/>
  <c r="G256" i="7"/>
  <c r="F256" i="7"/>
  <c r="E256" i="7"/>
  <c r="D256" i="7"/>
  <c r="C256" i="7"/>
  <c r="B256" i="7"/>
  <c r="A256" i="7"/>
  <c r="G255" i="7"/>
  <c r="F255" i="7"/>
  <c r="E255" i="7"/>
  <c r="D255" i="7"/>
  <c r="C255" i="7"/>
  <c r="B255" i="7"/>
  <c r="A255" i="7"/>
  <c r="G254" i="7"/>
  <c r="F254" i="7"/>
  <c r="E254" i="7"/>
  <c r="D254" i="7"/>
  <c r="C254" i="7"/>
  <c r="B254" i="7"/>
  <c r="A254" i="7"/>
  <c r="G253" i="7"/>
  <c r="F253" i="7"/>
  <c r="E253" i="7"/>
  <c r="D253" i="7"/>
  <c r="C253" i="7"/>
  <c r="B253" i="7"/>
  <c r="A253" i="7"/>
  <c r="G252" i="7"/>
  <c r="F252" i="7"/>
  <c r="E252" i="7"/>
  <c r="D252" i="7"/>
  <c r="C252" i="7"/>
  <c r="B252" i="7"/>
  <c r="A252" i="7"/>
  <c r="G251" i="7"/>
  <c r="F251" i="7"/>
  <c r="E251" i="7"/>
  <c r="D251" i="7"/>
  <c r="C251" i="7"/>
  <c r="B251" i="7"/>
  <c r="A251" i="7"/>
  <c r="G250" i="7"/>
  <c r="F250" i="7"/>
  <c r="E250" i="7"/>
  <c r="D250" i="7"/>
  <c r="C250" i="7"/>
  <c r="B250" i="7"/>
  <c r="A250" i="7"/>
  <c r="G249" i="7"/>
  <c r="F249" i="7"/>
  <c r="E249" i="7"/>
  <c r="D249" i="7"/>
  <c r="C249" i="7"/>
  <c r="B249" i="7"/>
  <c r="A249" i="7"/>
  <c r="G248" i="7"/>
  <c r="F248" i="7"/>
  <c r="E248" i="7"/>
  <c r="D248" i="7"/>
  <c r="C248" i="7"/>
  <c r="B248" i="7"/>
  <c r="A248" i="7"/>
  <c r="G247" i="7"/>
  <c r="F247" i="7"/>
  <c r="E247" i="7"/>
  <c r="D247" i="7"/>
  <c r="C247" i="7"/>
  <c r="B247" i="7"/>
  <c r="A247" i="7"/>
  <c r="G246" i="7"/>
  <c r="F246" i="7"/>
  <c r="E246" i="7"/>
  <c r="D246" i="7"/>
  <c r="C246" i="7"/>
  <c r="B246" i="7"/>
  <c r="A246" i="7"/>
  <c r="G245" i="7"/>
  <c r="F245" i="7"/>
  <c r="E245" i="7"/>
  <c r="D245" i="7"/>
  <c r="C245" i="7"/>
  <c r="B245" i="7"/>
  <c r="A245" i="7"/>
  <c r="G244" i="7"/>
  <c r="F244" i="7"/>
  <c r="E244" i="7"/>
  <c r="D244" i="7"/>
  <c r="C244" i="7"/>
  <c r="B244" i="7"/>
  <c r="A244" i="7"/>
  <c r="G243" i="7"/>
  <c r="F243" i="7"/>
  <c r="E243" i="7"/>
  <c r="D243" i="7"/>
  <c r="C243" i="7"/>
  <c r="B243" i="7"/>
  <c r="A243" i="7"/>
  <c r="G242" i="7"/>
  <c r="F242" i="7"/>
  <c r="E242" i="7"/>
  <c r="D242" i="7"/>
  <c r="C242" i="7"/>
  <c r="B242" i="7"/>
  <c r="A242" i="7"/>
  <c r="G241" i="7"/>
  <c r="F241" i="7"/>
  <c r="E241" i="7"/>
  <c r="D241" i="7"/>
  <c r="C241" i="7"/>
  <c r="B241" i="7"/>
  <c r="A241" i="7"/>
  <c r="G240" i="7"/>
  <c r="F240" i="7"/>
  <c r="E240" i="7"/>
  <c r="D240" i="7"/>
  <c r="C240" i="7"/>
  <c r="B240" i="7"/>
  <c r="A240" i="7"/>
  <c r="G239" i="7"/>
  <c r="F239" i="7"/>
  <c r="E239" i="7"/>
  <c r="D239" i="7"/>
  <c r="C239" i="7"/>
  <c r="B239" i="7"/>
  <c r="A239" i="7"/>
  <c r="G238" i="7"/>
  <c r="F238" i="7"/>
  <c r="E238" i="7"/>
  <c r="D238" i="7"/>
  <c r="C238" i="7"/>
  <c r="B238" i="7"/>
  <c r="A238" i="7"/>
  <c r="G237" i="7"/>
  <c r="F237" i="7"/>
  <c r="E237" i="7"/>
  <c r="D237" i="7"/>
  <c r="C237" i="7"/>
  <c r="B237" i="7"/>
  <c r="A237" i="7"/>
  <c r="G236" i="7"/>
  <c r="F236" i="7"/>
  <c r="E236" i="7"/>
  <c r="D236" i="7"/>
  <c r="C236" i="7"/>
  <c r="B236" i="7"/>
  <c r="A236" i="7"/>
  <c r="G235" i="7"/>
  <c r="F235" i="7"/>
  <c r="E235" i="7"/>
  <c r="D235" i="7"/>
  <c r="C235" i="7"/>
  <c r="B235" i="7"/>
  <c r="A235" i="7"/>
  <c r="G234" i="7"/>
  <c r="F234" i="7"/>
  <c r="E234" i="7"/>
  <c r="D234" i="7"/>
  <c r="C234" i="7"/>
  <c r="B234" i="7"/>
  <c r="A234" i="7"/>
  <c r="G233" i="7"/>
  <c r="F233" i="7"/>
  <c r="E233" i="7"/>
  <c r="D233" i="7"/>
  <c r="C233" i="7"/>
  <c r="B233" i="7"/>
  <c r="A233" i="7"/>
  <c r="G232" i="7"/>
  <c r="F232" i="7"/>
  <c r="E232" i="7"/>
  <c r="D232" i="7"/>
  <c r="C232" i="7"/>
  <c r="B232" i="7"/>
  <c r="A232" i="7"/>
  <c r="G231" i="7"/>
  <c r="F231" i="7"/>
  <c r="E231" i="7"/>
  <c r="D231" i="7"/>
  <c r="C231" i="7"/>
  <c r="B231" i="7"/>
  <c r="A231" i="7"/>
  <c r="G230" i="7"/>
  <c r="F230" i="7"/>
  <c r="E230" i="7"/>
  <c r="D230" i="7"/>
  <c r="C230" i="7"/>
  <c r="B230" i="7"/>
  <c r="A230" i="7"/>
  <c r="G229" i="7"/>
  <c r="F229" i="7"/>
  <c r="E229" i="7"/>
  <c r="D229" i="7"/>
  <c r="C229" i="7"/>
  <c r="B229" i="7"/>
  <c r="A229" i="7"/>
  <c r="G228" i="7"/>
  <c r="F228" i="7"/>
  <c r="E228" i="7"/>
  <c r="D228" i="7"/>
  <c r="C228" i="7"/>
  <c r="B228" i="7"/>
  <c r="A228" i="7"/>
  <c r="G227" i="7"/>
  <c r="F227" i="7"/>
  <c r="E227" i="7"/>
  <c r="D227" i="7"/>
  <c r="C227" i="7"/>
  <c r="B227" i="7"/>
  <c r="A227" i="7"/>
  <c r="G226" i="7"/>
  <c r="F226" i="7"/>
  <c r="E226" i="7"/>
  <c r="D226" i="7"/>
  <c r="C226" i="7"/>
  <c r="B226" i="7"/>
  <c r="A226" i="7"/>
  <c r="G225" i="7"/>
  <c r="F225" i="7"/>
  <c r="E225" i="7"/>
  <c r="D225" i="7"/>
  <c r="C225" i="7"/>
  <c r="B225" i="7"/>
  <c r="A225" i="7"/>
  <c r="G224" i="7"/>
  <c r="F224" i="7"/>
  <c r="E224" i="7"/>
  <c r="D224" i="7"/>
  <c r="C224" i="7"/>
  <c r="B224" i="7"/>
  <c r="A224" i="7"/>
  <c r="G223" i="7"/>
  <c r="F223" i="7"/>
  <c r="E223" i="7"/>
  <c r="D223" i="7"/>
  <c r="C223" i="7"/>
  <c r="B223" i="7"/>
  <c r="A223" i="7"/>
  <c r="G222" i="7"/>
  <c r="F222" i="7"/>
  <c r="E222" i="7"/>
  <c r="D222" i="7"/>
  <c r="C222" i="7"/>
  <c r="B222" i="7"/>
  <c r="A222" i="7"/>
  <c r="G221" i="7"/>
  <c r="F221" i="7"/>
  <c r="E221" i="7"/>
  <c r="D221" i="7"/>
  <c r="C221" i="7"/>
  <c r="B221" i="7"/>
  <c r="A221" i="7"/>
  <c r="G220" i="7"/>
  <c r="F220" i="7"/>
  <c r="E220" i="7"/>
  <c r="D220" i="7"/>
  <c r="C220" i="7"/>
  <c r="B220" i="7"/>
  <c r="A220" i="7"/>
  <c r="G219" i="7"/>
  <c r="F219" i="7"/>
  <c r="E219" i="7"/>
  <c r="D219" i="7"/>
  <c r="C219" i="7"/>
  <c r="B219" i="7"/>
  <c r="A219" i="7"/>
  <c r="G218" i="7"/>
  <c r="F218" i="7"/>
  <c r="E218" i="7"/>
  <c r="D218" i="7"/>
  <c r="C218" i="7"/>
  <c r="B218" i="7"/>
  <c r="A218" i="7"/>
  <c r="G217" i="7"/>
  <c r="F217" i="7"/>
  <c r="E217" i="7"/>
  <c r="D217" i="7"/>
  <c r="C217" i="7"/>
  <c r="B217" i="7"/>
  <c r="A217" i="7"/>
  <c r="G216" i="7"/>
  <c r="F216" i="7"/>
  <c r="E216" i="7"/>
  <c r="D216" i="7"/>
  <c r="C216" i="7"/>
  <c r="B216" i="7"/>
  <c r="A216" i="7"/>
  <c r="G215" i="7"/>
  <c r="F215" i="7"/>
  <c r="E215" i="7"/>
  <c r="D215" i="7"/>
  <c r="C215" i="7"/>
  <c r="B215" i="7"/>
  <c r="A215" i="7"/>
  <c r="G214" i="7"/>
  <c r="F214" i="7"/>
  <c r="E214" i="7"/>
  <c r="D214" i="7"/>
  <c r="C214" i="7"/>
  <c r="B214" i="7"/>
  <c r="A214" i="7"/>
  <c r="G213" i="7"/>
  <c r="F213" i="7"/>
  <c r="E213" i="7"/>
  <c r="D213" i="7"/>
  <c r="C213" i="7"/>
  <c r="B213" i="7"/>
  <c r="A213" i="7"/>
  <c r="G212" i="7"/>
  <c r="F212" i="7"/>
  <c r="E212" i="7"/>
  <c r="D212" i="7"/>
  <c r="C212" i="7"/>
  <c r="B212" i="7"/>
  <c r="A212" i="7"/>
  <c r="G211" i="7"/>
  <c r="F211" i="7"/>
  <c r="E211" i="7"/>
  <c r="D211" i="7"/>
  <c r="C211" i="7"/>
  <c r="B211" i="7"/>
  <c r="A211" i="7"/>
  <c r="G210" i="7"/>
  <c r="F210" i="7"/>
  <c r="E210" i="7"/>
  <c r="D210" i="7"/>
  <c r="C210" i="7"/>
  <c r="B210" i="7"/>
  <c r="A210" i="7"/>
  <c r="G209" i="7"/>
  <c r="F209" i="7"/>
  <c r="E209" i="7"/>
  <c r="D209" i="7"/>
  <c r="C209" i="7"/>
  <c r="B209" i="7"/>
  <c r="A209" i="7"/>
  <c r="G208" i="7"/>
  <c r="F208" i="7"/>
  <c r="E208" i="7"/>
  <c r="D208" i="7"/>
  <c r="C208" i="7"/>
  <c r="B208" i="7"/>
  <c r="A208" i="7"/>
  <c r="G207" i="7"/>
  <c r="F207" i="7"/>
  <c r="E207" i="7"/>
  <c r="D207" i="7"/>
  <c r="C207" i="7"/>
  <c r="B207" i="7"/>
  <c r="A207" i="7"/>
  <c r="G206" i="7"/>
  <c r="F206" i="7"/>
  <c r="E206" i="7"/>
  <c r="D206" i="7"/>
  <c r="C206" i="7"/>
  <c r="B206" i="7"/>
  <c r="A206" i="7"/>
  <c r="G205" i="7"/>
  <c r="F205" i="7"/>
  <c r="E205" i="7"/>
  <c r="D205" i="7"/>
  <c r="C205" i="7"/>
  <c r="B205" i="7"/>
  <c r="A205" i="7"/>
  <c r="G204" i="7"/>
  <c r="F204" i="7"/>
  <c r="E204" i="7"/>
  <c r="D204" i="7"/>
  <c r="C204" i="7"/>
  <c r="B204" i="7"/>
  <c r="A204" i="7"/>
  <c r="G203" i="7"/>
  <c r="F203" i="7"/>
  <c r="E203" i="7"/>
  <c r="D203" i="7"/>
  <c r="C203" i="7"/>
  <c r="B203" i="7"/>
  <c r="A203" i="7"/>
  <c r="G202" i="7"/>
  <c r="F202" i="7"/>
  <c r="E202" i="7"/>
  <c r="D202" i="7"/>
  <c r="C202" i="7"/>
  <c r="B202" i="7"/>
  <c r="A202" i="7"/>
  <c r="G201" i="7"/>
  <c r="F201" i="7"/>
  <c r="E201" i="7"/>
  <c r="D201" i="7"/>
  <c r="C201" i="7"/>
  <c r="B201" i="7"/>
  <c r="A201" i="7"/>
  <c r="G200" i="7"/>
  <c r="F200" i="7"/>
  <c r="E200" i="7"/>
  <c r="D200" i="7"/>
  <c r="C200" i="7"/>
  <c r="B200" i="7"/>
  <c r="A200" i="7"/>
  <c r="G199" i="7"/>
  <c r="F199" i="7"/>
  <c r="E199" i="7"/>
  <c r="D199" i="7"/>
  <c r="C199" i="7"/>
  <c r="B199" i="7"/>
  <c r="A199" i="7"/>
  <c r="G198" i="7"/>
  <c r="F198" i="7"/>
  <c r="E198" i="7"/>
  <c r="D198" i="7"/>
  <c r="C198" i="7"/>
  <c r="B198" i="7"/>
  <c r="A198" i="7"/>
  <c r="G197" i="7"/>
  <c r="F197" i="7"/>
  <c r="E197" i="7"/>
  <c r="D197" i="7"/>
  <c r="C197" i="7"/>
  <c r="B197" i="7"/>
  <c r="A197" i="7"/>
  <c r="G196" i="7"/>
  <c r="F196" i="7"/>
  <c r="E196" i="7"/>
  <c r="D196" i="7"/>
  <c r="C196" i="7"/>
  <c r="B196" i="7"/>
  <c r="A196" i="7"/>
  <c r="G195" i="7"/>
  <c r="F195" i="7"/>
  <c r="E195" i="7"/>
  <c r="D195" i="7"/>
  <c r="C195" i="7"/>
  <c r="B195" i="7"/>
  <c r="A195" i="7"/>
  <c r="G194" i="7"/>
  <c r="F194" i="7"/>
  <c r="E194" i="7"/>
  <c r="D194" i="7"/>
  <c r="C194" i="7"/>
  <c r="B194" i="7"/>
  <c r="A194" i="7"/>
  <c r="G193" i="7"/>
  <c r="F193" i="7"/>
  <c r="E193" i="7"/>
  <c r="D193" i="7"/>
  <c r="C193" i="7"/>
  <c r="B193" i="7"/>
  <c r="A193" i="7"/>
  <c r="G192" i="7"/>
  <c r="F192" i="7"/>
  <c r="E192" i="7"/>
  <c r="D192" i="7"/>
  <c r="C192" i="7"/>
  <c r="B192" i="7"/>
  <c r="A192" i="7"/>
  <c r="G191" i="7"/>
  <c r="F191" i="7"/>
  <c r="E191" i="7"/>
  <c r="D191" i="7"/>
  <c r="C191" i="7"/>
  <c r="B191" i="7"/>
  <c r="A191" i="7"/>
  <c r="G190" i="7"/>
  <c r="F190" i="7"/>
  <c r="E190" i="7"/>
  <c r="D190" i="7"/>
  <c r="C190" i="7"/>
  <c r="B190" i="7"/>
  <c r="A190" i="7"/>
  <c r="G189" i="7"/>
  <c r="F189" i="7"/>
  <c r="E189" i="7"/>
  <c r="D189" i="7"/>
  <c r="C189" i="7"/>
  <c r="B189" i="7"/>
  <c r="A189" i="7"/>
  <c r="G188" i="7"/>
  <c r="F188" i="7"/>
  <c r="E188" i="7"/>
  <c r="D188" i="7"/>
  <c r="C188" i="7"/>
  <c r="B188" i="7"/>
  <c r="A188" i="7"/>
  <c r="G187" i="7"/>
  <c r="F187" i="7"/>
  <c r="E187" i="7"/>
  <c r="D187" i="7"/>
  <c r="C187" i="7"/>
  <c r="B187" i="7"/>
  <c r="A187" i="7"/>
  <c r="G186" i="7"/>
  <c r="F186" i="7"/>
  <c r="E186" i="7"/>
  <c r="D186" i="7"/>
  <c r="C186" i="7"/>
  <c r="B186" i="7"/>
  <c r="A186" i="7"/>
  <c r="G185" i="7"/>
  <c r="F185" i="7"/>
  <c r="E185" i="7"/>
  <c r="D185" i="7"/>
  <c r="C185" i="7"/>
  <c r="B185" i="7"/>
  <c r="A185" i="7"/>
  <c r="G184" i="7"/>
  <c r="F184" i="7"/>
  <c r="E184" i="7"/>
  <c r="D184" i="7"/>
  <c r="C184" i="7"/>
  <c r="B184" i="7"/>
  <c r="A184" i="7"/>
  <c r="G183" i="7"/>
  <c r="F183" i="7"/>
  <c r="E183" i="7"/>
  <c r="D183" i="7"/>
  <c r="C183" i="7"/>
  <c r="B183" i="7"/>
  <c r="A183" i="7"/>
  <c r="G182" i="7"/>
  <c r="F182" i="7"/>
  <c r="E182" i="7"/>
  <c r="D182" i="7"/>
  <c r="C182" i="7"/>
  <c r="B182" i="7"/>
  <c r="A182" i="7"/>
  <c r="G181" i="7"/>
  <c r="F181" i="7"/>
  <c r="E181" i="7"/>
  <c r="D181" i="7"/>
  <c r="C181" i="7"/>
  <c r="B181" i="7"/>
  <c r="A181" i="7"/>
  <c r="G180" i="7"/>
  <c r="F180" i="7"/>
  <c r="E180" i="7"/>
  <c r="D180" i="7"/>
  <c r="C180" i="7"/>
  <c r="B180" i="7"/>
  <c r="A180" i="7"/>
  <c r="G179" i="7"/>
  <c r="F179" i="7"/>
  <c r="E179" i="7"/>
  <c r="D179" i="7"/>
  <c r="C179" i="7"/>
  <c r="B179" i="7"/>
  <c r="A179" i="7"/>
  <c r="G178" i="7"/>
  <c r="F178" i="7"/>
  <c r="E178" i="7"/>
  <c r="D178" i="7"/>
  <c r="C178" i="7"/>
  <c r="B178" i="7"/>
  <c r="A178" i="7"/>
  <c r="G177" i="7"/>
  <c r="F177" i="7"/>
  <c r="E177" i="7"/>
  <c r="D177" i="7"/>
  <c r="C177" i="7"/>
  <c r="B177" i="7"/>
  <c r="A177" i="7"/>
  <c r="G176" i="7"/>
  <c r="F176" i="7"/>
  <c r="E176" i="7"/>
  <c r="D176" i="7"/>
  <c r="C176" i="7"/>
  <c r="B176" i="7"/>
  <c r="A176" i="7"/>
  <c r="G175" i="7"/>
  <c r="F175" i="7"/>
  <c r="E175" i="7"/>
  <c r="D175" i="7"/>
  <c r="C175" i="7"/>
  <c r="B175" i="7"/>
  <c r="A175" i="7"/>
  <c r="G174" i="7"/>
  <c r="F174" i="7"/>
  <c r="E174" i="7"/>
  <c r="D174" i="7"/>
  <c r="C174" i="7"/>
  <c r="B174" i="7"/>
  <c r="A174" i="7"/>
  <c r="G173" i="7"/>
  <c r="F173" i="7"/>
  <c r="E173" i="7"/>
  <c r="D173" i="7"/>
  <c r="C173" i="7"/>
  <c r="B173" i="7"/>
  <c r="A173" i="7"/>
  <c r="G172" i="7"/>
  <c r="F172" i="7"/>
  <c r="E172" i="7"/>
  <c r="D172" i="7"/>
  <c r="C172" i="7"/>
  <c r="B172" i="7"/>
  <c r="A172" i="7"/>
  <c r="G171" i="7"/>
  <c r="F171" i="7"/>
  <c r="E171" i="7"/>
  <c r="D171" i="7"/>
  <c r="C171" i="7"/>
  <c r="B171" i="7"/>
  <c r="A171" i="7"/>
  <c r="G170" i="7"/>
  <c r="F170" i="7"/>
  <c r="E170" i="7"/>
  <c r="D170" i="7"/>
  <c r="C170" i="7"/>
  <c r="B170" i="7"/>
  <c r="A170" i="7"/>
  <c r="G169" i="7"/>
  <c r="F169" i="7"/>
  <c r="E169" i="7"/>
  <c r="D169" i="7"/>
  <c r="C169" i="7"/>
  <c r="B169" i="7"/>
  <c r="A169" i="7"/>
  <c r="G168" i="7"/>
  <c r="F168" i="7"/>
  <c r="E168" i="7"/>
  <c r="D168" i="7"/>
  <c r="C168" i="7"/>
  <c r="B168" i="7"/>
  <c r="A168" i="7"/>
  <c r="G167" i="7"/>
  <c r="F167" i="7"/>
  <c r="E167" i="7"/>
  <c r="D167" i="7"/>
  <c r="C167" i="7"/>
  <c r="B167" i="7"/>
  <c r="A167" i="7"/>
  <c r="G166" i="7"/>
  <c r="F166" i="7"/>
  <c r="E166" i="7"/>
  <c r="D166" i="7"/>
  <c r="C166" i="7"/>
  <c r="B166" i="7"/>
  <c r="A166" i="7"/>
  <c r="G165" i="7"/>
  <c r="F165" i="7"/>
  <c r="E165" i="7"/>
  <c r="D165" i="7"/>
  <c r="C165" i="7"/>
  <c r="B165" i="7"/>
  <c r="A165" i="7"/>
  <c r="G164" i="7"/>
  <c r="F164" i="7"/>
  <c r="E164" i="7"/>
  <c r="D164" i="7"/>
  <c r="C164" i="7"/>
  <c r="B164" i="7"/>
  <c r="A164" i="7"/>
  <c r="G163" i="7"/>
  <c r="F163" i="7"/>
  <c r="E163" i="7"/>
  <c r="D163" i="7"/>
  <c r="C163" i="7"/>
  <c r="B163" i="7"/>
  <c r="A163" i="7"/>
  <c r="G162" i="7"/>
  <c r="F162" i="7"/>
  <c r="E162" i="7"/>
  <c r="D162" i="7"/>
  <c r="C162" i="7"/>
  <c r="B162" i="7"/>
  <c r="A162" i="7"/>
  <c r="G161" i="7"/>
  <c r="F161" i="7"/>
  <c r="E161" i="7"/>
  <c r="D161" i="7"/>
  <c r="C161" i="7"/>
  <c r="B161" i="7"/>
  <c r="A161" i="7"/>
  <c r="G160" i="7"/>
  <c r="F160" i="7"/>
  <c r="E160" i="7"/>
  <c r="D160" i="7"/>
  <c r="C160" i="7"/>
  <c r="B160" i="7"/>
  <c r="A160" i="7"/>
  <c r="G159" i="7"/>
  <c r="F159" i="7"/>
  <c r="E159" i="7"/>
  <c r="D159" i="7"/>
  <c r="C159" i="7"/>
  <c r="B159" i="7"/>
  <c r="A159" i="7"/>
  <c r="G158" i="7"/>
  <c r="F158" i="7"/>
  <c r="E158" i="7"/>
  <c r="D158" i="7"/>
  <c r="C158" i="7"/>
  <c r="B158" i="7"/>
  <c r="A158" i="7"/>
  <c r="G157" i="7"/>
  <c r="F157" i="7"/>
  <c r="E157" i="7"/>
  <c r="D157" i="7"/>
  <c r="C157" i="7"/>
  <c r="B157" i="7"/>
  <c r="A157" i="7"/>
  <c r="G156" i="7"/>
  <c r="F156" i="7"/>
  <c r="E156" i="7"/>
  <c r="D156" i="7"/>
  <c r="C156" i="7"/>
  <c r="B156" i="7"/>
  <c r="A156" i="7"/>
  <c r="G155" i="7"/>
  <c r="F155" i="7"/>
  <c r="E155" i="7"/>
  <c r="D155" i="7"/>
  <c r="C155" i="7"/>
  <c r="B155" i="7"/>
  <c r="A155" i="7"/>
  <c r="G154" i="7"/>
  <c r="F154" i="7"/>
  <c r="E154" i="7"/>
  <c r="D154" i="7"/>
  <c r="C154" i="7"/>
  <c r="B154" i="7"/>
  <c r="A154" i="7"/>
  <c r="G153" i="7"/>
  <c r="F153" i="7"/>
  <c r="E153" i="7"/>
  <c r="D153" i="7"/>
  <c r="C153" i="7"/>
  <c r="B153" i="7"/>
  <c r="A153" i="7"/>
  <c r="G152" i="7"/>
  <c r="F152" i="7"/>
  <c r="E152" i="7"/>
  <c r="D152" i="7"/>
  <c r="C152" i="7"/>
  <c r="B152" i="7"/>
  <c r="A152" i="7"/>
  <c r="G151" i="7"/>
  <c r="F151" i="7"/>
  <c r="E151" i="7"/>
  <c r="D151" i="7"/>
  <c r="C151" i="7"/>
  <c r="B151" i="7"/>
  <c r="A151" i="7"/>
  <c r="G150" i="7"/>
  <c r="F150" i="7"/>
  <c r="E150" i="7"/>
  <c r="D150" i="7"/>
  <c r="C150" i="7"/>
  <c r="B150" i="7"/>
  <c r="A150" i="7"/>
  <c r="G149" i="7"/>
  <c r="F149" i="7"/>
  <c r="E149" i="7"/>
  <c r="D149" i="7"/>
  <c r="C149" i="7"/>
  <c r="B149" i="7"/>
  <c r="A149" i="7"/>
  <c r="G148" i="7"/>
  <c r="F148" i="7"/>
  <c r="E148" i="7"/>
  <c r="D148" i="7"/>
  <c r="C148" i="7"/>
  <c r="B148" i="7"/>
  <c r="A148" i="7"/>
  <c r="G147" i="7"/>
  <c r="F147" i="7"/>
  <c r="E147" i="7"/>
  <c r="D147" i="7"/>
  <c r="C147" i="7"/>
  <c r="B147" i="7"/>
  <c r="A147" i="7"/>
  <c r="G146" i="7"/>
  <c r="F146" i="7"/>
  <c r="E146" i="7"/>
  <c r="D146" i="7"/>
  <c r="C146" i="7"/>
  <c r="B146" i="7"/>
  <c r="A146" i="7"/>
  <c r="G145" i="7"/>
  <c r="F145" i="7"/>
  <c r="E145" i="7"/>
  <c r="D145" i="7"/>
  <c r="C145" i="7"/>
  <c r="B145" i="7"/>
  <c r="A145" i="7"/>
  <c r="G144" i="7"/>
  <c r="F144" i="7"/>
  <c r="E144" i="7"/>
  <c r="D144" i="7"/>
  <c r="C144" i="7"/>
  <c r="B144" i="7"/>
  <c r="A144" i="7"/>
  <c r="G143" i="7"/>
  <c r="F143" i="7"/>
  <c r="E143" i="7"/>
  <c r="D143" i="7"/>
  <c r="C143" i="7"/>
  <c r="B143" i="7"/>
  <c r="A143" i="7"/>
  <c r="G142" i="7"/>
  <c r="F142" i="7"/>
  <c r="E142" i="7"/>
  <c r="D142" i="7"/>
  <c r="C142" i="7"/>
  <c r="B142" i="7"/>
  <c r="A142" i="7"/>
  <c r="G141" i="7"/>
  <c r="F141" i="7"/>
  <c r="E141" i="7"/>
  <c r="D141" i="7"/>
  <c r="C141" i="7"/>
  <c r="B141" i="7"/>
  <c r="A141" i="7"/>
  <c r="G140" i="7"/>
  <c r="F140" i="7"/>
  <c r="E140" i="7"/>
  <c r="D140" i="7"/>
  <c r="C140" i="7"/>
  <c r="B140" i="7"/>
  <c r="A140" i="7"/>
  <c r="G139" i="7"/>
  <c r="F139" i="7"/>
  <c r="E139" i="7"/>
  <c r="D139" i="7"/>
  <c r="C139" i="7"/>
  <c r="B139" i="7"/>
  <c r="A139" i="7"/>
  <c r="G138" i="7"/>
  <c r="F138" i="7"/>
  <c r="E138" i="7"/>
  <c r="D138" i="7"/>
  <c r="C138" i="7"/>
  <c r="B138" i="7"/>
  <c r="A138" i="7"/>
  <c r="G137" i="7"/>
  <c r="F137" i="7"/>
  <c r="E137" i="7"/>
  <c r="D137" i="7"/>
  <c r="C137" i="7"/>
  <c r="B137" i="7"/>
  <c r="A137" i="7"/>
  <c r="G136" i="7"/>
  <c r="F136" i="7"/>
  <c r="E136" i="7"/>
  <c r="D136" i="7"/>
  <c r="C136" i="7"/>
  <c r="B136" i="7"/>
  <c r="A136" i="7"/>
  <c r="G135" i="7"/>
  <c r="F135" i="7"/>
  <c r="E135" i="7"/>
  <c r="D135" i="7"/>
  <c r="C135" i="7"/>
  <c r="B135" i="7"/>
  <c r="A135" i="7"/>
  <c r="G134" i="7"/>
  <c r="F134" i="7"/>
  <c r="E134" i="7"/>
  <c r="D134" i="7"/>
  <c r="C134" i="7"/>
  <c r="B134" i="7"/>
  <c r="A134" i="7"/>
  <c r="G133" i="7"/>
  <c r="F133" i="7"/>
  <c r="E133" i="7"/>
  <c r="D133" i="7"/>
  <c r="C133" i="7"/>
  <c r="B133" i="7"/>
  <c r="A133" i="7"/>
  <c r="G132" i="7"/>
  <c r="F132" i="7"/>
  <c r="E132" i="7"/>
  <c r="D132" i="7"/>
  <c r="C132" i="7"/>
  <c r="B132" i="7"/>
  <c r="A132" i="7"/>
  <c r="G131" i="7"/>
  <c r="F131" i="7"/>
  <c r="E131" i="7"/>
  <c r="D131" i="7"/>
  <c r="C131" i="7"/>
  <c r="B131" i="7"/>
  <c r="A131" i="7"/>
  <c r="G130" i="7"/>
  <c r="F130" i="7"/>
  <c r="E130" i="7"/>
  <c r="D130" i="7"/>
  <c r="C130" i="7"/>
  <c r="B130" i="7"/>
  <c r="A130" i="7"/>
  <c r="G129" i="7"/>
  <c r="F129" i="7"/>
  <c r="E129" i="7"/>
  <c r="D129" i="7"/>
  <c r="C129" i="7"/>
  <c r="B129" i="7"/>
  <c r="A129" i="7"/>
  <c r="G128" i="7"/>
  <c r="F128" i="7"/>
  <c r="E128" i="7"/>
  <c r="D128" i="7"/>
  <c r="C128" i="7"/>
  <c r="B128" i="7"/>
  <c r="A128" i="7"/>
  <c r="G127" i="7"/>
  <c r="F127" i="7"/>
  <c r="E127" i="7"/>
  <c r="D127" i="7"/>
  <c r="C127" i="7"/>
  <c r="B127" i="7"/>
  <c r="A127" i="7"/>
  <c r="G126" i="7"/>
  <c r="F126" i="7"/>
  <c r="E126" i="7"/>
  <c r="D126" i="7"/>
  <c r="C126" i="7"/>
  <c r="B126" i="7"/>
  <c r="A126" i="7"/>
  <c r="G125" i="7"/>
  <c r="F125" i="7"/>
  <c r="E125" i="7"/>
  <c r="D125" i="7"/>
  <c r="C125" i="7"/>
  <c r="B125" i="7"/>
  <c r="A125" i="7"/>
  <c r="G124" i="7"/>
  <c r="F124" i="7"/>
  <c r="E124" i="7"/>
  <c r="D124" i="7"/>
  <c r="C124" i="7"/>
  <c r="B124" i="7"/>
  <c r="A124" i="7"/>
  <c r="G123" i="7"/>
  <c r="F123" i="7"/>
  <c r="E123" i="7"/>
  <c r="D123" i="7"/>
  <c r="C123" i="7"/>
  <c r="B123" i="7"/>
  <c r="A123" i="7"/>
  <c r="G122" i="7"/>
  <c r="F122" i="7"/>
  <c r="E122" i="7"/>
  <c r="D122" i="7"/>
  <c r="C122" i="7"/>
  <c r="B122" i="7"/>
  <c r="A122" i="7"/>
  <c r="G121" i="7"/>
  <c r="F121" i="7"/>
  <c r="E121" i="7"/>
  <c r="D121" i="7"/>
  <c r="C121" i="7"/>
  <c r="B121" i="7"/>
  <c r="A121" i="7"/>
  <c r="G120" i="7"/>
  <c r="F120" i="7"/>
  <c r="E120" i="7"/>
  <c r="D120" i="7"/>
  <c r="C120" i="7"/>
  <c r="B120" i="7"/>
  <c r="A120" i="7"/>
  <c r="G119" i="7"/>
  <c r="F119" i="7"/>
  <c r="E119" i="7"/>
  <c r="D119" i="7"/>
  <c r="C119" i="7"/>
  <c r="B119" i="7"/>
  <c r="A119" i="7"/>
  <c r="G118" i="7"/>
  <c r="F118" i="7"/>
  <c r="E118" i="7"/>
  <c r="D118" i="7"/>
  <c r="C118" i="7"/>
  <c r="B118" i="7"/>
  <c r="A118" i="7"/>
  <c r="G117" i="7"/>
  <c r="F117" i="7"/>
  <c r="E117" i="7"/>
  <c r="D117" i="7"/>
  <c r="C117" i="7"/>
  <c r="B117" i="7"/>
  <c r="A117" i="7"/>
  <c r="G116" i="7"/>
  <c r="F116" i="7"/>
  <c r="E116" i="7"/>
  <c r="D116" i="7"/>
  <c r="C116" i="7"/>
  <c r="B116" i="7"/>
  <c r="A116" i="7"/>
  <c r="G115" i="7"/>
  <c r="F115" i="7"/>
  <c r="E115" i="7"/>
  <c r="D115" i="7"/>
  <c r="C115" i="7"/>
  <c r="B115" i="7"/>
  <c r="A115" i="7"/>
  <c r="G114" i="7"/>
  <c r="F114" i="7"/>
  <c r="E114" i="7"/>
  <c r="D114" i="7"/>
  <c r="C114" i="7"/>
  <c r="B114" i="7"/>
  <c r="A114" i="7"/>
  <c r="G113" i="7"/>
  <c r="F113" i="7"/>
  <c r="E113" i="7"/>
  <c r="D113" i="7"/>
  <c r="C113" i="7"/>
  <c r="B113" i="7"/>
  <c r="A113" i="7"/>
  <c r="G112" i="7"/>
  <c r="F112" i="7"/>
  <c r="E112" i="7"/>
  <c r="D112" i="7"/>
  <c r="C112" i="7"/>
  <c r="B112" i="7"/>
  <c r="A112" i="7"/>
  <c r="G111" i="7"/>
  <c r="F111" i="7"/>
  <c r="E111" i="7"/>
  <c r="D111" i="7"/>
  <c r="C111" i="7"/>
  <c r="B111" i="7"/>
  <c r="A111" i="7"/>
  <c r="G110" i="7"/>
  <c r="F110" i="7"/>
  <c r="E110" i="7"/>
  <c r="D110" i="7"/>
  <c r="C110" i="7"/>
  <c r="B110" i="7"/>
  <c r="A110" i="7"/>
  <c r="G109" i="7"/>
  <c r="F109" i="7"/>
  <c r="E109" i="7"/>
  <c r="D109" i="7"/>
  <c r="C109" i="7"/>
  <c r="B109" i="7"/>
  <c r="A109" i="7"/>
  <c r="G108" i="7"/>
  <c r="F108" i="7"/>
  <c r="E108" i="7"/>
  <c r="D108" i="7"/>
  <c r="C108" i="7"/>
  <c r="B108" i="7"/>
  <c r="A108" i="7"/>
  <c r="G107" i="7"/>
  <c r="F107" i="7"/>
  <c r="E107" i="7"/>
  <c r="D107" i="7"/>
  <c r="C107" i="7"/>
  <c r="B107" i="7"/>
  <c r="A107" i="7"/>
  <c r="G106" i="7"/>
  <c r="F106" i="7"/>
  <c r="E106" i="7"/>
  <c r="D106" i="7"/>
  <c r="C106" i="7"/>
  <c r="B106" i="7"/>
  <c r="A106" i="7"/>
  <c r="G105" i="7"/>
  <c r="F105" i="7"/>
  <c r="E105" i="7"/>
  <c r="D105" i="7"/>
  <c r="C105" i="7"/>
  <c r="B105" i="7"/>
  <c r="A105" i="7"/>
  <c r="G104" i="7"/>
  <c r="F104" i="7"/>
  <c r="E104" i="7"/>
  <c r="D104" i="7"/>
  <c r="C104" i="7"/>
  <c r="B104" i="7"/>
  <c r="A104" i="7"/>
  <c r="G103" i="7"/>
  <c r="F103" i="7"/>
  <c r="E103" i="7"/>
  <c r="D103" i="7"/>
  <c r="C103" i="7"/>
  <c r="B103" i="7"/>
  <c r="A103" i="7"/>
  <c r="G102" i="7"/>
  <c r="F102" i="7"/>
  <c r="E102" i="7"/>
  <c r="D102" i="7"/>
  <c r="C102" i="7"/>
  <c r="B102" i="7"/>
  <c r="A102" i="7"/>
  <c r="G101" i="7"/>
  <c r="F101" i="7"/>
  <c r="E101" i="7"/>
  <c r="D101" i="7"/>
  <c r="C101" i="7"/>
  <c r="B101" i="7"/>
  <c r="A101" i="7"/>
  <c r="G100" i="7"/>
  <c r="F100" i="7"/>
  <c r="E100" i="7"/>
  <c r="D100" i="7"/>
  <c r="C100" i="7"/>
  <c r="B100" i="7"/>
  <c r="A100" i="7"/>
  <c r="G99" i="7"/>
  <c r="F99" i="7"/>
  <c r="E99" i="7"/>
  <c r="D99" i="7"/>
  <c r="C99" i="7"/>
  <c r="B99" i="7"/>
  <c r="A99" i="7"/>
  <c r="G98" i="7"/>
  <c r="F98" i="7"/>
  <c r="E98" i="7"/>
  <c r="D98" i="7"/>
  <c r="C98" i="7"/>
  <c r="B98" i="7"/>
  <c r="A98" i="7"/>
  <c r="G97" i="7"/>
  <c r="F97" i="7"/>
  <c r="E97" i="7"/>
  <c r="D97" i="7"/>
  <c r="C97" i="7"/>
  <c r="B97" i="7"/>
  <c r="A97" i="7"/>
  <c r="G96" i="7"/>
  <c r="F96" i="7"/>
  <c r="E96" i="7"/>
  <c r="D96" i="7"/>
  <c r="C96" i="7"/>
  <c r="B96" i="7"/>
  <c r="A96" i="7"/>
  <c r="G95" i="7"/>
  <c r="F95" i="7"/>
  <c r="E95" i="7"/>
  <c r="D95" i="7"/>
  <c r="C95" i="7"/>
  <c r="B95" i="7"/>
  <c r="A95" i="7"/>
  <c r="G94" i="7"/>
  <c r="F94" i="7"/>
  <c r="E94" i="7"/>
  <c r="D94" i="7"/>
  <c r="C94" i="7"/>
  <c r="B94" i="7"/>
  <c r="A94" i="7"/>
  <c r="G93" i="7"/>
  <c r="F93" i="7"/>
  <c r="E93" i="7"/>
  <c r="D93" i="7"/>
  <c r="C93" i="7"/>
  <c r="B93" i="7"/>
  <c r="A93" i="7"/>
  <c r="G92" i="7"/>
  <c r="F92" i="7"/>
  <c r="E92" i="7"/>
  <c r="D92" i="7"/>
  <c r="C92" i="7"/>
  <c r="B92" i="7"/>
  <c r="A92" i="7"/>
  <c r="G91" i="7"/>
  <c r="F91" i="7"/>
  <c r="E91" i="7"/>
  <c r="D91" i="7"/>
  <c r="C91" i="7"/>
  <c r="B91" i="7"/>
  <c r="A91" i="7"/>
  <c r="G90" i="7"/>
  <c r="F90" i="7"/>
  <c r="E90" i="7"/>
  <c r="D90" i="7"/>
  <c r="C90" i="7"/>
  <c r="B90" i="7"/>
  <c r="A90" i="7"/>
  <c r="G89" i="7"/>
  <c r="F89" i="7"/>
  <c r="E89" i="7"/>
  <c r="D89" i="7"/>
  <c r="C89" i="7"/>
  <c r="B89" i="7"/>
  <c r="A89" i="7"/>
  <c r="G88" i="7"/>
  <c r="F88" i="7"/>
  <c r="E88" i="7"/>
  <c r="D88" i="7"/>
  <c r="C88" i="7"/>
  <c r="B88" i="7"/>
  <c r="A88" i="7"/>
  <c r="G87" i="7"/>
  <c r="F87" i="7"/>
  <c r="E87" i="7"/>
  <c r="D87" i="7"/>
  <c r="C87" i="7"/>
  <c r="B87" i="7"/>
  <c r="A87" i="7"/>
  <c r="G86" i="7"/>
  <c r="F86" i="7"/>
  <c r="E86" i="7"/>
  <c r="D86" i="7"/>
  <c r="C86" i="7"/>
  <c r="B86" i="7"/>
  <c r="A86" i="7"/>
  <c r="G85" i="7"/>
  <c r="F85" i="7"/>
  <c r="E85" i="7"/>
  <c r="D85" i="7"/>
  <c r="C85" i="7"/>
  <c r="B85" i="7"/>
  <c r="A85" i="7"/>
  <c r="G84" i="7"/>
  <c r="F84" i="7"/>
  <c r="E84" i="7"/>
  <c r="D84" i="7"/>
  <c r="C84" i="7"/>
  <c r="B84" i="7"/>
  <c r="A84" i="7"/>
  <c r="G83" i="7"/>
  <c r="F83" i="7"/>
  <c r="E83" i="7"/>
  <c r="D83" i="7"/>
  <c r="C83" i="7"/>
  <c r="B83" i="7"/>
  <c r="A83" i="7"/>
  <c r="G82" i="7"/>
  <c r="F82" i="7"/>
  <c r="E82" i="7"/>
  <c r="D82" i="7"/>
  <c r="C82" i="7"/>
  <c r="B82" i="7"/>
  <c r="A82" i="7"/>
  <c r="G81" i="7"/>
  <c r="F81" i="7"/>
  <c r="E81" i="7"/>
  <c r="D81" i="7"/>
  <c r="C81" i="7"/>
  <c r="B81" i="7"/>
  <c r="A81" i="7"/>
  <c r="G80" i="7"/>
  <c r="F80" i="7"/>
  <c r="E80" i="7"/>
  <c r="D80" i="7"/>
  <c r="C80" i="7"/>
  <c r="B80" i="7"/>
  <c r="A80" i="7"/>
  <c r="G79" i="7"/>
  <c r="F79" i="7"/>
  <c r="E79" i="7"/>
  <c r="D79" i="7"/>
  <c r="C79" i="7"/>
  <c r="B79" i="7"/>
  <c r="A79" i="7"/>
  <c r="G78" i="7"/>
  <c r="F78" i="7"/>
  <c r="E78" i="7"/>
  <c r="D78" i="7"/>
  <c r="C78" i="7"/>
  <c r="B78" i="7"/>
  <c r="A78" i="7"/>
  <c r="G77" i="7"/>
  <c r="F77" i="7"/>
  <c r="E77" i="7"/>
  <c r="D77" i="7"/>
  <c r="C77" i="7"/>
  <c r="B77" i="7"/>
  <c r="A77" i="7"/>
  <c r="G76" i="7"/>
  <c r="F76" i="7"/>
  <c r="E76" i="7"/>
  <c r="D76" i="7"/>
  <c r="C76" i="7"/>
  <c r="B76" i="7"/>
  <c r="A76" i="7"/>
  <c r="G75" i="7"/>
  <c r="F75" i="7"/>
  <c r="E75" i="7"/>
  <c r="D75" i="7"/>
  <c r="C75" i="7"/>
  <c r="B75" i="7"/>
  <c r="A75" i="7"/>
  <c r="G74" i="7"/>
  <c r="F74" i="7"/>
  <c r="E74" i="7"/>
  <c r="D74" i="7"/>
  <c r="C74" i="7"/>
  <c r="B74" i="7"/>
  <c r="A74" i="7"/>
  <c r="G73" i="7"/>
  <c r="F73" i="7"/>
  <c r="E73" i="7"/>
  <c r="D73" i="7"/>
  <c r="C73" i="7"/>
  <c r="B73" i="7"/>
  <c r="A73" i="7"/>
  <c r="G72" i="7"/>
  <c r="F72" i="7"/>
  <c r="E72" i="7"/>
  <c r="D72" i="7"/>
  <c r="C72" i="7"/>
  <c r="B72" i="7"/>
  <c r="A72" i="7"/>
  <c r="G71" i="7"/>
  <c r="F71" i="7"/>
  <c r="E71" i="7"/>
  <c r="D71" i="7"/>
  <c r="C71" i="7"/>
  <c r="B71" i="7"/>
  <c r="A71" i="7"/>
  <c r="G70" i="7"/>
  <c r="F70" i="7"/>
  <c r="E70" i="7"/>
  <c r="D70" i="7"/>
  <c r="C70" i="7"/>
  <c r="B70" i="7"/>
  <c r="A70" i="7"/>
  <c r="G69" i="7"/>
  <c r="F69" i="7"/>
  <c r="E69" i="7"/>
  <c r="D69" i="7"/>
  <c r="C69" i="7"/>
  <c r="B69" i="7"/>
  <c r="A69" i="7"/>
  <c r="G68" i="7"/>
  <c r="F68" i="7"/>
  <c r="E68" i="7"/>
  <c r="D68" i="7"/>
  <c r="C68" i="7"/>
  <c r="B68" i="7"/>
  <c r="A68" i="7"/>
  <c r="G67" i="7"/>
  <c r="F67" i="7"/>
  <c r="E67" i="7"/>
  <c r="D67" i="7"/>
  <c r="C67" i="7"/>
  <c r="B67" i="7"/>
  <c r="A67" i="7"/>
  <c r="G66" i="7"/>
  <c r="F66" i="7"/>
  <c r="E66" i="7"/>
  <c r="D66" i="7"/>
  <c r="C66" i="7"/>
  <c r="B66" i="7"/>
  <c r="A66" i="7"/>
  <c r="G65" i="7"/>
  <c r="F65" i="7"/>
  <c r="E65" i="7"/>
  <c r="D65" i="7"/>
  <c r="C65" i="7"/>
  <c r="B65" i="7"/>
  <c r="A65" i="7"/>
  <c r="G64" i="7"/>
  <c r="F64" i="7"/>
  <c r="E64" i="7"/>
  <c r="D64" i="7"/>
  <c r="C64" i="7"/>
  <c r="B64" i="7"/>
  <c r="A64" i="7"/>
  <c r="G63" i="7"/>
  <c r="F63" i="7"/>
  <c r="E63" i="7"/>
  <c r="D63" i="7"/>
  <c r="C63" i="7"/>
  <c r="B63" i="7"/>
  <c r="A63" i="7"/>
  <c r="G62" i="7"/>
  <c r="F62" i="7"/>
  <c r="E62" i="7"/>
  <c r="D62" i="7"/>
  <c r="C62" i="7"/>
  <c r="B62" i="7"/>
  <c r="A62" i="7"/>
  <c r="G61" i="7"/>
  <c r="F61" i="7"/>
  <c r="E61" i="7"/>
  <c r="D61" i="7"/>
  <c r="C61" i="7"/>
  <c r="B61" i="7"/>
  <c r="A61" i="7"/>
  <c r="G60" i="7"/>
  <c r="F60" i="7"/>
  <c r="E60" i="7"/>
  <c r="D60" i="7"/>
  <c r="C60" i="7"/>
  <c r="B60" i="7"/>
  <c r="A60" i="7"/>
  <c r="G59" i="7"/>
  <c r="F59" i="7"/>
  <c r="E59" i="7"/>
  <c r="D59" i="7"/>
  <c r="C59" i="7"/>
  <c r="B59" i="7"/>
  <c r="A59" i="7"/>
  <c r="G58" i="7"/>
  <c r="F58" i="7"/>
  <c r="E58" i="7"/>
  <c r="D58" i="7"/>
  <c r="C58" i="7"/>
  <c r="B58" i="7"/>
  <c r="A58" i="7"/>
  <c r="G57" i="7"/>
  <c r="F57" i="7"/>
  <c r="E57" i="7"/>
  <c r="D57" i="7"/>
  <c r="C57" i="7"/>
  <c r="B57" i="7"/>
  <c r="A57" i="7"/>
  <c r="G56" i="7"/>
  <c r="F56" i="7"/>
  <c r="E56" i="7"/>
  <c r="D56" i="7"/>
  <c r="C56" i="7"/>
  <c r="B56" i="7"/>
  <c r="A56" i="7"/>
  <c r="G55" i="7"/>
  <c r="F55" i="7"/>
  <c r="E55" i="7"/>
  <c r="D55" i="7"/>
  <c r="C55" i="7"/>
  <c r="B55" i="7"/>
  <c r="A55" i="7"/>
  <c r="G54" i="7"/>
  <c r="F54" i="7"/>
  <c r="E54" i="7"/>
  <c r="D54" i="7"/>
  <c r="C54" i="7"/>
  <c r="B54" i="7"/>
  <c r="A54" i="7"/>
  <c r="G53" i="7"/>
  <c r="F53" i="7"/>
  <c r="E53" i="7"/>
  <c r="D53" i="7"/>
  <c r="C53" i="7"/>
  <c r="B53" i="7"/>
  <c r="A53" i="7"/>
  <c r="G52" i="7"/>
  <c r="F52" i="7"/>
  <c r="E52" i="7"/>
  <c r="D52" i="7"/>
  <c r="C52" i="7"/>
  <c r="B52" i="7"/>
  <c r="A52" i="7"/>
  <c r="G51" i="7"/>
  <c r="F51" i="7"/>
  <c r="E51" i="7"/>
  <c r="D51" i="7"/>
  <c r="C51" i="7"/>
  <c r="B51" i="7"/>
  <c r="A51" i="7"/>
  <c r="G50" i="7"/>
  <c r="F50" i="7"/>
  <c r="E50" i="7"/>
  <c r="D50" i="7"/>
  <c r="C50" i="7"/>
  <c r="B50" i="7"/>
  <c r="A50" i="7"/>
  <c r="G49" i="7"/>
  <c r="F49" i="7"/>
  <c r="E49" i="7"/>
  <c r="D49" i="7"/>
  <c r="C49" i="7"/>
  <c r="B49" i="7"/>
  <c r="A49" i="7"/>
  <c r="G48" i="7"/>
  <c r="F48" i="7"/>
  <c r="E48" i="7"/>
  <c r="D48" i="7"/>
  <c r="C48" i="7"/>
  <c r="B48" i="7"/>
  <c r="A48" i="7"/>
  <c r="G47" i="7"/>
  <c r="F47" i="7"/>
  <c r="E47" i="7"/>
  <c r="D47" i="7"/>
  <c r="C47" i="7"/>
  <c r="B47" i="7"/>
  <c r="A47" i="7"/>
  <c r="G46" i="7"/>
  <c r="F46" i="7"/>
  <c r="E46" i="7"/>
  <c r="D46" i="7"/>
  <c r="C46" i="7"/>
  <c r="B46" i="7"/>
  <c r="A46" i="7"/>
  <c r="G45" i="7"/>
  <c r="F45" i="7"/>
  <c r="E45" i="7"/>
  <c r="D45" i="7"/>
  <c r="C45" i="7"/>
  <c r="B45" i="7"/>
  <c r="A45" i="7"/>
  <c r="G44" i="7"/>
  <c r="F44" i="7"/>
  <c r="E44" i="7"/>
  <c r="D44" i="7"/>
  <c r="C44" i="7"/>
  <c r="B44" i="7"/>
  <c r="A44" i="7"/>
  <c r="G43" i="7"/>
  <c r="F43" i="7"/>
  <c r="E43" i="7"/>
  <c r="D43" i="7"/>
  <c r="C43" i="7"/>
  <c r="B43" i="7"/>
  <c r="A43" i="7"/>
  <c r="G42" i="7"/>
  <c r="F42" i="7"/>
  <c r="E42" i="7"/>
  <c r="D42" i="7"/>
  <c r="C42" i="7"/>
  <c r="B42" i="7"/>
  <c r="A42" i="7"/>
  <c r="G41" i="7"/>
  <c r="F41" i="7"/>
  <c r="E41" i="7"/>
  <c r="D41" i="7"/>
  <c r="C41" i="7"/>
  <c r="B41" i="7"/>
  <c r="A41" i="7"/>
  <c r="G40" i="7"/>
  <c r="F40" i="7"/>
  <c r="E40" i="7"/>
  <c r="D40" i="7"/>
  <c r="C40" i="7"/>
  <c r="B40" i="7"/>
  <c r="A40" i="7"/>
  <c r="G39" i="7"/>
  <c r="F39" i="7"/>
  <c r="E39" i="7"/>
  <c r="D39" i="7"/>
  <c r="C39" i="7"/>
  <c r="B39" i="7"/>
  <c r="A39" i="7"/>
  <c r="G38" i="7"/>
  <c r="F38" i="7"/>
  <c r="E38" i="7"/>
  <c r="D38" i="7"/>
  <c r="C38" i="7"/>
  <c r="B38" i="7"/>
  <c r="A38" i="7"/>
  <c r="G37" i="7"/>
  <c r="F37" i="7"/>
  <c r="E37" i="7"/>
  <c r="D37" i="7"/>
  <c r="C37" i="7"/>
  <c r="B37" i="7"/>
  <c r="A37" i="7"/>
  <c r="G36" i="7"/>
  <c r="F36" i="7"/>
  <c r="E36" i="7"/>
  <c r="D36" i="7"/>
  <c r="C36" i="7"/>
  <c r="B36" i="7"/>
  <c r="A36" i="7"/>
  <c r="G35" i="7"/>
  <c r="F35" i="7"/>
  <c r="E35" i="7"/>
  <c r="D35" i="7"/>
  <c r="C35" i="7"/>
  <c r="B35" i="7"/>
  <c r="A35" i="7"/>
  <c r="G34" i="7"/>
  <c r="F34" i="7"/>
  <c r="E34" i="7"/>
  <c r="D34" i="7"/>
  <c r="C34" i="7"/>
  <c r="B34" i="7"/>
  <c r="A34" i="7"/>
  <c r="G33" i="7"/>
  <c r="F33" i="7"/>
  <c r="E33" i="7"/>
  <c r="D33" i="7"/>
  <c r="C33" i="7"/>
  <c r="B33" i="7"/>
  <c r="A33" i="7"/>
  <c r="G32" i="7"/>
  <c r="F32" i="7"/>
  <c r="E32" i="7"/>
  <c r="D32" i="7"/>
  <c r="C32" i="7"/>
  <c r="B32" i="7"/>
  <c r="A32" i="7"/>
  <c r="G31" i="7"/>
  <c r="F31" i="7"/>
  <c r="E31" i="7"/>
  <c r="D31" i="7"/>
  <c r="C31" i="7"/>
  <c r="B31" i="7"/>
  <c r="A31" i="7"/>
  <c r="G30" i="7"/>
  <c r="F30" i="7"/>
  <c r="E30" i="7"/>
  <c r="D30" i="7"/>
  <c r="C30" i="7"/>
  <c r="B30" i="7"/>
  <c r="A30" i="7"/>
  <c r="G29" i="7"/>
  <c r="F29" i="7"/>
  <c r="E29" i="7"/>
  <c r="D29" i="7"/>
  <c r="C29" i="7"/>
  <c r="B29" i="7"/>
  <c r="A29" i="7"/>
  <c r="G28" i="7"/>
  <c r="F28" i="7"/>
  <c r="E28" i="7"/>
  <c r="D28" i="7"/>
  <c r="C28" i="7"/>
  <c r="B28" i="7"/>
  <c r="A28" i="7"/>
  <c r="G27" i="7"/>
  <c r="F27" i="7"/>
  <c r="E27" i="7"/>
  <c r="D27" i="7"/>
  <c r="C27" i="7"/>
  <c r="B27" i="7"/>
  <c r="A27" i="7"/>
  <c r="G26" i="7"/>
  <c r="F26" i="7"/>
  <c r="E26" i="7"/>
  <c r="D26" i="7"/>
  <c r="C26" i="7"/>
  <c r="B26" i="7"/>
  <c r="A26" i="7"/>
  <c r="G25" i="7"/>
  <c r="F25" i="7"/>
  <c r="E25" i="7"/>
  <c r="D25" i="7"/>
  <c r="C25" i="7"/>
  <c r="B25" i="7"/>
  <c r="A25" i="7"/>
  <c r="G24" i="7"/>
  <c r="F24" i="7"/>
  <c r="E24" i="7"/>
  <c r="D24" i="7"/>
  <c r="C24" i="7"/>
  <c r="B24" i="7"/>
  <c r="A24" i="7"/>
  <c r="G23" i="7"/>
  <c r="F23" i="7"/>
  <c r="E23" i="7"/>
  <c r="D23" i="7"/>
  <c r="C23" i="7"/>
  <c r="B23" i="7"/>
  <c r="A23" i="7"/>
  <c r="G22" i="7"/>
  <c r="F22" i="7"/>
  <c r="E22" i="7"/>
  <c r="D22" i="7"/>
  <c r="C22" i="7"/>
  <c r="B22" i="7"/>
  <c r="A22" i="7"/>
  <c r="G21" i="7"/>
  <c r="F21" i="7"/>
  <c r="E21" i="7"/>
  <c r="D21" i="7"/>
  <c r="C21" i="7"/>
  <c r="B21" i="7"/>
  <c r="A21" i="7"/>
  <c r="G20" i="7"/>
  <c r="F20" i="7"/>
  <c r="E20" i="7"/>
  <c r="D20" i="7"/>
  <c r="C20" i="7"/>
  <c r="B20" i="7"/>
  <c r="A20" i="7"/>
  <c r="G19" i="7"/>
  <c r="F19" i="7"/>
  <c r="E19" i="7"/>
  <c r="D19" i="7"/>
  <c r="C19" i="7"/>
  <c r="B19" i="7"/>
  <c r="A19" i="7"/>
  <c r="G18" i="7"/>
  <c r="F18" i="7"/>
  <c r="E18" i="7"/>
  <c r="D18" i="7"/>
  <c r="C18" i="7"/>
  <c r="B18" i="7"/>
  <c r="A18" i="7"/>
  <c r="G17" i="7"/>
  <c r="F17" i="7"/>
  <c r="E17" i="7"/>
  <c r="D17" i="7"/>
  <c r="C17" i="7"/>
  <c r="B17" i="7"/>
  <c r="A17" i="7"/>
  <c r="G16" i="7"/>
  <c r="F16" i="7"/>
  <c r="E16" i="7"/>
  <c r="D16" i="7"/>
  <c r="C16" i="7"/>
  <c r="B16" i="7"/>
  <c r="A16" i="7"/>
  <c r="G15" i="7"/>
  <c r="F15" i="7"/>
  <c r="E15" i="7"/>
  <c r="D15" i="7"/>
  <c r="C15" i="7"/>
  <c r="B15" i="7"/>
  <c r="A15" i="7"/>
  <c r="G14" i="7"/>
  <c r="F14" i="7"/>
  <c r="E14" i="7"/>
  <c r="D14" i="7"/>
  <c r="C14" i="7"/>
  <c r="B14" i="7"/>
  <c r="A14" i="7"/>
  <c r="G13" i="7"/>
  <c r="F13" i="7"/>
  <c r="E13" i="7"/>
  <c r="D13" i="7"/>
  <c r="C13" i="7"/>
  <c r="B13" i="7"/>
  <c r="A13" i="7"/>
  <c r="G12" i="7"/>
  <c r="F12" i="7"/>
  <c r="E12" i="7"/>
  <c r="D12" i="7"/>
  <c r="C12" i="7"/>
  <c r="B12" i="7"/>
  <c r="A12" i="7"/>
  <c r="G11" i="7"/>
  <c r="F11" i="7"/>
  <c r="E11" i="7"/>
  <c r="D11" i="7"/>
  <c r="C11" i="7"/>
  <c r="B11" i="7"/>
  <c r="A11" i="7"/>
  <c r="G10" i="7"/>
  <c r="F10" i="7"/>
  <c r="E10" i="7"/>
  <c r="D10" i="7"/>
  <c r="C10" i="7"/>
  <c r="B10" i="7"/>
  <c r="A10" i="7"/>
  <c r="G9" i="7"/>
  <c r="F9" i="7"/>
  <c r="E9" i="7"/>
  <c r="D9" i="7"/>
  <c r="C9" i="7"/>
  <c r="B9" i="7"/>
  <c r="A9" i="7"/>
  <c r="G8" i="7"/>
  <c r="F8" i="7"/>
  <c r="E8" i="7"/>
  <c r="D8" i="7"/>
  <c r="C8" i="7"/>
  <c r="B8" i="7"/>
  <c r="A8" i="7"/>
  <c r="G7" i="7"/>
  <c r="F7" i="7"/>
  <c r="E7" i="7"/>
  <c r="D7" i="7"/>
  <c r="C7" i="7"/>
  <c r="B7" i="7"/>
  <c r="A7" i="7"/>
  <c r="G6" i="7"/>
  <c r="F6" i="7"/>
  <c r="E6" i="7"/>
  <c r="D6" i="7"/>
  <c r="C6" i="7"/>
  <c r="B6" i="7"/>
  <c r="A6" i="7"/>
  <c r="G5" i="7"/>
  <c r="F5" i="7"/>
  <c r="E5" i="7"/>
  <c r="D5" i="7"/>
  <c r="C5" i="7"/>
  <c r="B5" i="7"/>
  <c r="A5" i="7"/>
  <c r="G4" i="7"/>
  <c r="F4" i="7"/>
  <c r="E4" i="7"/>
  <c r="D4" i="7"/>
  <c r="C4" i="7"/>
  <c r="B4" i="7"/>
  <c r="A4" i="7"/>
  <c r="G3" i="7"/>
  <c r="F3" i="7"/>
  <c r="E3" i="7"/>
  <c r="D3" i="7"/>
  <c r="C3" i="7"/>
  <c r="B3" i="7"/>
  <c r="A3" i="7"/>
  <c r="A2" i="7"/>
  <c r="F48" i="5"/>
  <c r="E48" i="5"/>
  <c r="D48" i="5"/>
  <c r="C48" i="5"/>
  <c r="B48" i="5"/>
  <c r="F47" i="5"/>
  <c r="E47" i="5"/>
  <c r="D47" i="5"/>
  <c r="C47" i="5"/>
  <c r="B47" i="5"/>
  <c r="F46" i="5"/>
  <c r="E46" i="5"/>
  <c r="D46" i="5"/>
  <c r="C46" i="5"/>
  <c r="B46" i="5"/>
  <c r="F45" i="5"/>
  <c r="E45" i="5"/>
  <c r="D45" i="5"/>
  <c r="C45" i="5"/>
  <c r="B45" i="5"/>
  <c r="F44" i="5"/>
  <c r="E44" i="5"/>
  <c r="D44" i="5"/>
  <c r="C44" i="5"/>
  <c r="B44" i="5"/>
  <c r="F43" i="5"/>
  <c r="E43" i="5"/>
  <c r="D43" i="5"/>
  <c r="C43" i="5"/>
  <c r="B43" i="5"/>
  <c r="F42" i="5"/>
  <c r="E42" i="5"/>
  <c r="D42" i="5"/>
  <c r="C42" i="5"/>
  <c r="B42" i="5"/>
  <c r="F41" i="5"/>
  <c r="E41" i="5"/>
  <c r="D41" i="5"/>
  <c r="C41" i="5"/>
  <c r="B41" i="5"/>
  <c r="F40" i="5"/>
  <c r="E40" i="5"/>
  <c r="D40" i="5"/>
  <c r="C40" i="5"/>
  <c r="B40" i="5"/>
  <c r="F39" i="5"/>
  <c r="E39" i="5"/>
  <c r="D39" i="5"/>
  <c r="C39" i="5"/>
  <c r="B39" i="5"/>
  <c r="F38" i="5"/>
  <c r="E38" i="5"/>
  <c r="D38" i="5"/>
  <c r="C38" i="5"/>
  <c r="B38" i="5"/>
  <c r="F37" i="5"/>
  <c r="E37" i="5"/>
  <c r="D37" i="5"/>
  <c r="C37" i="5"/>
  <c r="B37" i="5"/>
  <c r="F32" i="5"/>
  <c r="E32" i="5"/>
  <c r="D32" i="5"/>
  <c r="C32" i="5"/>
  <c r="B32" i="5"/>
  <c r="F31" i="5"/>
  <c r="E31" i="5"/>
  <c r="D31" i="5"/>
  <c r="C31" i="5"/>
  <c r="B31" i="5"/>
  <c r="F30" i="5"/>
  <c r="E30" i="5"/>
  <c r="D30" i="5"/>
  <c r="C30" i="5"/>
  <c r="B30" i="5"/>
  <c r="F29" i="5"/>
  <c r="E29" i="5"/>
  <c r="D29" i="5"/>
  <c r="C29" i="5"/>
  <c r="B29" i="5"/>
  <c r="F28" i="5"/>
  <c r="E28" i="5"/>
  <c r="D28" i="5"/>
  <c r="C28" i="5"/>
  <c r="B28" i="5"/>
  <c r="F27" i="5"/>
  <c r="E27" i="5"/>
  <c r="D27" i="5"/>
  <c r="C27" i="5"/>
  <c r="B27" i="5"/>
  <c r="F26" i="5"/>
  <c r="E26" i="5"/>
  <c r="D26" i="5"/>
  <c r="C26" i="5"/>
  <c r="B26" i="5"/>
  <c r="F25" i="5"/>
  <c r="E25" i="5"/>
  <c r="D25" i="5"/>
  <c r="C25" i="5"/>
  <c r="B25" i="5"/>
  <c r="F24" i="5"/>
  <c r="E24" i="5"/>
  <c r="D24" i="5"/>
  <c r="C24" i="5"/>
  <c r="B24" i="5"/>
  <c r="F23" i="5"/>
  <c r="E23" i="5"/>
  <c r="D23" i="5"/>
  <c r="C23" i="5"/>
  <c r="B23" i="5"/>
  <c r="F22" i="5"/>
  <c r="E22" i="5"/>
  <c r="D22" i="5"/>
  <c r="C22" i="5"/>
  <c r="B22" i="5"/>
  <c r="F21" i="5"/>
  <c r="E21" i="5"/>
  <c r="D21" i="5"/>
  <c r="C21" i="5"/>
  <c r="B21" i="5"/>
  <c r="G16" i="5"/>
  <c r="F16" i="5"/>
  <c r="E16" i="5"/>
  <c r="D16" i="5"/>
  <c r="C16" i="5"/>
  <c r="B16" i="5"/>
  <c r="G15" i="5"/>
  <c r="F15" i="5"/>
  <c r="E15" i="5"/>
  <c r="D15" i="5"/>
  <c r="C15" i="5"/>
  <c r="B15" i="5"/>
  <c r="G14" i="5"/>
  <c r="F14" i="5"/>
  <c r="E14" i="5"/>
  <c r="D14" i="5"/>
  <c r="C14" i="5"/>
  <c r="B14" i="5"/>
  <c r="G13" i="5"/>
  <c r="F13" i="5"/>
  <c r="E13" i="5"/>
  <c r="D13" i="5"/>
  <c r="C13" i="5"/>
  <c r="B13" i="5"/>
  <c r="G12" i="5"/>
  <c r="F12" i="5"/>
  <c r="E12" i="5"/>
  <c r="D12" i="5"/>
  <c r="C12" i="5"/>
  <c r="B12" i="5"/>
  <c r="G11" i="5"/>
  <c r="F11" i="5"/>
  <c r="E11" i="5"/>
  <c r="D11" i="5"/>
  <c r="C11" i="5"/>
  <c r="B11" i="5"/>
  <c r="G10" i="5"/>
  <c r="F10" i="5"/>
  <c r="E10" i="5"/>
  <c r="D10" i="5"/>
  <c r="C10" i="5"/>
  <c r="B10" i="5"/>
  <c r="G9" i="5"/>
  <c r="F9" i="5"/>
  <c r="E9" i="5"/>
  <c r="D9" i="5"/>
  <c r="C9" i="5"/>
  <c r="B9" i="5"/>
  <c r="G8" i="5"/>
  <c r="F8" i="5"/>
  <c r="E8" i="5"/>
  <c r="D8" i="5"/>
  <c r="C8" i="5"/>
  <c r="B8" i="5"/>
  <c r="G7" i="5"/>
  <c r="F7" i="5"/>
  <c r="E7" i="5"/>
  <c r="D7" i="5"/>
  <c r="C7" i="5"/>
  <c r="B7" i="5"/>
  <c r="G6" i="5"/>
  <c r="F6" i="5"/>
  <c r="E6" i="5"/>
  <c r="D6" i="5"/>
  <c r="C6" i="5"/>
  <c r="B6" i="5"/>
  <c r="G5" i="5"/>
  <c r="G17" i="5" s="1"/>
  <c r="F5" i="5"/>
  <c r="F17" i="5" s="1"/>
  <c r="E5" i="5"/>
  <c r="E17" i="5" s="1"/>
  <c r="D5" i="5"/>
  <c r="D17" i="5" s="1"/>
  <c r="C5" i="5"/>
  <c r="C17" i="5" s="1"/>
  <c r="B5" i="5"/>
  <c r="B17" i="5" s="1"/>
  <c r="G9" i="4"/>
  <c r="F9" i="4"/>
  <c r="E9" i="4"/>
  <c r="D9" i="4"/>
  <c r="C9" i="4"/>
  <c r="B9" i="4"/>
  <c r="G8" i="4"/>
  <c r="F8" i="4"/>
  <c r="E8" i="4"/>
  <c r="D8" i="4"/>
  <c r="C8" i="4"/>
  <c r="B8" i="4"/>
  <c r="G7" i="4"/>
  <c r="F7" i="4"/>
  <c r="E7" i="4"/>
  <c r="D7" i="4"/>
  <c r="C7" i="4"/>
  <c r="B7" i="4"/>
  <c r="G6" i="4"/>
  <c r="F6" i="4"/>
  <c r="E6" i="4"/>
  <c r="D6" i="4"/>
  <c r="C6" i="4"/>
  <c r="B6" i="4"/>
  <c r="G5" i="4"/>
  <c r="F5" i="4"/>
  <c r="E5" i="4"/>
  <c r="D5" i="4"/>
  <c r="C5" i="4"/>
  <c r="B5" i="4"/>
  <c r="G4" i="4"/>
  <c r="F4" i="4"/>
  <c r="E4" i="4"/>
  <c r="D4" i="4"/>
  <c r="C4" i="4"/>
  <c r="B4" i="4"/>
  <c r="D13" i="4" s="1"/>
  <c r="G272" i="3"/>
  <c r="F272" i="3"/>
  <c r="E272" i="3"/>
  <c r="D272" i="3"/>
  <c r="C272" i="3"/>
  <c r="B272" i="3"/>
  <c r="A272" i="3"/>
  <c r="G271" i="3"/>
  <c r="F271" i="3"/>
  <c r="E271" i="3"/>
  <c r="D271" i="3"/>
  <c r="C271" i="3"/>
  <c r="B271" i="3"/>
  <c r="A271" i="3"/>
  <c r="G270" i="3"/>
  <c r="F270" i="3"/>
  <c r="E270" i="3"/>
  <c r="D270" i="3"/>
  <c r="C270" i="3"/>
  <c r="B270" i="3"/>
  <c r="A270" i="3"/>
  <c r="G269" i="3"/>
  <c r="F269" i="3"/>
  <c r="E269" i="3"/>
  <c r="D269" i="3"/>
  <c r="C269" i="3"/>
  <c r="B269" i="3"/>
  <c r="A269" i="3"/>
  <c r="G268" i="3"/>
  <c r="F268" i="3"/>
  <c r="E268" i="3"/>
  <c r="D268" i="3"/>
  <c r="C268" i="3"/>
  <c r="B268" i="3"/>
  <c r="A268" i="3"/>
  <c r="G267" i="3"/>
  <c r="F267" i="3"/>
  <c r="E267" i="3"/>
  <c r="D267" i="3"/>
  <c r="C267" i="3"/>
  <c r="B267" i="3"/>
  <c r="A267" i="3"/>
  <c r="G266" i="3"/>
  <c r="F266" i="3"/>
  <c r="E266" i="3"/>
  <c r="D266" i="3"/>
  <c r="C266" i="3"/>
  <c r="B266" i="3"/>
  <c r="A266" i="3"/>
  <c r="G265" i="3"/>
  <c r="F265" i="3"/>
  <c r="E265" i="3"/>
  <c r="D265" i="3"/>
  <c r="C265" i="3"/>
  <c r="B265" i="3"/>
  <c r="A265" i="3"/>
  <c r="G264" i="3"/>
  <c r="F264" i="3"/>
  <c r="E264" i="3"/>
  <c r="D264" i="3"/>
  <c r="C264" i="3"/>
  <c r="B264" i="3"/>
  <c r="A264" i="3"/>
  <c r="G263" i="3"/>
  <c r="F263" i="3"/>
  <c r="E263" i="3"/>
  <c r="D263" i="3"/>
  <c r="C263" i="3"/>
  <c r="B263" i="3"/>
  <c r="A263" i="3"/>
  <c r="G262" i="3"/>
  <c r="F262" i="3"/>
  <c r="E262" i="3"/>
  <c r="D262" i="3"/>
  <c r="C262" i="3"/>
  <c r="B262" i="3"/>
  <c r="A262" i="3"/>
  <c r="G261" i="3"/>
  <c r="F261" i="3"/>
  <c r="E261" i="3"/>
  <c r="D261" i="3"/>
  <c r="C261" i="3"/>
  <c r="B261" i="3"/>
  <c r="A261" i="3"/>
  <c r="G260" i="3"/>
  <c r="F260" i="3"/>
  <c r="E260" i="3"/>
  <c r="D260" i="3"/>
  <c r="C260" i="3"/>
  <c r="B260" i="3"/>
  <c r="A260" i="3"/>
  <c r="G259" i="3"/>
  <c r="F259" i="3"/>
  <c r="E259" i="3"/>
  <c r="D259" i="3"/>
  <c r="C259" i="3"/>
  <c r="B259" i="3"/>
  <c r="A259" i="3"/>
  <c r="G258" i="3"/>
  <c r="F258" i="3"/>
  <c r="E258" i="3"/>
  <c r="D258" i="3"/>
  <c r="C258" i="3"/>
  <c r="B258" i="3"/>
  <c r="A258" i="3"/>
  <c r="G257" i="3"/>
  <c r="F257" i="3"/>
  <c r="E257" i="3"/>
  <c r="D257" i="3"/>
  <c r="C257" i="3"/>
  <c r="B257" i="3"/>
  <c r="A257" i="3"/>
  <c r="G256" i="3"/>
  <c r="F256" i="3"/>
  <c r="E256" i="3"/>
  <c r="D256" i="3"/>
  <c r="C256" i="3"/>
  <c r="B256" i="3"/>
  <c r="A256" i="3"/>
  <c r="G255" i="3"/>
  <c r="F255" i="3"/>
  <c r="E255" i="3"/>
  <c r="D255" i="3"/>
  <c r="C255" i="3"/>
  <c r="B255" i="3"/>
  <c r="A255" i="3"/>
  <c r="G254" i="3"/>
  <c r="F254" i="3"/>
  <c r="E254" i="3"/>
  <c r="D254" i="3"/>
  <c r="C254" i="3"/>
  <c r="B254" i="3"/>
  <c r="A254" i="3"/>
  <c r="G253" i="3"/>
  <c r="F253" i="3"/>
  <c r="E253" i="3"/>
  <c r="D253" i="3"/>
  <c r="C253" i="3"/>
  <c r="B253" i="3"/>
  <c r="A253" i="3"/>
  <c r="G252" i="3"/>
  <c r="F252" i="3"/>
  <c r="E252" i="3"/>
  <c r="D252" i="3"/>
  <c r="C252" i="3"/>
  <c r="B252" i="3"/>
  <c r="A252" i="3"/>
  <c r="G251" i="3"/>
  <c r="F251" i="3"/>
  <c r="E251" i="3"/>
  <c r="D251" i="3"/>
  <c r="C251" i="3"/>
  <c r="B251" i="3"/>
  <c r="A251" i="3"/>
  <c r="G250" i="3"/>
  <c r="F250" i="3"/>
  <c r="E250" i="3"/>
  <c r="D250" i="3"/>
  <c r="C250" i="3"/>
  <c r="B250" i="3"/>
  <c r="A250" i="3"/>
  <c r="G249" i="3"/>
  <c r="F249" i="3"/>
  <c r="E249" i="3"/>
  <c r="D249" i="3"/>
  <c r="C249" i="3"/>
  <c r="B249" i="3"/>
  <c r="A249" i="3"/>
  <c r="G248" i="3"/>
  <c r="F248" i="3"/>
  <c r="E248" i="3"/>
  <c r="D248" i="3"/>
  <c r="C248" i="3"/>
  <c r="B248" i="3"/>
  <c r="A248" i="3"/>
  <c r="G247" i="3"/>
  <c r="F247" i="3"/>
  <c r="E247" i="3"/>
  <c r="D247" i="3"/>
  <c r="C247" i="3"/>
  <c r="B247" i="3"/>
  <c r="A247" i="3"/>
  <c r="G246" i="3"/>
  <c r="F246" i="3"/>
  <c r="E246" i="3"/>
  <c r="D246" i="3"/>
  <c r="C246" i="3"/>
  <c r="B246" i="3"/>
  <c r="A246" i="3"/>
  <c r="G245" i="3"/>
  <c r="F245" i="3"/>
  <c r="E245" i="3"/>
  <c r="D245" i="3"/>
  <c r="C245" i="3"/>
  <c r="B245" i="3"/>
  <c r="A245" i="3"/>
  <c r="G244" i="3"/>
  <c r="F244" i="3"/>
  <c r="E244" i="3"/>
  <c r="D244" i="3"/>
  <c r="C244" i="3"/>
  <c r="B244" i="3"/>
  <c r="A244" i="3"/>
  <c r="G243" i="3"/>
  <c r="F243" i="3"/>
  <c r="E243" i="3"/>
  <c r="D243" i="3"/>
  <c r="C243" i="3"/>
  <c r="B243" i="3"/>
  <c r="A243" i="3"/>
  <c r="G242" i="3"/>
  <c r="F242" i="3"/>
  <c r="E242" i="3"/>
  <c r="D242" i="3"/>
  <c r="C242" i="3"/>
  <c r="B242" i="3"/>
  <c r="A242" i="3"/>
  <c r="G241" i="3"/>
  <c r="F241" i="3"/>
  <c r="E241" i="3"/>
  <c r="D241" i="3"/>
  <c r="C241" i="3"/>
  <c r="B241" i="3"/>
  <c r="A241" i="3"/>
  <c r="G240" i="3"/>
  <c r="F240" i="3"/>
  <c r="E240" i="3"/>
  <c r="D240" i="3"/>
  <c r="C240" i="3"/>
  <c r="B240" i="3"/>
  <c r="A240" i="3"/>
  <c r="G239" i="3"/>
  <c r="F239" i="3"/>
  <c r="E239" i="3"/>
  <c r="D239" i="3"/>
  <c r="C239" i="3"/>
  <c r="B239" i="3"/>
  <c r="A239" i="3"/>
  <c r="G238" i="3"/>
  <c r="F238" i="3"/>
  <c r="E238" i="3"/>
  <c r="D238" i="3"/>
  <c r="C238" i="3"/>
  <c r="B238" i="3"/>
  <c r="A238" i="3"/>
  <c r="G237" i="3"/>
  <c r="F237" i="3"/>
  <c r="E237" i="3"/>
  <c r="D237" i="3"/>
  <c r="C237" i="3"/>
  <c r="B237" i="3"/>
  <c r="A237" i="3"/>
  <c r="G236" i="3"/>
  <c r="F236" i="3"/>
  <c r="E236" i="3"/>
  <c r="D236" i="3"/>
  <c r="C236" i="3"/>
  <c r="B236" i="3"/>
  <c r="A236" i="3"/>
  <c r="G235" i="3"/>
  <c r="F235" i="3"/>
  <c r="E235" i="3"/>
  <c r="D235" i="3"/>
  <c r="C235" i="3"/>
  <c r="B235" i="3"/>
  <c r="A235" i="3"/>
  <c r="G234" i="3"/>
  <c r="F234" i="3"/>
  <c r="E234" i="3"/>
  <c r="D234" i="3"/>
  <c r="C234" i="3"/>
  <c r="B234" i="3"/>
  <c r="A234" i="3"/>
  <c r="G233" i="3"/>
  <c r="F233" i="3"/>
  <c r="E233" i="3"/>
  <c r="D233" i="3"/>
  <c r="C233" i="3"/>
  <c r="B233" i="3"/>
  <c r="A233" i="3"/>
  <c r="G232" i="3"/>
  <c r="F232" i="3"/>
  <c r="E232" i="3"/>
  <c r="D232" i="3"/>
  <c r="C232" i="3"/>
  <c r="B232" i="3"/>
  <c r="A232" i="3"/>
  <c r="G231" i="3"/>
  <c r="F231" i="3"/>
  <c r="E231" i="3"/>
  <c r="D231" i="3"/>
  <c r="C231" i="3"/>
  <c r="B231" i="3"/>
  <c r="A231" i="3"/>
  <c r="G230" i="3"/>
  <c r="F230" i="3"/>
  <c r="E230" i="3"/>
  <c r="D230" i="3"/>
  <c r="C230" i="3"/>
  <c r="B230" i="3"/>
  <c r="A230" i="3"/>
  <c r="G229" i="3"/>
  <c r="F229" i="3"/>
  <c r="E229" i="3"/>
  <c r="D229" i="3"/>
  <c r="C229" i="3"/>
  <c r="B229" i="3"/>
  <c r="A229" i="3"/>
  <c r="G228" i="3"/>
  <c r="F228" i="3"/>
  <c r="E228" i="3"/>
  <c r="D228" i="3"/>
  <c r="C228" i="3"/>
  <c r="B228" i="3"/>
  <c r="A228" i="3"/>
  <c r="G227" i="3"/>
  <c r="F227" i="3"/>
  <c r="E227" i="3"/>
  <c r="D227" i="3"/>
  <c r="C227" i="3"/>
  <c r="B227" i="3"/>
  <c r="A227" i="3"/>
  <c r="G226" i="3"/>
  <c r="F226" i="3"/>
  <c r="E226" i="3"/>
  <c r="D226" i="3"/>
  <c r="C226" i="3"/>
  <c r="B226" i="3"/>
  <c r="A226" i="3"/>
  <c r="G225" i="3"/>
  <c r="F225" i="3"/>
  <c r="E225" i="3"/>
  <c r="D225" i="3"/>
  <c r="C225" i="3"/>
  <c r="B225" i="3"/>
  <c r="A225" i="3"/>
  <c r="G224" i="3"/>
  <c r="F224" i="3"/>
  <c r="E224" i="3"/>
  <c r="D224" i="3"/>
  <c r="C224" i="3"/>
  <c r="B224" i="3"/>
  <c r="A224" i="3"/>
  <c r="G223" i="3"/>
  <c r="F223" i="3"/>
  <c r="E223" i="3"/>
  <c r="D223" i="3"/>
  <c r="C223" i="3"/>
  <c r="B223" i="3"/>
  <c r="A223" i="3"/>
  <c r="G222" i="3"/>
  <c r="F222" i="3"/>
  <c r="E222" i="3"/>
  <c r="D222" i="3"/>
  <c r="C222" i="3"/>
  <c r="B222" i="3"/>
  <c r="A222" i="3"/>
  <c r="G221" i="3"/>
  <c r="F221" i="3"/>
  <c r="E221" i="3"/>
  <c r="D221" i="3"/>
  <c r="C221" i="3"/>
  <c r="B221" i="3"/>
  <c r="A221" i="3"/>
  <c r="G220" i="3"/>
  <c r="F220" i="3"/>
  <c r="E220" i="3"/>
  <c r="D220" i="3"/>
  <c r="C220" i="3"/>
  <c r="B220" i="3"/>
  <c r="A220" i="3"/>
  <c r="G219" i="3"/>
  <c r="F219" i="3"/>
  <c r="E219" i="3"/>
  <c r="D219" i="3"/>
  <c r="C219" i="3"/>
  <c r="B219" i="3"/>
  <c r="A219" i="3"/>
  <c r="G218" i="3"/>
  <c r="F218" i="3"/>
  <c r="E218" i="3"/>
  <c r="D218" i="3"/>
  <c r="C218" i="3"/>
  <c r="B218" i="3"/>
  <c r="A218" i="3"/>
  <c r="G217" i="3"/>
  <c r="F217" i="3"/>
  <c r="E217" i="3"/>
  <c r="D217" i="3"/>
  <c r="C217" i="3"/>
  <c r="B217" i="3"/>
  <c r="A217" i="3"/>
  <c r="G216" i="3"/>
  <c r="F216" i="3"/>
  <c r="E216" i="3"/>
  <c r="D216" i="3"/>
  <c r="C216" i="3"/>
  <c r="B216" i="3"/>
  <c r="A216" i="3"/>
  <c r="G215" i="3"/>
  <c r="F215" i="3"/>
  <c r="E215" i="3"/>
  <c r="D215" i="3"/>
  <c r="C215" i="3"/>
  <c r="B215" i="3"/>
  <c r="A215" i="3"/>
  <c r="G214" i="3"/>
  <c r="F214" i="3"/>
  <c r="E214" i="3"/>
  <c r="D214" i="3"/>
  <c r="C214" i="3"/>
  <c r="B214" i="3"/>
  <c r="A214" i="3"/>
  <c r="G213" i="3"/>
  <c r="F213" i="3"/>
  <c r="E213" i="3"/>
  <c r="D213" i="3"/>
  <c r="C213" i="3"/>
  <c r="B213" i="3"/>
  <c r="A213" i="3"/>
  <c r="G212" i="3"/>
  <c r="F212" i="3"/>
  <c r="E212" i="3"/>
  <c r="D212" i="3"/>
  <c r="C212" i="3"/>
  <c r="B212" i="3"/>
  <c r="A212" i="3"/>
  <c r="G211" i="3"/>
  <c r="F211" i="3"/>
  <c r="E211" i="3"/>
  <c r="D211" i="3"/>
  <c r="C211" i="3"/>
  <c r="B211" i="3"/>
  <c r="A211" i="3"/>
  <c r="G210" i="3"/>
  <c r="F210" i="3"/>
  <c r="E210" i="3"/>
  <c r="D210" i="3"/>
  <c r="C210" i="3"/>
  <c r="B210" i="3"/>
  <c r="A210" i="3"/>
  <c r="G209" i="3"/>
  <c r="F209" i="3"/>
  <c r="E209" i="3"/>
  <c r="D209" i="3"/>
  <c r="C209" i="3"/>
  <c r="B209" i="3"/>
  <c r="A209" i="3"/>
  <c r="G208" i="3"/>
  <c r="F208" i="3"/>
  <c r="E208" i="3"/>
  <c r="D208" i="3"/>
  <c r="C208" i="3"/>
  <c r="B208" i="3"/>
  <c r="A208" i="3"/>
  <c r="G207" i="3"/>
  <c r="F207" i="3"/>
  <c r="E207" i="3"/>
  <c r="D207" i="3"/>
  <c r="C207" i="3"/>
  <c r="B207" i="3"/>
  <c r="A207" i="3"/>
  <c r="G206" i="3"/>
  <c r="F206" i="3"/>
  <c r="E206" i="3"/>
  <c r="D206" i="3"/>
  <c r="C206" i="3"/>
  <c r="B206" i="3"/>
  <c r="A206" i="3"/>
  <c r="G205" i="3"/>
  <c r="F205" i="3"/>
  <c r="E205" i="3"/>
  <c r="D205" i="3"/>
  <c r="C205" i="3"/>
  <c r="B205" i="3"/>
  <c r="A205" i="3"/>
  <c r="G204" i="3"/>
  <c r="F204" i="3"/>
  <c r="E204" i="3"/>
  <c r="D204" i="3"/>
  <c r="C204" i="3"/>
  <c r="B204" i="3"/>
  <c r="A204" i="3"/>
  <c r="G203" i="3"/>
  <c r="F203" i="3"/>
  <c r="E203" i="3"/>
  <c r="D203" i="3"/>
  <c r="C203" i="3"/>
  <c r="B203" i="3"/>
  <c r="A203" i="3"/>
  <c r="G202" i="3"/>
  <c r="F202" i="3"/>
  <c r="E202" i="3"/>
  <c r="D202" i="3"/>
  <c r="C202" i="3"/>
  <c r="B202" i="3"/>
  <c r="A202" i="3"/>
  <c r="G201" i="3"/>
  <c r="F201" i="3"/>
  <c r="E201" i="3"/>
  <c r="D201" i="3"/>
  <c r="C201" i="3"/>
  <c r="B201" i="3"/>
  <c r="A201" i="3"/>
  <c r="G200" i="3"/>
  <c r="F200" i="3"/>
  <c r="E200" i="3"/>
  <c r="D200" i="3"/>
  <c r="C200" i="3"/>
  <c r="B200" i="3"/>
  <c r="A200" i="3"/>
  <c r="G199" i="3"/>
  <c r="F199" i="3"/>
  <c r="E199" i="3"/>
  <c r="D199" i="3"/>
  <c r="C199" i="3"/>
  <c r="B199" i="3"/>
  <c r="A199" i="3"/>
  <c r="G198" i="3"/>
  <c r="F198" i="3"/>
  <c r="E198" i="3"/>
  <c r="D198" i="3"/>
  <c r="C198" i="3"/>
  <c r="B198" i="3"/>
  <c r="A198" i="3"/>
  <c r="G197" i="3"/>
  <c r="F197" i="3"/>
  <c r="E197" i="3"/>
  <c r="D197" i="3"/>
  <c r="C197" i="3"/>
  <c r="B197" i="3"/>
  <c r="A197" i="3"/>
  <c r="G196" i="3"/>
  <c r="F196" i="3"/>
  <c r="E196" i="3"/>
  <c r="D196" i="3"/>
  <c r="C196" i="3"/>
  <c r="B196" i="3"/>
  <c r="A196" i="3"/>
  <c r="G195" i="3"/>
  <c r="F195" i="3"/>
  <c r="E195" i="3"/>
  <c r="D195" i="3"/>
  <c r="C195" i="3"/>
  <c r="B195" i="3"/>
  <c r="A195" i="3"/>
  <c r="G194" i="3"/>
  <c r="F194" i="3"/>
  <c r="E194" i="3"/>
  <c r="D194" i="3"/>
  <c r="C194" i="3"/>
  <c r="B194" i="3"/>
  <c r="A194" i="3"/>
  <c r="G193" i="3"/>
  <c r="F193" i="3"/>
  <c r="E193" i="3"/>
  <c r="D193" i="3"/>
  <c r="C193" i="3"/>
  <c r="B193" i="3"/>
  <c r="A193" i="3"/>
  <c r="G192" i="3"/>
  <c r="F192" i="3"/>
  <c r="E192" i="3"/>
  <c r="D192" i="3"/>
  <c r="C192" i="3"/>
  <c r="B192" i="3"/>
  <c r="A192" i="3"/>
  <c r="G191" i="3"/>
  <c r="F191" i="3"/>
  <c r="E191" i="3"/>
  <c r="D191" i="3"/>
  <c r="C191" i="3"/>
  <c r="B191" i="3"/>
  <c r="A191" i="3"/>
  <c r="G190" i="3"/>
  <c r="F190" i="3"/>
  <c r="E190" i="3"/>
  <c r="D190" i="3"/>
  <c r="C190" i="3"/>
  <c r="B190" i="3"/>
  <c r="A190" i="3"/>
  <c r="G189" i="3"/>
  <c r="F189" i="3"/>
  <c r="E189" i="3"/>
  <c r="D189" i="3"/>
  <c r="C189" i="3"/>
  <c r="B189" i="3"/>
  <c r="A189" i="3"/>
  <c r="G188" i="3"/>
  <c r="F188" i="3"/>
  <c r="E188" i="3"/>
  <c r="D188" i="3"/>
  <c r="C188" i="3"/>
  <c r="B188" i="3"/>
  <c r="A188" i="3"/>
  <c r="G187" i="3"/>
  <c r="F187" i="3"/>
  <c r="E187" i="3"/>
  <c r="D187" i="3"/>
  <c r="C187" i="3"/>
  <c r="B187" i="3"/>
  <c r="A187" i="3"/>
  <c r="G186" i="3"/>
  <c r="F186" i="3"/>
  <c r="E186" i="3"/>
  <c r="D186" i="3"/>
  <c r="C186" i="3"/>
  <c r="B186" i="3"/>
  <c r="A186" i="3"/>
  <c r="G185" i="3"/>
  <c r="F185" i="3"/>
  <c r="E185" i="3"/>
  <c r="D185" i="3"/>
  <c r="C185" i="3"/>
  <c r="B185" i="3"/>
  <c r="A185" i="3"/>
  <c r="G184" i="3"/>
  <c r="F184" i="3"/>
  <c r="E184" i="3"/>
  <c r="D184" i="3"/>
  <c r="C184" i="3"/>
  <c r="B184" i="3"/>
  <c r="A184" i="3"/>
  <c r="G183" i="3"/>
  <c r="F183" i="3"/>
  <c r="E183" i="3"/>
  <c r="D183" i="3"/>
  <c r="C183" i="3"/>
  <c r="B183" i="3"/>
  <c r="A183" i="3"/>
  <c r="G182" i="3"/>
  <c r="F182" i="3"/>
  <c r="E182" i="3"/>
  <c r="D182" i="3"/>
  <c r="C182" i="3"/>
  <c r="B182" i="3"/>
  <c r="A182" i="3"/>
  <c r="G181" i="3"/>
  <c r="F181" i="3"/>
  <c r="E181" i="3"/>
  <c r="D181" i="3"/>
  <c r="C181" i="3"/>
  <c r="B181" i="3"/>
  <c r="A181" i="3"/>
  <c r="G180" i="3"/>
  <c r="F180" i="3"/>
  <c r="E180" i="3"/>
  <c r="D180" i="3"/>
  <c r="C180" i="3"/>
  <c r="B180" i="3"/>
  <c r="A180" i="3"/>
  <c r="G179" i="3"/>
  <c r="F179" i="3"/>
  <c r="E179" i="3"/>
  <c r="D179" i="3"/>
  <c r="C179" i="3"/>
  <c r="B179" i="3"/>
  <c r="A179" i="3"/>
  <c r="G178" i="3"/>
  <c r="F178" i="3"/>
  <c r="E178" i="3"/>
  <c r="D178" i="3"/>
  <c r="C178" i="3"/>
  <c r="B178" i="3"/>
  <c r="A178" i="3"/>
  <c r="G177" i="3"/>
  <c r="F177" i="3"/>
  <c r="E177" i="3"/>
  <c r="D177" i="3"/>
  <c r="C177" i="3"/>
  <c r="B177" i="3"/>
  <c r="A177" i="3"/>
  <c r="G176" i="3"/>
  <c r="F176" i="3"/>
  <c r="E176" i="3"/>
  <c r="D176" i="3"/>
  <c r="C176" i="3"/>
  <c r="B176" i="3"/>
  <c r="A176" i="3"/>
  <c r="G175" i="3"/>
  <c r="F175" i="3"/>
  <c r="E175" i="3"/>
  <c r="D175" i="3"/>
  <c r="C175" i="3"/>
  <c r="B175" i="3"/>
  <c r="A175" i="3"/>
  <c r="G174" i="3"/>
  <c r="F174" i="3"/>
  <c r="E174" i="3"/>
  <c r="D174" i="3"/>
  <c r="C174" i="3"/>
  <c r="B174" i="3"/>
  <c r="A174" i="3"/>
  <c r="G173" i="3"/>
  <c r="F173" i="3"/>
  <c r="E173" i="3"/>
  <c r="D173" i="3"/>
  <c r="C173" i="3"/>
  <c r="B173" i="3"/>
  <c r="A173" i="3"/>
  <c r="G172" i="3"/>
  <c r="F172" i="3"/>
  <c r="E172" i="3"/>
  <c r="D172" i="3"/>
  <c r="C172" i="3"/>
  <c r="B172" i="3"/>
  <c r="A172" i="3"/>
  <c r="G171" i="3"/>
  <c r="F171" i="3"/>
  <c r="E171" i="3"/>
  <c r="D171" i="3"/>
  <c r="C171" i="3"/>
  <c r="B171" i="3"/>
  <c r="A171" i="3"/>
  <c r="G170" i="3"/>
  <c r="F170" i="3"/>
  <c r="E170" i="3"/>
  <c r="D170" i="3"/>
  <c r="C170" i="3"/>
  <c r="B170" i="3"/>
  <c r="A170" i="3"/>
  <c r="G169" i="3"/>
  <c r="F169" i="3"/>
  <c r="E169" i="3"/>
  <c r="D169" i="3"/>
  <c r="C169" i="3"/>
  <c r="B169" i="3"/>
  <c r="A169" i="3"/>
  <c r="G168" i="3"/>
  <c r="F168" i="3"/>
  <c r="E168" i="3"/>
  <c r="D168" i="3"/>
  <c r="C168" i="3"/>
  <c r="B168" i="3"/>
  <c r="A168" i="3"/>
  <c r="G167" i="3"/>
  <c r="F167" i="3"/>
  <c r="E167" i="3"/>
  <c r="D167" i="3"/>
  <c r="C167" i="3"/>
  <c r="B167" i="3"/>
  <c r="A167" i="3"/>
  <c r="G166" i="3"/>
  <c r="F166" i="3"/>
  <c r="E166" i="3"/>
  <c r="D166" i="3"/>
  <c r="C166" i="3"/>
  <c r="B166" i="3"/>
  <c r="A166" i="3"/>
  <c r="G165" i="3"/>
  <c r="F165" i="3"/>
  <c r="E165" i="3"/>
  <c r="D165" i="3"/>
  <c r="C165" i="3"/>
  <c r="B165" i="3"/>
  <c r="A165" i="3"/>
  <c r="G164" i="3"/>
  <c r="F164" i="3"/>
  <c r="E164" i="3"/>
  <c r="D164" i="3"/>
  <c r="C164" i="3"/>
  <c r="B164" i="3"/>
  <c r="A164" i="3"/>
  <c r="G163" i="3"/>
  <c r="F163" i="3"/>
  <c r="E163" i="3"/>
  <c r="D163" i="3"/>
  <c r="C163" i="3"/>
  <c r="B163" i="3"/>
  <c r="A163" i="3"/>
  <c r="G162" i="3"/>
  <c r="F162" i="3"/>
  <c r="E162" i="3"/>
  <c r="D162" i="3"/>
  <c r="C162" i="3"/>
  <c r="B162" i="3"/>
  <c r="A162" i="3"/>
  <c r="G161" i="3"/>
  <c r="F161" i="3"/>
  <c r="E161" i="3"/>
  <c r="D161" i="3"/>
  <c r="C161" i="3"/>
  <c r="B161" i="3"/>
  <c r="A161" i="3"/>
  <c r="G160" i="3"/>
  <c r="F160" i="3"/>
  <c r="E160" i="3"/>
  <c r="D160" i="3"/>
  <c r="C160" i="3"/>
  <c r="B160" i="3"/>
  <c r="A160" i="3"/>
  <c r="G159" i="3"/>
  <c r="F159" i="3"/>
  <c r="E159" i="3"/>
  <c r="D159" i="3"/>
  <c r="C159" i="3"/>
  <c r="B159" i="3"/>
  <c r="A159" i="3"/>
  <c r="G158" i="3"/>
  <c r="F158" i="3"/>
  <c r="E158" i="3"/>
  <c r="D158" i="3"/>
  <c r="C158" i="3"/>
  <c r="B158" i="3"/>
  <c r="A158" i="3"/>
  <c r="G157" i="3"/>
  <c r="F157" i="3"/>
  <c r="E157" i="3"/>
  <c r="D157" i="3"/>
  <c r="C157" i="3"/>
  <c r="B157" i="3"/>
  <c r="A157" i="3"/>
  <c r="G156" i="3"/>
  <c r="F156" i="3"/>
  <c r="E156" i="3"/>
  <c r="D156" i="3"/>
  <c r="C156" i="3"/>
  <c r="B156" i="3"/>
  <c r="A156" i="3"/>
  <c r="G155" i="3"/>
  <c r="F155" i="3"/>
  <c r="E155" i="3"/>
  <c r="D155" i="3"/>
  <c r="C155" i="3"/>
  <c r="B155" i="3"/>
  <c r="A155" i="3"/>
  <c r="G154" i="3"/>
  <c r="F154" i="3"/>
  <c r="E154" i="3"/>
  <c r="D154" i="3"/>
  <c r="C154" i="3"/>
  <c r="B154" i="3"/>
  <c r="A154" i="3"/>
  <c r="G153" i="3"/>
  <c r="F153" i="3"/>
  <c r="E153" i="3"/>
  <c r="D153" i="3"/>
  <c r="C153" i="3"/>
  <c r="B153" i="3"/>
  <c r="A153" i="3"/>
  <c r="G152" i="3"/>
  <c r="F152" i="3"/>
  <c r="E152" i="3"/>
  <c r="D152" i="3"/>
  <c r="C152" i="3"/>
  <c r="B152" i="3"/>
  <c r="A152" i="3"/>
  <c r="G151" i="3"/>
  <c r="F151" i="3"/>
  <c r="E151" i="3"/>
  <c r="D151" i="3"/>
  <c r="C151" i="3"/>
  <c r="B151" i="3"/>
  <c r="A151" i="3"/>
  <c r="G150" i="3"/>
  <c r="F150" i="3"/>
  <c r="E150" i="3"/>
  <c r="D150" i="3"/>
  <c r="C150" i="3"/>
  <c r="B150" i="3"/>
  <c r="A150" i="3"/>
  <c r="G149" i="3"/>
  <c r="F149" i="3"/>
  <c r="E149" i="3"/>
  <c r="D149" i="3"/>
  <c r="C149" i="3"/>
  <c r="B149" i="3"/>
  <c r="A149" i="3"/>
  <c r="G148" i="3"/>
  <c r="F148" i="3"/>
  <c r="E148" i="3"/>
  <c r="D148" i="3"/>
  <c r="C148" i="3"/>
  <c r="B148" i="3"/>
  <c r="A148" i="3"/>
  <c r="G147" i="3"/>
  <c r="F147" i="3"/>
  <c r="E147" i="3"/>
  <c r="D147" i="3"/>
  <c r="C147" i="3"/>
  <c r="B147" i="3"/>
  <c r="A147" i="3"/>
  <c r="G146" i="3"/>
  <c r="F146" i="3"/>
  <c r="E146" i="3"/>
  <c r="D146" i="3"/>
  <c r="C146" i="3"/>
  <c r="B146" i="3"/>
  <c r="A146" i="3"/>
  <c r="G145" i="3"/>
  <c r="F145" i="3"/>
  <c r="E145" i="3"/>
  <c r="D145" i="3"/>
  <c r="C145" i="3"/>
  <c r="B145" i="3"/>
  <c r="A145" i="3"/>
  <c r="G144" i="3"/>
  <c r="F144" i="3"/>
  <c r="E144" i="3"/>
  <c r="D144" i="3"/>
  <c r="C144" i="3"/>
  <c r="B144" i="3"/>
  <c r="A144" i="3"/>
  <c r="G143" i="3"/>
  <c r="F143" i="3"/>
  <c r="E143" i="3"/>
  <c r="D143" i="3"/>
  <c r="C143" i="3"/>
  <c r="B143" i="3"/>
  <c r="A143" i="3"/>
  <c r="G142" i="3"/>
  <c r="F142" i="3"/>
  <c r="E142" i="3"/>
  <c r="D142" i="3"/>
  <c r="C142" i="3"/>
  <c r="B142" i="3"/>
  <c r="A142" i="3"/>
  <c r="G141" i="3"/>
  <c r="F141" i="3"/>
  <c r="E141" i="3"/>
  <c r="D141" i="3"/>
  <c r="C141" i="3"/>
  <c r="B141" i="3"/>
  <c r="A141" i="3"/>
  <c r="G140" i="3"/>
  <c r="F140" i="3"/>
  <c r="E140" i="3"/>
  <c r="D140" i="3"/>
  <c r="C140" i="3"/>
  <c r="B140" i="3"/>
  <c r="A140" i="3"/>
  <c r="G139" i="3"/>
  <c r="F139" i="3"/>
  <c r="E139" i="3"/>
  <c r="D139" i="3"/>
  <c r="C139" i="3"/>
  <c r="B139" i="3"/>
  <c r="A139" i="3"/>
  <c r="G138" i="3"/>
  <c r="F138" i="3"/>
  <c r="E138" i="3"/>
  <c r="D138" i="3"/>
  <c r="C138" i="3"/>
  <c r="B138" i="3"/>
  <c r="A138" i="3"/>
  <c r="G137" i="3"/>
  <c r="F137" i="3"/>
  <c r="E137" i="3"/>
  <c r="D137" i="3"/>
  <c r="C137" i="3"/>
  <c r="B137" i="3"/>
  <c r="A137" i="3"/>
  <c r="G136" i="3"/>
  <c r="F136" i="3"/>
  <c r="E136" i="3"/>
  <c r="D136" i="3"/>
  <c r="C136" i="3"/>
  <c r="B136" i="3"/>
  <c r="A136" i="3"/>
  <c r="G135" i="3"/>
  <c r="F135" i="3"/>
  <c r="E135" i="3"/>
  <c r="D135" i="3"/>
  <c r="C135" i="3"/>
  <c r="B135" i="3"/>
  <c r="A135" i="3"/>
  <c r="G134" i="3"/>
  <c r="F134" i="3"/>
  <c r="E134" i="3"/>
  <c r="D134" i="3"/>
  <c r="C134" i="3"/>
  <c r="B134" i="3"/>
  <c r="A134" i="3"/>
  <c r="G133" i="3"/>
  <c r="F133" i="3"/>
  <c r="E133" i="3"/>
  <c r="D133" i="3"/>
  <c r="C133" i="3"/>
  <c r="B133" i="3"/>
  <c r="A133" i="3"/>
  <c r="G132" i="3"/>
  <c r="F132" i="3"/>
  <c r="E132" i="3"/>
  <c r="D132" i="3"/>
  <c r="C132" i="3"/>
  <c r="B132" i="3"/>
  <c r="A132" i="3"/>
  <c r="G131" i="3"/>
  <c r="F131" i="3"/>
  <c r="E131" i="3"/>
  <c r="D131" i="3"/>
  <c r="C131" i="3"/>
  <c r="B131" i="3"/>
  <c r="A131" i="3"/>
  <c r="G130" i="3"/>
  <c r="F130" i="3"/>
  <c r="E130" i="3"/>
  <c r="D130" i="3"/>
  <c r="C130" i="3"/>
  <c r="B130" i="3"/>
  <c r="A130" i="3"/>
  <c r="G129" i="3"/>
  <c r="F129" i="3"/>
  <c r="E129" i="3"/>
  <c r="D129" i="3"/>
  <c r="C129" i="3"/>
  <c r="B129" i="3"/>
  <c r="A129" i="3"/>
  <c r="G128" i="3"/>
  <c r="F128" i="3"/>
  <c r="E128" i="3"/>
  <c r="D128" i="3"/>
  <c r="C128" i="3"/>
  <c r="B128" i="3"/>
  <c r="A128" i="3"/>
  <c r="G127" i="3"/>
  <c r="F127" i="3"/>
  <c r="E127" i="3"/>
  <c r="D127" i="3"/>
  <c r="C127" i="3"/>
  <c r="B127" i="3"/>
  <c r="A127" i="3"/>
  <c r="G126" i="3"/>
  <c r="F126" i="3"/>
  <c r="E126" i="3"/>
  <c r="D126" i="3"/>
  <c r="C126" i="3"/>
  <c r="B126" i="3"/>
  <c r="A126" i="3"/>
  <c r="G125" i="3"/>
  <c r="F125" i="3"/>
  <c r="E125" i="3"/>
  <c r="D125" i="3"/>
  <c r="C125" i="3"/>
  <c r="B125" i="3"/>
  <c r="A125" i="3"/>
  <c r="G124" i="3"/>
  <c r="F124" i="3"/>
  <c r="E124" i="3"/>
  <c r="D124" i="3"/>
  <c r="C124" i="3"/>
  <c r="B124" i="3"/>
  <c r="A124" i="3"/>
  <c r="G123" i="3"/>
  <c r="F123" i="3"/>
  <c r="E123" i="3"/>
  <c r="D123" i="3"/>
  <c r="C123" i="3"/>
  <c r="B123" i="3"/>
  <c r="A123" i="3"/>
  <c r="G122" i="3"/>
  <c r="F122" i="3"/>
  <c r="E122" i="3"/>
  <c r="D122" i="3"/>
  <c r="C122" i="3"/>
  <c r="B122" i="3"/>
  <c r="A122" i="3"/>
  <c r="G121" i="3"/>
  <c r="F121" i="3"/>
  <c r="E121" i="3"/>
  <c r="D121" i="3"/>
  <c r="C121" i="3"/>
  <c r="B121" i="3"/>
  <c r="A121" i="3"/>
  <c r="G120" i="3"/>
  <c r="F120" i="3"/>
  <c r="E120" i="3"/>
  <c r="D120" i="3"/>
  <c r="C120" i="3"/>
  <c r="B120" i="3"/>
  <c r="A120" i="3"/>
  <c r="G119" i="3"/>
  <c r="F119" i="3"/>
  <c r="E119" i="3"/>
  <c r="D119" i="3"/>
  <c r="C119" i="3"/>
  <c r="B119" i="3"/>
  <c r="A119" i="3"/>
  <c r="G118" i="3"/>
  <c r="F118" i="3"/>
  <c r="E118" i="3"/>
  <c r="D118" i="3"/>
  <c r="C118" i="3"/>
  <c r="B118" i="3"/>
  <c r="A118" i="3"/>
  <c r="G117" i="3"/>
  <c r="F117" i="3"/>
  <c r="E117" i="3"/>
  <c r="D117" i="3"/>
  <c r="C117" i="3"/>
  <c r="B117" i="3"/>
  <c r="A117" i="3"/>
  <c r="G116" i="3"/>
  <c r="F116" i="3"/>
  <c r="E116" i="3"/>
  <c r="D116" i="3"/>
  <c r="C116" i="3"/>
  <c r="B116" i="3"/>
  <c r="A116" i="3"/>
  <c r="G115" i="3"/>
  <c r="F115" i="3"/>
  <c r="E115" i="3"/>
  <c r="D115" i="3"/>
  <c r="C115" i="3"/>
  <c r="B115" i="3"/>
  <c r="A115" i="3"/>
  <c r="G114" i="3"/>
  <c r="F114" i="3"/>
  <c r="E114" i="3"/>
  <c r="D114" i="3"/>
  <c r="C114" i="3"/>
  <c r="B114" i="3"/>
  <c r="A114" i="3"/>
  <c r="G113" i="3"/>
  <c r="F113" i="3"/>
  <c r="E113" i="3"/>
  <c r="D113" i="3"/>
  <c r="C113" i="3"/>
  <c r="B113" i="3"/>
  <c r="A113" i="3"/>
  <c r="G112" i="3"/>
  <c r="F112" i="3"/>
  <c r="E112" i="3"/>
  <c r="D112" i="3"/>
  <c r="C112" i="3"/>
  <c r="B112" i="3"/>
  <c r="A112" i="3"/>
  <c r="G111" i="3"/>
  <c r="F111" i="3"/>
  <c r="E111" i="3"/>
  <c r="D111" i="3"/>
  <c r="C111" i="3"/>
  <c r="B111" i="3"/>
  <c r="A111" i="3"/>
  <c r="G110" i="3"/>
  <c r="F110" i="3"/>
  <c r="E110" i="3"/>
  <c r="D110" i="3"/>
  <c r="C110" i="3"/>
  <c r="B110" i="3"/>
  <c r="A110" i="3"/>
  <c r="G109" i="3"/>
  <c r="F109" i="3"/>
  <c r="E109" i="3"/>
  <c r="D109" i="3"/>
  <c r="C109" i="3"/>
  <c r="B109" i="3"/>
  <c r="A109" i="3"/>
  <c r="G108" i="3"/>
  <c r="F108" i="3"/>
  <c r="E108" i="3"/>
  <c r="D108" i="3"/>
  <c r="C108" i="3"/>
  <c r="B108" i="3"/>
  <c r="A108" i="3"/>
  <c r="G107" i="3"/>
  <c r="F107" i="3"/>
  <c r="E107" i="3"/>
  <c r="D107" i="3"/>
  <c r="C107" i="3"/>
  <c r="B107" i="3"/>
  <c r="A107" i="3"/>
  <c r="G106" i="3"/>
  <c r="F106" i="3"/>
  <c r="E106" i="3"/>
  <c r="D106" i="3"/>
  <c r="C106" i="3"/>
  <c r="B106" i="3"/>
  <c r="A106" i="3"/>
  <c r="G105" i="3"/>
  <c r="F105" i="3"/>
  <c r="E105" i="3"/>
  <c r="D105" i="3"/>
  <c r="C105" i="3"/>
  <c r="B105" i="3"/>
  <c r="A105" i="3"/>
  <c r="G104" i="3"/>
  <c r="F104" i="3"/>
  <c r="E104" i="3"/>
  <c r="D104" i="3"/>
  <c r="C104" i="3"/>
  <c r="B104" i="3"/>
  <c r="A104" i="3"/>
  <c r="G103" i="3"/>
  <c r="F103" i="3"/>
  <c r="E103" i="3"/>
  <c r="D103" i="3"/>
  <c r="C103" i="3"/>
  <c r="B103" i="3"/>
  <c r="A103" i="3"/>
  <c r="G102" i="3"/>
  <c r="F102" i="3"/>
  <c r="E102" i="3"/>
  <c r="D102" i="3"/>
  <c r="C102" i="3"/>
  <c r="B102" i="3"/>
  <c r="A102" i="3"/>
  <c r="G101" i="3"/>
  <c r="F101" i="3"/>
  <c r="E101" i="3"/>
  <c r="D101" i="3"/>
  <c r="C101" i="3"/>
  <c r="B101" i="3"/>
  <c r="A101" i="3"/>
  <c r="G100" i="3"/>
  <c r="F100" i="3"/>
  <c r="E100" i="3"/>
  <c r="D100" i="3"/>
  <c r="C100" i="3"/>
  <c r="B100" i="3"/>
  <c r="A100" i="3"/>
  <c r="G99" i="3"/>
  <c r="F99" i="3"/>
  <c r="E99" i="3"/>
  <c r="D99" i="3"/>
  <c r="C99" i="3"/>
  <c r="B99" i="3"/>
  <c r="A99" i="3"/>
  <c r="G98" i="3"/>
  <c r="F98" i="3"/>
  <c r="E98" i="3"/>
  <c r="D98" i="3"/>
  <c r="C98" i="3"/>
  <c r="B98" i="3"/>
  <c r="A98" i="3"/>
  <c r="G97" i="3"/>
  <c r="F97" i="3"/>
  <c r="E97" i="3"/>
  <c r="D97" i="3"/>
  <c r="C97" i="3"/>
  <c r="B97" i="3"/>
  <c r="A97" i="3"/>
  <c r="G96" i="3"/>
  <c r="F96" i="3"/>
  <c r="E96" i="3"/>
  <c r="D96" i="3"/>
  <c r="C96" i="3"/>
  <c r="B96" i="3"/>
  <c r="A96" i="3"/>
  <c r="G95" i="3"/>
  <c r="F95" i="3"/>
  <c r="E95" i="3"/>
  <c r="D95" i="3"/>
  <c r="C95" i="3"/>
  <c r="B95" i="3"/>
  <c r="A95" i="3"/>
  <c r="G94" i="3"/>
  <c r="F94" i="3"/>
  <c r="E94" i="3"/>
  <c r="D94" i="3"/>
  <c r="C94" i="3"/>
  <c r="B94" i="3"/>
  <c r="A94" i="3"/>
  <c r="G93" i="3"/>
  <c r="F93" i="3"/>
  <c r="E93" i="3"/>
  <c r="D93" i="3"/>
  <c r="C93" i="3"/>
  <c r="B93" i="3"/>
  <c r="A93" i="3"/>
  <c r="G92" i="3"/>
  <c r="F92" i="3"/>
  <c r="E92" i="3"/>
  <c r="D92" i="3"/>
  <c r="C92" i="3"/>
  <c r="B92" i="3"/>
  <c r="A92" i="3"/>
  <c r="G91" i="3"/>
  <c r="F91" i="3"/>
  <c r="E91" i="3"/>
  <c r="D91" i="3"/>
  <c r="C91" i="3"/>
  <c r="B91" i="3"/>
  <c r="A91" i="3"/>
  <c r="G90" i="3"/>
  <c r="F90" i="3"/>
  <c r="E90" i="3"/>
  <c r="D90" i="3"/>
  <c r="C90" i="3"/>
  <c r="B90" i="3"/>
  <c r="A90" i="3"/>
  <c r="G89" i="3"/>
  <c r="F89" i="3"/>
  <c r="E89" i="3"/>
  <c r="D89" i="3"/>
  <c r="C89" i="3"/>
  <c r="B89" i="3"/>
  <c r="A89" i="3"/>
  <c r="G88" i="3"/>
  <c r="F88" i="3"/>
  <c r="E88" i="3"/>
  <c r="D88" i="3"/>
  <c r="C88" i="3"/>
  <c r="B88" i="3"/>
  <c r="A88" i="3"/>
  <c r="G87" i="3"/>
  <c r="F87" i="3"/>
  <c r="E87" i="3"/>
  <c r="D87" i="3"/>
  <c r="C87" i="3"/>
  <c r="B87" i="3"/>
  <c r="A87" i="3"/>
  <c r="G86" i="3"/>
  <c r="F86" i="3"/>
  <c r="E86" i="3"/>
  <c r="D86" i="3"/>
  <c r="C86" i="3"/>
  <c r="B86" i="3"/>
  <c r="A86" i="3"/>
  <c r="G85" i="3"/>
  <c r="F85" i="3"/>
  <c r="E85" i="3"/>
  <c r="D85" i="3"/>
  <c r="C85" i="3"/>
  <c r="B85" i="3"/>
  <c r="A85" i="3"/>
  <c r="G84" i="3"/>
  <c r="F84" i="3"/>
  <c r="E84" i="3"/>
  <c r="D84" i="3"/>
  <c r="C84" i="3"/>
  <c r="B84" i="3"/>
  <c r="A84" i="3"/>
  <c r="G83" i="3"/>
  <c r="F83" i="3"/>
  <c r="E83" i="3"/>
  <c r="D83" i="3"/>
  <c r="C83" i="3"/>
  <c r="B83" i="3"/>
  <c r="A83" i="3"/>
  <c r="G82" i="3"/>
  <c r="F82" i="3"/>
  <c r="E82" i="3"/>
  <c r="D82" i="3"/>
  <c r="C82" i="3"/>
  <c r="B82" i="3"/>
  <c r="A82" i="3"/>
  <c r="G81" i="3"/>
  <c r="F81" i="3"/>
  <c r="E81" i="3"/>
  <c r="D81" i="3"/>
  <c r="C81" i="3"/>
  <c r="B81" i="3"/>
  <c r="A81" i="3"/>
  <c r="G80" i="3"/>
  <c r="F80" i="3"/>
  <c r="E80" i="3"/>
  <c r="D80" i="3"/>
  <c r="C80" i="3"/>
  <c r="B80" i="3"/>
  <c r="A80" i="3"/>
  <c r="G79" i="3"/>
  <c r="F79" i="3"/>
  <c r="E79" i="3"/>
  <c r="D79" i="3"/>
  <c r="C79" i="3"/>
  <c r="B79" i="3"/>
  <c r="A79" i="3"/>
  <c r="G78" i="3"/>
  <c r="F78" i="3"/>
  <c r="E78" i="3"/>
  <c r="D78" i="3"/>
  <c r="C78" i="3"/>
  <c r="B78" i="3"/>
  <c r="A78" i="3"/>
  <c r="G77" i="3"/>
  <c r="F77" i="3"/>
  <c r="E77" i="3"/>
  <c r="D77" i="3"/>
  <c r="C77" i="3"/>
  <c r="B77" i="3"/>
  <c r="A77" i="3"/>
  <c r="G76" i="3"/>
  <c r="F76" i="3"/>
  <c r="E76" i="3"/>
  <c r="D76" i="3"/>
  <c r="C76" i="3"/>
  <c r="B76" i="3"/>
  <c r="A76" i="3"/>
  <c r="G75" i="3"/>
  <c r="F75" i="3"/>
  <c r="E75" i="3"/>
  <c r="D75" i="3"/>
  <c r="C75" i="3"/>
  <c r="B75" i="3"/>
  <c r="A75" i="3"/>
  <c r="G74" i="3"/>
  <c r="F74" i="3"/>
  <c r="E74" i="3"/>
  <c r="D74" i="3"/>
  <c r="C74" i="3"/>
  <c r="B74" i="3"/>
  <c r="A74" i="3"/>
  <c r="G73" i="3"/>
  <c r="F73" i="3"/>
  <c r="E73" i="3"/>
  <c r="D73" i="3"/>
  <c r="C73" i="3"/>
  <c r="B73" i="3"/>
  <c r="A73" i="3"/>
  <c r="G72" i="3"/>
  <c r="F72" i="3"/>
  <c r="E72" i="3"/>
  <c r="D72" i="3"/>
  <c r="C72" i="3"/>
  <c r="B72" i="3"/>
  <c r="A72" i="3"/>
  <c r="G71" i="3"/>
  <c r="F71" i="3"/>
  <c r="E71" i="3"/>
  <c r="D71" i="3"/>
  <c r="C71" i="3"/>
  <c r="B71" i="3"/>
  <c r="A71" i="3"/>
  <c r="G70" i="3"/>
  <c r="F70" i="3"/>
  <c r="E70" i="3"/>
  <c r="D70" i="3"/>
  <c r="C70" i="3"/>
  <c r="B70" i="3"/>
  <c r="A70" i="3"/>
  <c r="G69" i="3"/>
  <c r="F69" i="3"/>
  <c r="E69" i="3"/>
  <c r="D69" i="3"/>
  <c r="C69" i="3"/>
  <c r="B69" i="3"/>
  <c r="A69" i="3"/>
  <c r="G68" i="3"/>
  <c r="F68" i="3"/>
  <c r="E68" i="3"/>
  <c r="D68" i="3"/>
  <c r="C68" i="3"/>
  <c r="B68" i="3"/>
  <c r="A68" i="3"/>
  <c r="G67" i="3"/>
  <c r="F67" i="3"/>
  <c r="E67" i="3"/>
  <c r="D67" i="3"/>
  <c r="C67" i="3"/>
  <c r="B67" i="3"/>
  <c r="A67" i="3"/>
  <c r="G66" i="3"/>
  <c r="F66" i="3"/>
  <c r="E66" i="3"/>
  <c r="D66" i="3"/>
  <c r="C66" i="3"/>
  <c r="B66" i="3"/>
  <c r="A66" i="3"/>
  <c r="G65" i="3"/>
  <c r="F65" i="3"/>
  <c r="E65" i="3"/>
  <c r="D65" i="3"/>
  <c r="C65" i="3"/>
  <c r="B65" i="3"/>
  <c r="A65" i="3"/>
  <c r="G64" i="3"/>
  <c r="F64" i="3"/>
  <c r="E64" i="3"/>
  <c r="D64" i="3"/>
  <c r="C64" i="3"/>
  <c r="B64" i="3"/>
  <c r="A64" i="3"/>
  <c r="G63" i="3"/>
  <c r="F63" i="3"/>
  <c r="E63" i="3"/>
  <c r="D63" i="3"/>
  <c r="C63" i="3"/>
  <c r="B63" i="3"/>
  <c r="A63" i="3"/>
  <c r="G62" i="3"/>
  <c r="F62" i="3"/>
  <c r="E62" i="3"/>
  <c r="D62" i="3"/>
  <c r="C62" i="3"/>
  <c r="B62" i="3"/>
  <c r="A62" i="3"/>
  <c r="G61" i="3"/>
  <c r="F61" i="3"/>
  <c r="E61" i="3"/>
  <c r="D61" i="3"/>
  <c r="C61" i="3"/>
  <c r="B61" i="3"/>
  <c r="A61" i="3"/>
  <c r="G60" i="3"/>
  <c r="F60" i="3"/>
  <c r="E60" i="3"/>
  <c r="D60" i="3"/>
  <c r="C60" i="3"/>
  <c r="B60" i="3"/>
  <c r="A60" i="3"/>
  <c r="G59" i="3"/>
  <c r="F59" i="3"/>
  <c r="E59" i="3"/>
  <c r="D59" i="3"/>
  <c r="C59" i="3"/>
  <c r="B59" i="3"/>
  <c r="A59" i="3"/>
  <c r="G58" i="3"/>
  <c r="F58" i="3"/>
  <c r="E58" i="3"/>
  <c r="D58" i="3"/>
  <c r="C58" i="3"/>
  <c r="B58" i="3"/>
  <c r="A58" i="3"/>
  <c r="G57" i="3"/>
  <c r="F57" i="3"/>
  <c r="E57" i="3"/>
  <c r="D57" i="3"/>
  <c r="C57" i="3"/>
  <c r="B57" i="3"/>
  <c r="A57" i="3"/>
  <c r="G56" i="3"/>
  <c r="F56" i="3"/>
  <c r="E56" i="3"/>
  <c r="D56" i="3"/>
  <c r="C56" i="3"/>
  <c r="B56" i="3"/>
  <c r="A56" i="3"/>
  <c r="G55" i="3"/>
  <c r="F55" i="3"/>
  <c r="E55" i="3"/>
  <c r="D55" i="3"/>
  <c r="C55" i="3"/>
  <c r="B55" i="3"/>
  <c r="A55" i="3"/>
  <c r="G54" i="3"/>
  <c r="F54" i="3"/>
  <c r="E54" i="3"/>
  <c r="D54" i="3"/>
  <c r="C54" i="3"/>
  <c r="B54" i="3"/>
  <c r="A54" i="3"/>
  <c r="G53" i="3"/>
  <c r="F53" i="3"/>
  <c r="E53" i="3"/>
  <c r="D53" i="3"/>
  <c r="C53" i="3"/>
  <c r="B53" i="3"/>
  <c r="A53" i="3"/>
  <c r="G52" i="3"/>
  <c r="F52" i="3"/>
  <c r="E52" i="3"/>
  <c r="D52" i="3"/>
  <c r="C52" i="3"/>
  <c r="B52" i="3"/>
  <c r="A52" i="3"/>
  <c r="G51" i="3"/>
  <c r="F51" i="3"/>
  <c r="E51" i="3"/>
  <c r="D51" i="3"/>
  <c r="C51" i="3"/>
  <c r="B51" i="3"/>
  <c r="A51" i="3"/>
  <c r="G50" i="3"/>
  <c r="F50" i="3"/>
  <c r="E50" i="3"/>
  <c r="D50" i="3"/>
  <c r="C50" i="3"/>
  <c r="B50" i="3"/>
  <c r="A50" i="3"/>
  <c r="G49" i="3"/>
  <c r="F49" i="3"/>
  <c r="E49" i="3"/>
  <c r="D49" i="3"/>
  <c r="C49" i="3"/>
  <c r="B49" i="3"/>
  <c r="A49" i="3"/>
  <c r="G48" i="3"/>
  <c r="F48" i="3"/>
  <c r="E48" i="3"/>
  <c r="D48" i="3"/>
  <c r="C48" i="3"/>
  <c r="B48" i="3"/>
  <c r="A48" i="3"/>
  <c r="G47" i="3"/>
  <c r="F47" i="3"/>
  <c r="E47" i="3"/>
  <c r="D47" i="3"/>
  <c r="C47" i="3"/>
  <c r="B47" i="3"/>
  <c r="A47" i="3"/>
  <c r="G46" i="3"/>
  <c r="F46" i="3"/>
  <c r="E46" i="3"/>
  <c r="D46" i="3"/>
  <c r="C46" i="3"/>
  <c r="B46" i="3"/>
  <c r="A46" i="3"/>
  <c r="G45" i="3"/>
  <c r="F45" i="3"/>
  <c r="E45" i="3"/>
  <c r="D45" i="3"/>
  <c r="C45" i="3"/>
  <c r="B45" i="3"/>
  <c r="A45" i="3"/>
  <c r="G44" i="3"/>
  <c r="F44" i="3"/>
  <c r="E44" i="3"/>
  <c r="D44" i="3"/>
  <c r="C44" i="3"/>
  <c r="B44" i="3"/>
  <c r="A44" i="3"/>
  <c r="G43" i="3"/>
  <c r="F43" i="3"/>
  <c r="E43" i="3"/>
  <c r="D43" i="3"/>
  <c r="C43" i="3"/>
  <c r="B43" i="3"/>
  <c r="A43" i="3"/>
  <c r="G42" i="3"/>
  <c r="F42" i="3"/>
  <c r="E42" i="3"/>
  <c r="D42" i="3"/>
  <c r="C42" i="3"/>
  <c r="B42" i="3"/>
  <c r="A42" i="3"/>
  <c r="G41" i="3"/>
  <c r="F41" i="3"/>
  <c r="E41" i="3"/>
  <c r="D41" i="3"/>
  <c r="C41" i="3"/>
  <c r="B41" i="3"/>
  <c r="A41" i="3"/>
  <c r="G40" i="3"/>
  <c r="F40" i="3"/>
  <c r="E40" i="3"/>
  <c r="D40" i="3"/>
  <c r="C40" i="3"/>
  <c r="B40" i="3"/>
  <c r="A40" i="3"/>
  <c r="G39" i="3"/>
  <c r="F39" i="3"/>
  <c r="E39" i="3"/>
  <c r="D39" i="3"/>
  <c r="C39" i="3"/>
  <c r="B39" i="3"/>
  <c r="A39" i="3"/>
  <c r="G38" i="3"/>
  <c r="F38" i="3"/>
  <c r="E38" i="3"/>
  <c r="D38" i="3"/>
  <c r="C38" i="3"/>
  <c r="B38" i="3"/>
  <c r="A38" i="3"/>
  <c r="G37" i="3"/>
  <c r="F37" i="3"/>
  <c r="E37" i="3"/>
  <c r="D37" i="3"/>
  <c r="C37" i="3"/>
  <c r="B37" i="3"/>
  <c r="A37" i="3"/>
  <c r="G36" i="3"/>
  <c r="F36" i="3"/>
  <c r="E36" i="3"/>
  <c r="D36" i="3"/>
  <c r="C36" i="3"/>
  <c r="B36" i="3"/>
  <c r="A36" i="3"/>
  <c r="G35" i="3"/>
  <c r="F35" i="3"/>
  <c r="E35" i="3"/>
  <c r="D35" i="3"/>
  <c r="C35" i="3"/>
  <c r="B35" i="3"/>
  <c r="A35" i="3"/>
  <c r="G34" i="3"/>
  <c r="F34" i="3"/>
  <c r="E34" i="3"/>
  <c r="D34" i="3"/>
  <c r="C34" i="3"/>
  <c r="B34" i="3"/>
  <c r="A34" i="3"/>
  <c r="G33" i="3"/>
  <c r="F33" i="3"/>
  <c r="E33" i="3"/>
  <c r="D33" i="3"/>
  <c r="C33" i="3"/>
  <c r="B33" i="3"/>
  <c r="A33" i="3"/>
  <c r="G32" i="3"/>
  <c r="F32" i="3"/>
  <c r="E32" i="3"/>
  <c r="D32" i="3"/>
  <c r="C32" i="3"/>
  <c r="B32" i="3"/>
  <c r="A32" i="3"/>
  <c r="G31" i="3"/>
  <c r="F31" i="3"/>
  <c r="E31" i="3"/>
  <c r="D31" i="3"/>
  <c r="C31" i="3"/>
  <c r="B31" i="3"/>
  <c r="A31" i="3"/>
  <c r="G30" i="3"/>
  <c r="F30" i="3"/>
  <c r="E30" i="3"/>
  <c r="D30" i="3"/>
  <c r="C30" i="3"/>
  <c r="B30" i="3"/>
  <c r="A30" i="3"/>
  <c r="G29" i="3"/>
  <c r="F29" i="3"/>
  <c r="E29" i="3"/>
  <c r="D29" i="3"/>
  <c r="C29" i="3"/>
  <c r="B29" i="3"/>
  <c r="A29" i="3"/>
  <c r="G28" i="3"/>
  <c r="F28" i="3"/>
  <c r="E28" i="3"/>
  <c r="D28" i="3"/>
  <c r="C28" i="3"/>
  <c r="B28" i="3"/>
  <c r="A28" i="3"/>
  <c r="G27" i="3"/>
  <c r="F27" i="3"/>
  <c r="E27" i="3"/>
  <c r="D27" i="3"/>
  <c r="C27" i="3"/>
  <c r="B27" i="3"/>
  <c r="A27" i="3"/>
  <c r="G26" i="3"/>
  <c r="F26" i="3"/>
  <c r="E26" i="3"/>
  <c r="D26" i="3"/>
  <c r="C26" i="3"/>
  <c r="B26" i="3"/>
  <c r="A26" i="3"/>
  <c r="G25" i="3"/>
  <c r="F25" i="3"/>
  <c r="E25" i="3"/>
  <c r="D25" i="3"/>
  <c r="C25" i="3"/>
  <c r="B25" i="3"/>
  <c r="A25" i="3"/>
  <c r="G24" i="3"/>
  <c r="F24" i="3"/>
  <c r="E24" i="3"/>
  <c r="D24" i="3"/>
  <c r="C24" i="3"/>
  <c r="B24" i="3"/>
  <c r="A24" i="3"/>
  <c r="G23" i="3"/>
  <c r="F23" i="3"/>
  <c r="E23" i="3"/>
  <c r="D23" i="3"/>
  <c r="C23" i="3"/>
  <c r="B23" i="3"/>
  <c r="A23" i="3"/>
  <c r="G22" i="3"/>
  <c r="F22" i="3"/>
  <c r="E22" i="3"/>
  <c r="D22" i="3"/>
  <c r="C22" i="3"/>
  <c r="B22" i="3"/>
  <c r="A22" i="3"/>
  <c r="G21" i="3"/>
  <c r="F21" i="3"/>
  <c r="E21" i="3"/>
  <c r="D21" i="3"/>
  <c r="C21" i="3"/>
  <c r="B21" i="3"/>
  <c r="A21" i="3"/>
  <c r="G20" i="3"/>
  <c r="F20" i="3"/>
  <c r="E20" i="3"/>
  <c r="D20" i="3"/>
  <c r="C20" i="3"/>
  <c r="B20" i="3"/>
  <c r="A20" i="3"/>
  <c r="G19" i="3"/>
  <c r="F19" i="3"/>
  <c r="E19" i="3"/>
  <c r="D19" i="3"/>
  <c r="C19" i="3"/>
  <c r="B19" i="3"/>
  <c r="A19" i="3"/>
  <c r="G18" i="3"/>
  <c r="F18" i="3"/>
  <c r="E18" i="3"/>
  <c r="D18" i="3"/>
  <c r="C18" i="3"/>
  <c r="B18" i="3"/>
  <c r="A18" i="3"/>
  <c r="G17" i="3"/>
  <c r="F17" i="3"/>
  <c r="E17" i="3"/>
  <c r="D17" i="3"/>
  <c r="C17" i="3"/>
  <c r="B17" i="3"/>
  <c r="A17" i="3"/>
  <c r="M10" i="3"/>
  <c r="L10" i="3"/>
  <c r="K10" i="3"/>
  <c r="J10" i="3"/>
  <c r="I10" i="3"/>
  <c r="G10" i="3"/>
  <c r="H10" i="3" s="1"/>
  <c r="F10" i="3"/>
  <c r="D10" i="3"/>
  <c r="N10" i="3" s="1"/>
  <c r="C10" i="3"/>
  <c r="M9" i="3"/>
  <c r="L9" i="3"/>
  <c r="K9" i="3"/>
  <c r="J9" i="3"/>
  <c r="I9" i="3"/>
  <c r="G9" i="3"/>
  <c r="F9" i="3"/>
  <c r="H9" i="3" s="1"/>
  <c r="D9" i="3"/>
  <c r="N9" i="3" s="1"/>
  <c r="C9" i="3"/>
  <c r="M8" i="3"/>
  <c r="L8" i="3"/>
  <c r="K8" i="3"/>
  <c r="J8" i="3"/>
  <c r="I8" i="3"/>
  <c r="G8" i="3"/>
  <c r="F8" i="3"/>
  <c r="H8" i="3" s="1"/>
  <c r="O8" i="3" s="1"/>
  <c r="D8" i="3"/>
  <c r="N8" i="3" s="1"/>
  <c r="C8" i="3"/>
  <c r="N7" i="3"/>
  <c r="M7" i="3"/>
  <c r="L7" i="3"/>
  <c r="K7" i="3"/>
  <c r="J7" i="3"/>
  <c r="I7" i="3"/>
  <c r="G7" i="3"/>
  <c r="F7" i="3"/>
  <c r="H7" i="3" s="1"/>
  <c r="D7" i="3"/>
  <c r="E7" i="3" s="1"/>
  <c r="C7" i="3"/>
  <c r="M6" i="3"/>
  <c r="L6" i="3"/>
  <c r="K6" i="3"/>
  <c r="J6" i="3"/>
  <c r="I6" i="3"/>
  <c r="G6" i="3"/>
  <c r="F6" i="3"/>
  <c r="H6" i="3" s="1"/>
  <c r="D6" i="3"/>
  <c r="N6" i="3" s="1"/>
  <c r="C6" i="3"/>
  <c r="M5" i="3"/>
  <c r="L5" i="3"/>
  <c r="K5" i="3"/>
  <c r="J5" i="3"/>
  <c r="I5" i="3"/>
  <c r="F10" i="2" s="1"/>
  <c r="H5" i="3"/>
  <c r="G5" i="3"/>
  <c r="F5" i="3"/>
  <c r="D5" i="3"/>
  <c r="E5" i="3" s="1"/>
  <c r="F7" i="2" s="1"/>
  <c r="C5" i="3"/>
  <c r="F11" i="2"/>
  <c r="F8" i="2"/>
  <c r="C8" i="2"/>
  <c r="F5" i="2"/>
  <c r="O7" i="3" l="1"/>
  <c r="O9" i="3"/>
  <c r="O10" i="3"/>
  <c r="O5" i="3"/>
  <c r="F13" i="2" s="1"/>
  <c r="O6" i="3"/>
  <c r="B256" i="10"/>
  <c r="C256" i="10" s="1"/>
  <c r="B248" i="10"/>
  <c r="C248" i="10" s="1"/>
  <c r="B240" i="10"/>
  <c r="C240" i="10" s="1"/>
  <c r="B232" i="10"/>
  <c r="B224" i="10"/>
  <c r="B216" i="10"/>
  <c r="B255" i="10"/>
  <c r="B247" i="10"/>
  <c r="B239" i="10"/>
  <c r="C239" i="10" s="1"/>
  <c r="B231" i="10"/>
  <c r="B223" i="10"/>
  <c r="B215" i="10"/>
  <c r="B207" i="10"/>
  <c r="B199" i="10"/>
  <c r="B191" i="10"/>
  <c r="B183" i="10"/>
  <c r="B175" i="10"/>
  <c r="B254" i="10"/>
  <c r="C254" i="10" s="1"/>
  <c r="B246" i="10"/>
  <c r="C246" i="10" s="1"/>
  <c r="B238" i="10"/>
  <c r="B230" i="10"/>
  <c r="B222" i="10"/>
  <c r="B214" i="10"/>
  <c r="B206" i="10"/>
  <c r="B198" i="10"/>
  <c r="B190" i="10"/>
  <c r="B252" i="10"/>
  <c r="C252" i="10" s="1"/>
  <c r="B244" i="10"/>
  <c r="B236" i="10"/>
  <c r="B228" i="10"/>
  <c r="B220" i="10"/>
  <c r="B212" i="10"/>
  <c r="B204" i="10"/>
  <c r="B196" i="10"/>
  <c r="B188" i="10"/>
  <c r="B250" i="10"/>
  <c r="B242" i="10"/>
  <c r="B234" i="10"/>
  <c r="B226" i="10"/>
  <c r="B211" i="10"/>
  <c r="B203" i="10"/>
  <c r="B195" i="10"/>
  <c r="B186" i="10"/>
  <c r="B172" i="10"/>
  <c r="B164" i="10"/>
  <c r="B156" i="10"/>
  <c r="B148" i="10"/>
  <c r="B257" i="10"/>
  <c r="B253" i="10"/>
  <c r="B251" i="10"/>
  <c r="C251" i="10" s="1"/>
  <c r="B249" i="10"/>
  <c r="C249" i="10" s="1"/>
  <c r="B245" i="10"/>
  <c r="C245" i="10" s="1"/>
  <c r="B243" i="10"/>
  <c r="C243" i="10" s="1"/>
  <c r="B241" i="10"/>
  <c r="B237" i="10"/>
  <c r="B235" i="10"/>
  <c r="B233" i="10"/>
  <c r="B229" i="10"/>
  <c r="B227" i="10"/>
  <c r="B225" i="10"/>
  <c r="B187" i="10"/>
  <c r="B171" i="10"/>
  <c r="B163" i="10"/>
  <c r="B155" i="10"/>
  <c r="B147" i="10"/>
  <c r="B139" i="10"/>
  <c r="B218" i="10"/>
  <c r="B208" i="10"/>
  <c r="B200" i="10"/>
  <c r="B192" i="10"/>
  <c r="B170" i="10"/>
  <c r="B162" i="10"/>
  <c r="B154" i="10"/>
  <c r="B221" i="10"/>
  <c r="B169" i="10"/>
  <c r="B161" i="10"/>
  <c r="B153" i="10"/>
  <c r="B145" i="10"/>
  <c r="B137" i="10"/>
  <c r="B213" i="10"/>
  <c r="B209" i="10"/>
  <c r="B205" i="10"/>
  <c r="B201" i="10"/>
  <c r="B197" i="10"/>
  <c r="B193" i="10"/>
  <c r="B189" i="10"/>
  <c r="B168" i="10"/>
  <c r="B160" i="10"/>
  <c r="B219" i="10"/>
  <c r="B167" i="10"/>
  <c r="B159" i="10"/>
  <c r="B217" i="10"/>
  <c r="B185" i="10"/>
  <c r="B184" i="10"/>
  <c r="B182" i="10"/>
  <c r="B181" i="10"/>
  <c r="B180" i="10"/>
  <c r="B179" i="10"/>
  <c r="B178" i="10"/>
  <c r="B177" i="10"/>
  <c r="B176" i="10"/>
  <c r="B174" i="10"/>
  <c r="B173" i="10"/>
  <c r="B165" i="10"/>
  <c r="B157" i="10"/>
  <c r="B149" i="10"/>
  <c r="B166" i="10"/>
  <c r="B158" i="10"/>
  <c r="B141" i="10"/>
  <c r="B133" i="10"/>
  <c r="B125" i="10"/>
  <c r="B117" i="10"/>
  <c r="B109" i="10"/>
  <c r="B101" i="10"/>
  <c r="B93" i="10"/>
  <c r="B85" i="10"/>
  <c r="B77" i="10"/>
  <c r="B151" i="10"/>
  <c r="B142" i="10"/>
  <c r="B132" i="10"/>
  <c r="B124" i="10"/>
  <c r="B116" i="10"/>
  <c r="B108" i="10"/>
  <c r="B100" i="10"/>
  <c r="B92" i="10"/>
  <c r="B84" i="10"/>
  <c r="B76" i="10"/>
  <c r="B194" i="10"/>
  <c r="B143" i="10"/>
  <c r="B131" i="10"/>
  <c r="B123" i="10"/>
  <c r="B115" i="10"/>
  <c r="B107" i="10"/>
  <c r="B99" i="10"/>
  <c r="B91" i="10"/>
  <c r="B83" i="10"/>
  <c r="B75" i="10"/>
  <c r="B144" i="10"/>
  <c r="B130" i="10"/>
  <c r="B122" i="10"/>
  <c r="B114" i="10"/>
  <c r="B106" i="10"/>
  <c r="B202" i="10"/>
  <c r="B129" i="10"/>
  <c r="B121" i="10"/>
  <c r="B113" i="10"/>
  <c r="B105" i="10"/>
  <c r="B97" i="10"/>
  <c r="B89" i="10"/>
  <c r="B81" i="10"/>
  <c r="B152" i="10"/>
  <c r="B146" i="10"/>
  <c r="B138" i="10"/>
  <c r="B136" i="10"/>
  <c r="B128" i="10"/>
  <c r="B120" i="10"/>
  <c r="B112" i="10"/>
  <c r="B104" i="10"/>
  <c r="B96" i="10"/>
  <c r="B88" i="10"/>
  <c r="B80" i="10"/>
  <c r="B140" i="10"/>
  <c r="B134" i="10"/>
  <c r="B126" i="10"/>
  <c r="B118" i="10"/>
  <c r="B110" i="10"/>
  <c r="B102" i="10"/>
  <c r="B94" i="10"/>
  <c r="B86" i="10"/>
  <c r="B78" i="10"/>
  <c r="B210" i="10"/>
  <c r="B69" i="10"/>
  <c r="B61" i="10"/>
  <c r="B53" i="10"/>
  <c r="B45" i="10"/>
  <c r="B37" i="10"/>
  <c r="B29" i="10"/>
  <c r="B21" i="10"/>
  <c r="B13" i="10"/>
  <c r="B5" i="10"/>
  <c r="B68" i="10"/>
  <c r="B60" i="10"/>
  <c r="B52" i="10"/>
  <c r="B44" i="10"/>
  <c r="B36" i="10"/>
  <c r="B28" i="10"/>
  <c r="B20" i="10"/>
  <c r="B12" i="10"/>
  <c r="B4" i="10"/>
  <c r="B67" i="10"/>
  <c r="B59" i="10"/>
  <c r="B51" i="10"/>
  <c r="B43" i="10"/>
  <c r="B35" i="10"/>
  <c r="B27" i="10"/>
  <c r="B19" i="10"/>
  <c r="B11" i="10"/>
  <c r="B3" i="10"/>
  <c r="B66" i="10"/>
  <c r="B58" i="10"/>
  <c r="B50" i="10"/>
  <c r="B42" i="10"/>
  <c r="B34" i="10"/>
  <c r="B73" i="10"/>
  <c r="B65" i="10"/>
  <c r="B57" i="10"/>
  <c r="B49" i="10"/>
  <c r="B41" i="10"/>
  <c r="B33" i="10"/>
  <c r="B25" i="10"/>
  <c r="B17" i="10"/>
  <c r="B9" i="10"/>
  <c r="B98" i="10"/>
  <c r="B90" i="10"/>
  <c r="B82" i="10"/>
  <c r="B74" i="10"/>
  <c r="B72" i="10"/>
  <c r="B64" i="10"/>
  <c r="B56" i="10"/>
  <c r="B48" i="10"/>
  <c r="B40" i="10"/>
  <c r="B32" i="10"/>
  <c r="B24" i="10"/>
  <c r="B16" i="10"/>
  <c r="B8" i="10"/>
  <c r="B150" i="10"/>
  <c r="B95" i="10"/>
  <c r="B87" i="10"/>
  <c r="B79" i="10"/>
  <c r="B71" i="10"/>
  <c r="B63" i="10"/>
  <c r="B55" i="10"/>
  <c r="B47" i="10"/>
  <c r="B39" i="10"/>
  <c r="B31" i="10"/>
  <c r="B23" i="10"/>
  <c r="B15" i="10"/>
  <c r="B7" i="10"/>
  <c r="B2" i="10"/>
  <c r="B135" i="10"/>
  <c r="B127" i="10"/>
  <c r="B119" i="10"/>
  <c r="B111" i="10"/>
  <c r="B103" i="10"/>
  <c r="B70" i="10"/>
  <c r="B62" i="10"/>
  <c r="B54" i="10"/>
  <c r="B46" i="10"/>
  <c r="B38" i="10"/>
  <c r="B30" i="10"/>
  <c r="E9" i="3"/>
  <c r="E6" i="3"/>
  <c r="N5" i="3"/>
  <c r="F12" i="2" s="1"/>
  <c r="E10" i="3"/>
  <c r="F9" i="2"/>
  <c r="E8" i="3"/>
  <c r="F6" i="2"/>
  <c r="B26" i="10"/>
  <c r="B22" i="10"/>
  <c r="B18" i="10"/>
  <c r="B14" i="10"/>
  <c r="B10" i="10"/>
  <c r="B6" i="10"/>
  <c r="D97" i="10" l="1"/>
  <c r="E127" i="10"/>
  <c r="C78" i="10"/>
  <c r="E165" i="10"/>
  <c r="C116" i="10"/>
  <c r="D135" i="10"/>
  <c r="D214" i="10"/>
  <c r="E244" i="10"/>
  <c r="C195" i="10"/>
  <c r="E99" i="10"/>
  <c r="C50" i="10"/>
  <c r="G50" i="10" s="1"/>
  <c r="D69" i="10"/>
  <c r="D99" i="10"/>
  <c r="E129" i="10"/>
  <c r="C80" i="10"/>
  <c r="D143" i="10"/>
  <c r="E173" i="10"/>
  <c r="C124" i="10"/>
  <c r="E206" i="10"/>
  <c r="D176" i="10"/>
  <c r="C157" i="10"/>
  <c r="D228" i="10"/>
  <c r="C209" i="10"/>
  <c r="E196" i="10"/>
  <c r="C147" i="10"/>
  <c r="D166" i="10"/>
  <c r="C253" i="10"/>
  <c r="D222" i="10"/>
  <c r="E252" i="10"/>
  <c r="C203" i="10"/>
  <c r="E253" i="10"/>
  <c r="D223" i="10"/>
  <c r="C204" i="10"/>
  <c r="C198" i="10"/>
  <c r="E247" i="10"/>
  <c r="D217" i="10"/>
  <c r="E160" i="10"/>
  <c r="D130" i="10"/>
  <c r="C111" i="10"/>
  <c r="E66" i="10"/>
  <c r="D36" i="10"/>
  <c r="C17" i="10"/>
  <c r="G17" i="10" s="1"/>
  <c r="D153" i="10"/>
  <c r="E183" i="10"/>
  <c r="C134" i="10"/>
  <c r="E157" i="10"/>
  <c r="C108" i="10"/>
  <c r="D127" i="10"/>
  <c r="F128" i="10" s="1"/>
  <c r="D220" i="10"/>
  <c r="C201" i="10"/>
  <c r="E250" i="10"/>
  <c r="D246" i="10"/>
  <c r="C227" i="10"/>
  <c r="E168" i="10"/>
  <c r="D138" i="10"/>
  <c r="C119" i="10"/>
  <c r="E74" i="10"/>
  <c r="D44" i="10"/>
  <c r="C25" i="10"/>
  <c r="G25" i="10" s="1"/>
  <c r="E185" i="10"/>
  <c r="D155" i="10"/>
  <c r="C136" i="10"/>
  <c r="E228" i="10"/>
  <c r="D198" i="10"/>
  <c r="C179" i="10"/>
  <c r="C231" i="10"/>
  <c r="D250" i="10"/>
  <c r="F251" i="10" s="1"/>
  <c r="G251" i="10" s="1"/>
  <c r="D57" i="10"/>
  <c r="E87" i="10"/>
  <c r="C38" i="10"/>
  <c r="G38" i="10" s="1"/>
  <c r="E82" i="10"/>
  <c r="C33" i="10"/>
  <c r="G33" i="10" s="1"/>
  <c r="D52" i="10"/>
  <c r="C138" i="10"/>
  <c r="D157" i="10"/>
  <c r="F158" i="10" s="1"/>
  <c r="E187" i="10"/>
  <c r="D162" i="10"/>
  <c r="E192" i="10"/>
  <c r="C143" i="10"/>
  <c r="E158" i="10"/>
  <c r="D128" i="10"/>
  <c r="C109" i="10"/>
  <c r="E229" i="10"/>
  <c r="D199" i="10"/>
  <c r="C180" i="10"/>
  <c r="D173" i="10"/>
  <c r="F174" i="10" s="1"/>
  <c r="E203" i="10"/>
  <c r="C154" i="10"/>
  <c r="D252" i="10"/>
  <c r="F253" i="10" s="1"/>
  <c r="G253" i="10" s="1"/>
  <c r="C233" i="10"/>
  <c r="D194" i="10"/>
  <c r="E224" i="10"/>
  <c r="C175" i="10"/>
  <c r="D65" i="10"/>
  <c r="E95" i="10"/>
  <c r="C46" i="10"/>
  <c r="G46" i="10" s="1"/>
  <c r="D154" i="10"/>
  <c r="E184" i="10"/>
  <c r="C135" i="10"/>
  <c r="D74" i="10"/>
  <c r="F75" i="10" s="1"/>
  <c r="E104" i="10"/>
  <c r="C55" i="10"/>
  <c r="D35" i="10"/>
  <c r="E65" i="10"/>
  <c r="C16" i="10"/>
  <c r="G16" i="10" s="1"/>
  <c r="C74" i="10"/>
  <c r="E123" i="10"/>
  <c r="D93" i="10"/>
  <c r="F94" i="10" s="1"/>
  <c r="G94" i="10" s="1"/>
  <c r="E90" i="10"/>
  <c r="C41" i="10"/>
  <c r="G41" i="10" s="1"/>
  <c r="D60" i="10"/>
  <c r="E107" i="10"/>
  <c r="C58" i="10"/>
  <c r="D77" i="10"/>
  <c r="C51" i="10"/>
  <c r="G51" i="10" s="1"/>
  <c r="D70" i="10"/>
  <c r="E100" i="10"/>
  <c r="E93" i="10"/>
  <c r="C44" i="10"/>
  <c r="G44" i="10" s="1"/>
  <c r="D63" i="10"/>
  <c r="E86" i="10"/>
  <c r="D56" i="10"/>
  <c r="C37" i="10"/>
  <c r="G37" i="10" s="1"/>
  <c r="E143" i="10"/>
  <c r="D113" i="10"/>
  <c r="C94" i="10"/>
  <c r="D107" i="10"/>
  <c r="E137" i="10"/>
  <c r="C88" i="10"/>
  <c r="E195" i="10"/>
  <c r="C146" i="10"/>
  <c r="D165" i="10"/>
  <c r="F166" i="10" s="1"/>
  <c r="E178" i="10"/>
  <c r="D148" i="10"/>
  <c r="C129" i="10"/>
  <c r="C83" i="10"/>
  <c r="D102" i="10"/>
  <c r="E132" i="10"/>
  <c r="D213" i="10"/>
  <c r="E243" i="10"/>
  <c r="C194" i="10"/>
  <c r="D151" i="10"/>
  <c r="E181" i="10"/>
  <c r="C132" i="10"/>
  <c r="E166" i="10"/>
  <c r="D136" i="10"/>
  <c r="C117" i="10"/>
  <c r="D184" i="10"/>
  <c r="F185" i="10" s="1"/>
  <c r="C165" i="10"/>
  <c r="E214" i="10"/>
  <c r="D200" i="10"/>
  <c r="E230" i="10"/>
  <c r="C181" i="10"/>
  <c r="E209" i="10"/>
  <c r="C160" i="10"/>
  <c r="D179" i="10"/>
  <c r="C213" i="10"/>
  <c r="D232" i="10"/>
  <c r="D181" i="10"/>
  <c r="F182" i="10" s="1"/>
  <c r="E211" i="10"/>
  <c r="C162" i="10"/>
  <c r="E204" i="10"/>
  <c r="C155" i="10"/>
  <c r="D174" i="10"/>
  <c r="D254" i="10"/>
  <c r="C235" i="10"/>
  <c r="C257" i="10"/>
  <c r="D230" i="10"/>
  <c r="F231" i="10" s="1"/>
  <c r="G231" i="10" s="1"/>
  <c r="C211" i="10"/>
  <c r="D231" i="10"/>
  <c r="C212" i="10"/>
  <c r="C206" i="10"/>
  <c r="E255" i="10"/>
  <c r="D225" i="10"/>
  <c r="D202" i="10"/>
  <c r="E232" i="10"/>
  <c r="C183" i="10"/>
  <c r="C247" i="10"/>
  <c r="E83" i="10"/>
  <c r="C34" i="10"/>
  <c r="G34" i="10" s="1"/>
  <c r="D53" i="10"/>
  <c r="E154" i="10"/>
  <c r="C105" i="10"/>
  <c r="D124" i="10"/>
  <c r="C159" i="10"/>
  <c r="D178" i="10"/>
  <c r="F179" i="10" s="1"/>
  <c r="G179" i="10" s="1"/>
  <c r="E208" i="10"/>
  <c r="D49" i="10"/>
  <c r="E79" i="10"/>
  <c r="C30" i="10"/>
  <c r="G30" i="10" s="1"/>
  <c r="E91" i="10"/>
  <c r="C42" i="10"/>
  <c r="G42" i="10" s="1"/>
  <c r="D61" i="10"/>
  <c r="E189" i="10"/>
  <c r="D159" i="10"/>
  <c r="C140" i="10"/>
  <c r="E150" i="10"/>
  <c r="D120" i="10"/>
  <c r="C101" i="10"/>
  <c r="C221" i="10"/>
  <c r="D240" i="10"/>
  <c r="E245" i="10"/>
  <c r="D215" i="10"/>
  <c r="C196" i="10"/>
  <c r="E96" i="10"/>
  <c r="D66" i="10"/>
  <c r="C47" i="10"/>
  <c r="G47" i="10" s="1"/>
  <c r="E85" i="10"/>
  <c r="C36" i="10"/>
  <c r="G36" i="10" s="1"/>
  <c r="D55" i="10"/>
  <c r="E170" i="10"/>
  <c r="C121" i="10"/>
  <c r="D140" i="10"/>
  <c r="D238" i="10"/>
  <c r="C219" i="10"/>
  <c r="D33" i="10"/>
  <c r="E63" i="10"/>
  <c r="C14" i="10"/>
  <c r="G14" i="10" s="1"/>
  <c r="D41" i="10"/>
  <c r="E71" i="10"/>
  <c r="C22" i="10"/>
  <c r="G22" i="10" s="1"/>
  <c r="D73" i="10"/>
  <c r="E103" i="10"/>
  <c r="C54" i="10"/>
  <c r="E50" i="10"/>
  <c r="E42" i="10"/>
  <c r="E34" i="10"/>
  <c r="E26" i="10"/>
  <c r="D19" i="10"/>
  <c r="E18" i="10"/>
  <c r="D11" i="10"/>
  <c r="E10" i="10"/>
  <c r="D3" i="10"/>
  <c r="E49" i="10"/>
  <c r="E41" i="10"/>
  <c r="E33" i="10"/>
  <c r="E25" i="10"/>
  <c r="D18" i="10"/>
  <c r="E17" i="10"/>
  <c r="D10" i="10"/>
  <c r="E9" i="10"/>
  <c r="E48" i="10"/>
  <c r="E40" i="10"/>
  <c r="E32" i="10"/>
  <c r="E24" i="10"/>
  <c r="D17" i="10"/>
  <c r="E16" i="10"/>
  <c r="D9" i="10"/>
  <c r="E8" i="10"/>
  <c r="E47" i="10"/>
  <c r="E39" i="10"/>
  <c r="E31" i="10"/>
  <c r="E46" i="10"/>
  <c r="E38" i="10"/>
  <c r="E30" i="10"/>
  <c r="E22" i="10"/>
  <c r="D15" i="10"/>
  <c r="E14" i="10"/>
  <c r="D7" i="10"/>
  <c r="E6" i="10"/>
  <c r="E2" i="10"/>
  <c r="E45" i="10"/>
  <c r="E37" i="10"/>
  <c r="E29" i="10"/>
  <c r="E21" i="10"/>
  <c r="D14" i="10"/>
  <c r="E13" i="10"/>
  <c r="D6" i="10"/>
  <c r="E5" i="10"/>
  <c r="E44" i="10"/>
  <c r="E36" i="10"/>
  <c r="E28" i="10"/>
  <c r="D21" i="10"/>
  <c r="E20" i="10"/>
  <c r="D13" i="10"/>
  <c r="E12" i="10"/>
  <c r="D5" i="10"/>
  <c r="E4" i="10"/>
  <c r="E51" i="10"/>
  <c r="E43" i="10"/>
  <c r="E35" i="10"/>
  <c r="E19" i="10"/>
  <c r="D4" i="10"/>
  <c r="E23" i="10"/>
  <c r="D8" i="10"/>
  <c r="E27" i="10"/>
  <c r="D12" i="10"/>
  <c r="D16" i="10"/>
  <c r="D20" i="10"/>
  <c r="E3" i="10"/>
  <c r="E7" i="10"/>
  <c r="E11" i="10"/>
  <c r="D2" i="10"/>
  <c r="E15" i="10"/>
  <c r="D82" i="10"/>
  <c r="F83" i="10" s="1"/>
  <c r="G83" i="10" s="1"/>
  <c r="E112" i="10"/>
  <c r="C63" i="10"/>
  <c r="E73" i="10"/>
  <c r="D43" i="10"/>
  <c r="C24" i="10"/>
  <c r="G24" i="10" s="1"/>
  <c r="C82" i="10"/>
  <c r="E131" i="10"/>
  <c r="D101" i="10"/>
  <c r="F102" i="10" s="1"/>
  <c r="G102" i="10" s="1"/>
  <c r="E98" i="10"/>
  <c r="C49" i="10"/>
  <c r="G49" i="10" s="1"/>
  <c r="D68" i="10"/>
  <c r="E115" i="10"/>
  <c r="C66" i="10"/>
  <c r="D85" i="10"/>
  <c r="D78" i="10"/>
  <c r="C59" i="10"/>
  <c r="E108" i="10"/>
  <c r="E101" i="10"/>
  <c r="C52" i="10"/>
  <c r="D71" i="10"/>
  <c r="F72" i="10" s="1"/>
  <c r="E94" i="10"/>
  <c r="D64" i="10"/>
  <c r="C45" i="10"/>
  <c r="G45" i="10" s="1"/>
  <c r="E151" i="10"/>
  <c r="D121" i="10"/>
  <c r="C102" i="10"/>
  <c r="D115" i="10"/>
  <c r="F116" i="10" s="1"/>
  <c r="G116" i="10" s="1"/>
  <c r="E145" i="10"/>
  <c r="C96" i="10"/>
  <c r="E201" i="10"/>
  <c r="C152" i="10"/>
  <c r="D171" i="10"/>
  <c r="D221" i="10"/>
  <c r="E251" i="10"/>
  <c r="C202" i="10"/>
  <c r="C91" i="10"/>
  <c r="E140" i="10"/>
  <c r="D110" i="10"/>
  <c r="C76" i="10"/>
  <c r="D95" i="10"/>
  <c r="F96" i="10" s="1"/>
  <c r="G96" i="10" s="1"/>
  <c r="E125" i="10"/>
  <c r="D161" i="10"/>
  <c r="C142" i="10"/>
  <c r="E191" i="10"/>
  <c r="E174" i="10"/>
  <c r="D144" i="10"/>
  <c r="C125" i="10"/>
  <c r="D192" i="10"/>
  <c r="F193" i="10" s="1"/>
  <c r="C173" i="10"/>
  <c r="E222" i="10"/>
  <c r="C182" i="10"/>
  <c r="E231" i="10"/>
  <c r="D201" i="10"/>
  <c r="F202" i="10" s="1"/>
  <c r="G202" i="10" s="1"/>
  <c r="E217" i="10"/>
  <c r="D187" i="10"/>
  <c r="F188" i="10" s="1"/>
  <c r="C168" i="10"/>
  <c r="E186" i="10"/>
  <c r="C137" i="10"/>
  <c r="D156" i="10"/>
  <c r="D189" i="10"/>
  <c r="F190" i="10" s="1"/>
  <c r="E219" i="10"/>
  <c r="C170" i="10"/>
  <c r="E212" i="10"/>
  <c r="C163" i="10"/>
  <c r="D182" i="10"/>
  <c r="C237" i="10"/>
  <c r="D256" i="10"/>
  <c r="E197" i="10"/>
  <c r="D167" i="10"/>
  <c r="C148" i="10"/>
  <c r="D245" i="10"/>
  <c r="F246" i="10" s="1"/>
  <c r="G246" i="10" s="1"/>
  <c r="C226" i="10"/>
  <c r="C220" i="10"/>
  <c r="D239" i="10"/>
  <c r="C214" i="10"/>
  <c r="D233" i="10"/>
  <c r="D210" i="10"/>
  <c r="C191" i="10"/>
  <c r="E240" i="10"/>
  <c r="C255" i="10"/>
  <c r="D75" i="10"/>
  <c r="E105" i="10"/>
  <c r="C56" i="10"/>
  <c r="D32" i="10"/>
  <c r="E62" i="10"/>
  <c r="C13" i="10"/>
  <c r="G13" i="10" s="1"/>
  <c r="E179" i="10"/>
  <c r="D149" i="10"/>
  <c r="C130" i="10"/>
  <c r="E215" i="10"/>
  <c r="D185" i="10"/>
  <c r="F186" i="10" s="1"/>
  <c r="C166" i="10"/>
  <c r="D237" i="10"/>
  <c r="C218" i="10"/>
  <c r="D169" i="10"/>
  <c r="E199" i="10"/>
  <c r="C150" i="10"/>
  <c r="E77" i="10"/>
  <c r="C28" i="10"/>
  <c r="G28" i="10" s="1"/>
  <c r="D47" i="10"/>
  <c r="E193" i="10"/>
  <c r="C144" i="10"/>
  <c r="D163" i="10"/>
  <c r="D186" i="10"/>
  <c r="E216" i="10"/>
  <c r="C167" i="10"/>
  <c r="C229" i="10"/>
  <c r="D248" i="10"/>
  <c r="C190" i="10"/>
  <c r="E239" i="10"/>
  <c r="D209" i="10"/>
  <c r="F210" i="10" s="1"/>
  <c r="D91" i="10"/>
  <c r="F92" i="10" s="1"/>
  <c r="G92" i="10" s="1"/>
  <c r="E121" i="10"/>
  <c r="C72" i="10"/>
  <c r="C75" i="10"/>
  <c r="D94" i="10"/>
  <c r="F95" i="10" s="1"/>
  <c r="E124" i="10"/>
  <c r="E81" i="10"/>
  <c r="D51" i="10"/>
  <c r="C32" i="10"/>
  <c r="G32" i="10" s="1"/>
  <c r="C3" i="10"/>
  <c r="D22" i="10"/>
  <c r="E52" i="10"/>
  <c r="D79" i="10"/>
  <c r="F80" i="10" s="1"/>
  <c r="G80" i="10" s="1"/>
  <c r="E109" i="10"/>
  <c r="C60" i="10"/>
  <c r="E159" i="10"/>
  <c r="D129" i="10"/>
  <c r="F130" i="10" s="1"/>
  <c r="G130" i="10" s="1"/>
  <c r="C110" i="10"/>
  <c r="E153" i="10"/>
  <c r="D123" i="10"/>
  <c r="F124" i="10" s="1"/>
  <c r="G124" i="10" s="1"/>
  <c r="C104" i="10"/>
  <c r="E155" i="10"/>
  <c r="C106" i="10"/>
  <c r="D125" i="10"/>
  <c r="C99" i="10"/>
  <c r="D118" i="10"/>
  <c r="E148" i="10"/>
  <c r="C84" i="10"/>
  <c r="D103" i="10"/>
  <c r="E133" i="10"/>
  <c r="D170" i="10"/>
  <c r="F171" i="10" s="1"/>
  <c r="E200" i="10"/>
  <c r="C151" i="10"/>
  <c r="D152" i="10"/>
  <c r="E182" i="10"/>
  <c r="C133" i="10"/>
  <c r="C174" i="10"/>
  <c r="E223" i="10"/>
  <c r="D193" i="10"/>
  <c r="E233" i="10"/>
  <c r="D203" i="10"/>
  <c r="F204" i="10" s="1"/>
  <c r="G204" i="10" s="1"/>
  <c r="C184" i="10"/>
  <c r="C189" i="10"/>
  <c r="D208" i="10"/>
  <c r="F209" i="10" s="1"/>
  <c r="G209" i="10" s="1"/>
  <c r="E238" i="10"/>
  <c r="E194" i="10"/>
  <c r="D164" i="10"/>
  <c r="C145" i="10"/>
  <c r="E241" i="10"/>
  <c r="C192" i="10"/>
  <c r="D211" i="10"/>
  <c r="F212" i="10" s="1"/>
  <c r="G212" i="10" s="1"/>
  <c r="E220" i="10"/>
  <c r="C171" i="10"/>
  <c r="D190" i="10"/>
  <c r="C241" i="10"/>
  <c r="E205" i="10"/>
  <c r="C156" i="10"/>
  <c r="D175" i="10"/>
  <c r="D253" i="10"/>
  <c r="C234" i="10"/>
  <c r="D247" i="10"/>
  <c r="F248" i="10" s="1"/>
  <c r="G248" i="10" s="1"/>
  <c r="C228" i="10"/>
  <c r="C222" i="10"/>
  <c r="D241" i="10"/>
  <c r="D218" i="10"/>
  <c r="C199" i="10"/>
  <c r="E248" i="10"/>
  <c r="D235" i="10"/>
  <c r="C216" i="10"/>
  <c r="E144" i="10"/>
  <c r="D114" i="10"/>
  <c r="C95" i="10"/>
  <c r="C20" i="10"/>
  <c r="G20" i="10" s="1"/>
  <c r="D39" i="10"/>
  <c r="E69" i="10"/>
  <c r="E177" i="10"/>
  <c r="C128" i="10"/>
  <c r="D147" i="10"/>
  <c r="F148" i="10" s="1"/>
  <c r="G148" i="10" s="1"/>
  <c r="E142" i="10"/>
  <c r="D112" i="10"/>
  <c r="F113" i="10" s="1"/>
  <c r="C93" i="10"/>
  <c r="C223" i="10"/>
  <c r="D242" i="10"/>
  <c r="D83" i="10"/>
  <c r="F84" i="10" s="1"/>
  <c r="G84" i="10" s="1"/>
  <c r="E113" i="10"/>
  <c r="C64" i="10"/>
  <c r="D40" i="10"/>
  <c r="E70" i="10"/>
  <c r="C21" i="10"/>
  <c r="G21" i="10" s="1"/>
  <c r="E180" i="10"/>
  <c r="C131" i="10"/>
  <c r="D150" i="10"/>
  <c r="F151" i="10" s="1"/>
  <c r="C205" i="10"/>
  <c r="D224" i="10"/>
  <c r="F225" i="10" s="1"/>
  <c r="E254" i="10"/>
  <c r="D146" i="10"/>
  <c r="E176" i="10"/>
  <c r="C127" i="10"/>
  <c r="C43" i="10"/>
  <c r="G43" i="10" s="1"/>
  <c r="D62" i="10"/>
  <c r="F63" i="10" s="1"/>
  <c r="G63" i="10" s="1"/>
  <c r="E92" i="10"/>
  <c r="D105" i="10"/>
  <c r="F106" i="10" s="1"/>
  <c r="G106" i="10" s="1"/>
  <c r="E135" i="10"/>
  <c r="C86" i="10"/>
  <c r="D81" i="10"/>
  <c r="F82" i="10" s="1"/>
  <c r="G82" i="10" s="1"/>
  <c r="E111" i="10"/>
  <c r="C62" i="10"/>
  <c r="C90" i="10"/>
  <c r="E139" i="10"/>
  <c r="D109" i="10"/>
  <c r="F110" i="10" s="1"/>
  <c r="G110" i="10" s="1"/>
  <c r="D89" i="10"/>
  <c r="E119" i="10"/>
  <c r="C70" i="10"/>
  <c r="D34" i="10"/>
  <c r="E64" i="10"/>
  <c r="C15" i="10"/>
  <c r="G15" i="10" s="1"/>
  <c r="D98" i="10"/>
  <c r="F99" i="10" s="1"/>
  <c r="E128" i="10"/>
  <c r="C79" i="10"/>
  <c r="E89" i="10"/>
  <c r="D59" i="10"/>
  <c r="C40" i="10"/>
  <c r="G40" i="10" s="1"/>
  <c r="C98" i="10"/>
  <c r="E147" i="10"/>
  <c r="D117" i="10"/>
  <c r="E114" i="10"/>
  <c r="D84" i="10"/>
  <c r="C65" i="10"/>
  <c r="C11" i="10"/>
  <c r="G11" i="10" s="1"/>
  <c r="D30" i="10"/>
  <c r="E60" i="10"/>
  <c r="C4" i="10"/>
  <c r="G4" i="10" s="1"/>
  <c r="D23" i="10"/>
  <c r="E53" i="10"/>
  <c r="D87" i="10"/>
  <c r="F88" i="10" s="1"/>
  <c r="G88" i="10" s="1"/>
  <c r="E117" i="10"/>
  <c r="C68" i="10"/>
  <c r="E110" i="10"/>
  <c r="D80" i="10"/>
  <c r="C61" i="10"/>
  <c r="D137" i="10"/>
  <c r="F138" i="10" s="1"/>
  <c r="G138" i="10" s="1"/>
  <c r="E167" i="10"/>
  <c r="C118" i="10"/>
  <c r="E161" i="10"/>
  <c r="D131" i="10"/>
  <c r="F132" i="10" s="1"/>
  <c r="G132" i="10" s="1"/>
  <c r="C112" i="10"/>
  <c r="E138" i="10"/>
  <c r="D108" i="10"/>
  <c r="C89" i="10"/>
  <c r="C114" i="10"/>
  <c r="D133" i="10"/>
  <c r="F134" i="10" s="1"/>
  <c r="G134" i="10" s="1"/>
  <c r="E163" i="10"/>
  <c r="C107" i="10"/>
  <c r="E156" i="10"/>
  <c r="D126" i="10"/>
  <c r="C92" i="10"/>
  <c r="D111" i="10"/>
  <c r="E141" i="10"/>
  <c r="E126" i="10"/>
  <c r="C77" i="10"/>
  <c r="D96" i="10"/>
  <c r="F97" i="10" s="1"/>
  <c r="G97" i="10" s="1"/>
  <c r="D160" i="10"/>
  <c r="F161" i="10" s="1"/>
  <c r="E190" i="10"/>
  <c r="C141" i="10"/>
  <c r="E225" i="10"/>
  <c r="D195" i="10"/>
  <c r="F196" i="10" s="1"/>
  <c r="G196" i="10" s="1"/>
  <c r="C176" i="10"/>
  <c r="D204" i="10"/>
  <c r="F205" i="10" s="1"/>
  <c r="G205" i="10" s="1"/>
  <c r="E234" i="10"/>
  <c r="C185" i="10"/>
  <c r="D212" i="10"/>
  <c r="F213" i="10" s="1"/>
  <c r="G213" i="10" s="1"/>
  <c r="C193" i="10"/>
  <c r="E242" i="10"/>
  <c r="C153" i="10"/>
  <c r="E202" i="10"/>
  <c r="D172" i="10"/>
  <c r="F173" i="10" s="1"/>
  <c r="G173" i="10" s="1"/>
  <c r="E249" i="10"/>
  <c r="C200" i="10"/>
  <c r="D219" i="10"/>
  <c r="F220" i="10" s="1"/>
  <c r="G220" i="10" s="1"/>
  <c r="E236" i="10"/>
  <c r="C187" i="10"/>
  <c r="D206" i="10"/>
  <c r="F207" i="10" s="1"/>
  <c r="G207" i="10" s="1"/>
  <c r="E213" i="10"/>
  <c r="C164" i="10"/>
  <c r="D183" i="10"/>
  <c r="F184" i="10" s="1"/>
  <c r="G184" i="10" s="1"/>
  <c r="C242" i="10"/>
  <c r="D255" i="10"/>
  <c r="F256" i="10" s="1"/>
  <c r="G256" i="10" s="1"/>
  <c r="C236" i="10"/>
  <c r="C230" i="10"/>
  <c r="D249" i="10"/>
  <c r="D226" i="10"/>
  <c r="C207" i="10"/>
  <c r="E256" i="10"/>
  <c r="D243" i="10"/>
  <c r="F244" i="10" s="1"/>
  <c r="C224" i="10"/>
  <c r="E80" i="10"/>
  <c r="D50" i="10"/>
  <c r="C31" i="10"/>
  <c r="G31" i="10" s="1"/>
  <c r="C27" i="10"/>
  <c r="G27" i="10" s="1"/>
  <c r="E76" i="10"/>
  <c r="D46" i="10"/>
  <c r="D229" i="10"/>
  <c r="F230" i="10" s="1"/>
  <c r="G230" i="10" s="1"/>
  <c r="C210" i="10"/>
  <c r="E172" i="10"/>
  <c r="C123" i="10"/>
  <c r="D142" i="10"/>
  <c r="F143" i="10" s="1"/>
  <c r="G143" i="10" s="1"/>
  <c r="D197" i="10"/>
  <c r="F198" i="10" s="1"/>
  <c r="G198" i="10" s="1"/>
  <c r="E227" i="10"/>
  <c r="C178" i="10"/>
  <c r="D188" i="10"/>
  <c r="E218" i="10"/>
  <c r="C169" i="10"/>
  <c r="D205" i="10"/>
  <c r="F206" i="10" s="1"/>
  <c r="G206" i="10" s="1"/>
  <c r="E235" i="10"/>
  <c r="C186" i="10"/>
  <c r="E237" i="10"/>
  <c r="C188" i="10"/>
  <c r="D207" i="10"/>
  <c r="C10" i="10"/>
  <c r="G10" i="10" s="1"/>
  <c r="D29" i="10"/>
  <c r="E59" i="10"/>
  <c r="E88" i="10"/>
  <c r="D58" i="10"/>
  <c r="C39" i="10"/>
  <c r="G39" i="10" s="1"/>
  <c r="C35" i="10"/>
  <c r="G35" i="10" s="1"/>
  <c r="D54" i="10"/>
  <c r="E84" i="10"/>
  <c r="E162" i="10"/>
  <c r="C113" i="10"/>
  <c r="D132" i="10"/>
  <c r="F133" i="10" s="1"/>
  <c r="G133" i="10" s="1"/>
  <c r="D168" i="10"/>
  <c r="F169" i="10" s="1"/>
  <c r="G169" i="10" s="1"/>
  <c r="E198" i="10"/>
  <c r="C149" i="10"/>
  <c r="E188" i="10"/>
  <c r="D158" i="10"/>
  <c r="F159" i="10" s="1"/>
  <c r="G159" i="10" s="1"/>
  <c r="C139" i="10"/>
  <c r="D27" i="10"/>
  <c r="E57" i="10"/>
  <c r="C8" i="10"/>
  <c r="G8" i="10" s="1"/>
  <c r="E78" i="10"/>
  <c r="D48" i="10"/>
  <c r="C29" i="10"/>
  <c r="G29" i="10" s="1"/>
  <c r="E75" i="10"/>
  <c r="C26" i="10"/>
  <c r="G26" i="10" s="1"/>
  <c r="D45" i="10"/>
  <c r="D26" i="10"/>
  <c r="E56" i="10"/>
  <c r="C7" i="10"/>
  <c r="G7" i="10" s="1"/>
  <c r="D90" i="10"/>
  <c r="F91" i="10" s="1"/>
  <c r="G91" i="10" s="1"/>
  <c r="E120" i="10"/>
  <c r="C71" i="10"/>
  <c r="E106" i="10"/>
  <c r="D76" i="10"/>
  <c r="C57" i="10"/>
  <c r="D86" i="10"/>
  <c r="F87" i="10" s="1"/>
  <c r="C67" i="10"/>
  <c r="E116" i="10"/>
  <c r="E102" i="10"/>
  <c r="D72" i="10"/>
  <c r="C53" i="10"/>
  <c r="E130" i="10"/>
  <c r="D100" i="10"/>
  <c r="F101" i="10" s="1"/>
  <c r="G101" i="10" s="1"/>
  <c r="C81" i="10"/>
  <c r="D25" i="10"/>
  <c r="E55" i="10"/>
  <c r="C6" i="10"/>
  <c r="G6" i="10" s="1"/>
  <c r="C18" i="10"/>
  <c r="G18" i="10" s="1"/>
  <c r="D37" i="10"/>
  <c r="E67" i="10"/>
  <c r="E152" i="10"/>
  <c r="D122" i="10"/>
  <c r="C103" i="10"/>
  <c r="D42" i="10"/>
  <c r="E72" i="10"/>
  <c r="C23" i="10"/>
  <c r="G23" i="10" s="1"/>
  <c r="D106" i="10"/>
  <c r="F107" i="10" s="1"/>
  <c r="E136" i="10"/>
  <c r="C87" i="10"/>
  <c r="E97" i="10"/>
  <c r="D67" i="10"/>
  <c r="F68" i="10" s="1"/>
  <c r="G68" i="10" s="1"/>
  <c r="C48" i="10"/>
  <c r="G48" i="10" s="1"/>
  <c r="E58" i="10"/>
  <c r="D28" i="10"/>
  <c r="C9" i="10"/>
  <c r="G9" i="10" s="1"/>
  <c r="E122" i="10"/>
  <c r="D92" i="10"/>
  <c r="F93" i="10" s="1"/>
  <c r="G93" i="10" s="1"/>
  <c r="C73" i="10"/>
  <c r="C19" i="10"/>
  <c r="G19" i="10" s="1"/>
  <c r="D38" i="10"/>
  <c r="E68" i="10"/>
  <c r="C12" i="10"/>
  <c r="G12" i="10" s="1"/>
  <c r="D31" i="10"/>
  <c r="E61" i="10"/>
  <c r="E54" i="10"/>
  <c r="C5" i="10"/>
  <c r="G5" i="10" s="1"/>
  <c r="D24" i="10"/>
  <c r="E118" i="10"/>
  <c r="D88" i="10"/>
  <c r="C69" i="10"/>
  <c r="D145" i="10"/>
  <c r="F146" i="10" s="1"/>
  <c r="G146" i="10" s="1"/>
  <c r="E175" i="10"/>
  <c r="C126" i="10"/>
  <c r="E169" i="10"/>
  <c r="C120" i="10"/>
  <c r="D139" i="10"/>
  <c r="F140" i="10" s="1"/>
  <c r="G140" i="10" s="1"/>
  <c r="E146" i="10"/>
  <c r="D116" i="10"/>
  <c r="C97" i="10"/>
  <c r="C122" i="10"/>
  <c r="E171" i="10"/>
  <c r="D141" i="10"/>
  <c r="F142" i="10" s="1"/>
  <c r="G142" i="10" s="1"/>
  <c r="E164" i="10"/>
  <c r="C115" i="10"/>
  <c r="D134" i="10"/>
  <c r="F135" i="10" s="1"/>
  <c r="G135" i="10" s="1"/>
  <c r="C100" i="10"/>
  <c r="E149" i="10"/>
  <c r="D119" i="10"/>
  <c r="F120" i="10" s="1"/>
  <c r="D104" i="10"/>
  <c r="F105" i="10" s="1"/>
  <c r="G105" i="10" s="1"/>
  <c r="E134" i="10"/>
  <c r="C85" i="10"/>
  <c r="D177" i="10"/>
  <c r="F178" i="10" s="1"/>
  <c r="G178" i="10" s="1"/>
  <c r="C158" i="10"/>
  <c r="E207" i="10"/>
  <c r="D196" i="10"/>
  <c r="F197" i="10" s="1"/>
  <c r="E226" i="10"/>
  <c r="C177" i="10"/>
  <c r="D236" i="10"/>
  <c r="F237" i="10" s="1"/>
  <c r="G237" i="10" s="1"/>
  <c r="C217" i="10"/>
  <c r="C197" i="10"/>
  <c r="D216" i="10"/>
  <c r="F217" i="10" s="1"/>
  <c r="G217" i="10" s="1"/>
  <c r="E246" i="10"/>
  <c r="C161" i="10"/>
  <c r="E210" i="10"/>
  <c r="D180" i="10"/>
  <c r="F181" i="10" s="1"/>
  <c r="G181" i="10" s="1"/>
  <c r="E257" i="10"/>
  <c r="D227" i="10"/>
  <c r="F228" i="10" s="1"/>
  <c r="G228" i="10" s="1"/>
  <c r="C208" i="10"/>
  <c r="D244" i="10"/>
  <c r="F245" i="10" s="1"/>
  <c r="G245" i="10" s="1"/>
  <c r="C225" i="10"/>
  <c r="E221" i="10"/>
  <c r="D191" i="10"/>
  <c r="F192" i="10" s="1"/>
  <c r="G192" i="10" s="1"/>
  <c r="C172" i="10"/>
  <c r="C250" i="10"/>
  <c r="C244" i="10"/>
  <c r="C238" i="10"/>
  <c r="D257" i="10"/>
  <c r="I5" i="2" s="1"/>
  <c r="C215" i="10"/>
  <c r="D234" i="10"/>
  <c r="D251" i="10"/>
  <c r="F252" i="10" s="1"/>
  <c r="G252" i="10" s="1"/>
  <c r="C232" i="10"/>
  <c r="F60" i="10" l="1"/>
  <c r="G60" i="10" s="1"/>
  <c r="F219" i="10"/>
  <c r="G219" i="10" s="1"/>
  <c r="F187" i="10"/>
  <c r="F108" i="10"/>
  <c r="G108" i="10" s="1"/>
  <c r="F126" i="10"/>
  <c r="F67" i="10"/>
  <c r="F86" i="10"/>
  <c r="F112" i="10"/>
  <c r="G112" i="10" s="1"/>
  <c r="F109" i="10"/>
  <c r="G109" i="10" s="1"/>
  <c r="F52" i="10"/>
  <c r="F100" i="10"/>
  <c r="F104" i="10"/>
  <c r="G104" i="10" s="1"/>
  <c r="F254" i="10"/>
  <c r="G254" i="10" s="1"/>
  <c r="F89" i="10"/>
  <c r="G89" i="10" s="1"/>
  <c r="F55" i="10"/>
  <c r="G55" i="10" s="1"/>
  <c r="F208" i="10"/>
  <c r="G208" i="10" s="1"/>
  <c r="F189" i="10"/>
  <c r="G189" i="10" s="1"/>
  <c r="G244" i="10"/>
  <c r="G161" i="10"/>
  <c r="F176" i="10"/>
  <c r="G176" i="10" s="1"/>
  <c r="F153" i="10"/>
  <c r="G153" i="10" s="1"/>
  <c r="F119" i="10"/>
  <c r="G119" i="10" s="1"/>
  <c r="H3" i="10"/>
  <c r="H4" i="10" s="1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H129" i="10" s="1"/>
  <c r="H130" i="10" s="1"/>
  <c r="H131" i="10" s="1"/>
  <c r="H132" i="10" s="1"/>
  <c r="H133" i="10" s="1"/>
  <c r="H134" i="10" s="1"/>
  <c r="H135" i="10" s="1"/>
  <c r="H136" i="10" s="1"/>
  <c r="H137" i="10" s="1"/>
  <c r="H138" i="10" s="1"/>
  <c r="H139" i="10" s="1"/>
  <c r="H140" i="10" s="1"/>
  <c r="H141" i="10" s="1"/>
  <c r="H142" i="10" s="1"/>
  <c r="H143" i="10" s="1"/>
  <c r="H144" i="10" s="1"/>
  <c r="H145" i="10" s="1"/>
  <c r="H146" i="10" s="1"/>
  <c r="H147" i="10" s="1"/>
  <c r="H148" i="10" s="1"/>
  <c r="H149" i="10" s="1"/>
  <c r="H150" i="10" s="1"/>
  <c r="H151" i="10" s="1"/>
  <c r="H152" i="10" s="1"/>
  <c r="H153" i="10" s="1"/>
  <c r="H154" i="10" s="1"/>
  <c r="H155" i="10" s="1"/>
  <c r="H156" i="10" s="1"/>
  <c r="H157" i="10" s="1"/>
  <c r="H158" i="10" s="1"/>
  <c r="H159" i="10" s="1"/>
  <c r="H160" i="10" s="1"/>
  <c r="H161" i="10" s="1"/>
  <c r="H162" i="10" s="1"/>
  <c r="H163" i="10" s="1"/>
  <c r="H164" i="10" s="1"/>
  <c r="H165" i="10" s="1"/>
  <c r="H166" i="10" s="1"/>
  <c r="H167" i="10" s="1"/>
  <c r="H168" i="10" s="1"/>
  <c r="H169" i="10" s="1"/>
  <c r="H170" i="10" s="1"/>
  <c r="H171" i="10" s="1"/>
  <c r="H172" i="10" s="1"/>
  <c r="H173" i="10" s="1"/>
  <c r="H174" i="10" s="1"/>
  <c r="H175" i="10" s="1"/>
  <c r="H176" i="10" s="1"/>
  <c r="H177" i="10" s="1"/>
  <c r="H178" i="10" s="1"/>
  <c r="H179" i="10" s="1"/>
  <c r="H180" i="10" s="1"/>
  <c r="H181" i="10" s="1"/>
  <c r="H182" i="10" s="1"/>
  <c r="H183" i="10" s="1"/>
  <c r="H184" i="10" s="1"/>
  <c r="H185" i="10" s="1"/>
  <c r="H186" i="10" s="1"/>
  <c r="H187" i="10" s="1"/>
  <c r="H188" i="10" s="1"/>
  <c r="H189" i="10" s="1"/>
  <c r="H190" i="10" s="1"/>
  <c r="H191" i="10" s="1"/>
  <c r="H192" i="10" s="1"/>
  <c r="H193" i="10" s="1"/>
  <c r="H194" i="10" s="1"/>
  <c r="H195" i="10" s="1"/>
  <c r="H196" i="10" s="1"/>
  <c r="H197" i="10" s="1"/>
  <c r="H198" i="10" s="1"/>
  <c r="H199" i="10" s="1"/>
  <c r="H200" i="10" s="1"/>
  <c r="H201" i="10" s="1"/>
  <c r="H202" i="10" s="1"/>
  <c r="H203" i="10" s="1"/>
  <c r="H204" i="10" s="1"/>
  <c r="H205" i="10" s="1"/>
  <c r="H206" i="10" s="1"/>
  <c r="H207" i="10" s="1"/>
  <c r="H208" i="10" s="1"/>
  <c r="H209" i="10" s="1"/>
  <c r="H210" i="10" s="1"/>
  <c r="H211" i="10" s="1"/>
  <c r="H212" i="10" s="1"/>
  <c r="H213" i="10" s="1"/>
  <c r="H214" i="10" s="1"/>
  <c r="H215" i="10" s="1"/>
  <c r="H216" i="10" s="1"/>
  <c r="H217" i="10" s="1"/>
  <c r="H218" i="10" s="1"/>
  <c r="H219" i="10" s="1"/>
  <c r="H220" i="10" s="1"/>
  <c r="H221" i="10" s="1"/>
  <c r="H222" i="10" s="1"/>
  <c r="H223" i="10" s="1"/>
  <c r="H224" i="10" s="1"/>
  <c r="H225" i="10" s="1"/>
  <c r="H226" i="10" s="1"/>
  <c r="H227" i="10" s="1"/>
  <c r="H228" i="10" s="1"/>
  <c r="H229" i="10" s="1"/>
  <c r="H230" i="10" s="1"/>
  <c r="H231" i="10" s="1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252" i="10" s="1"/>
  <c r="H253" i="10" s="1"/>
  <c r="H254" i="10" s="1"/>
  <c r="H255" i="10" s="1"/>
  <c r="H256" i="10" s="1"/>
  <c r="H257" i="10" s="1"/>
  <c r="I6" i="2" s="1"/>
  <c r="G3" i="10"/>
  <c r="I3" i="10" s="1"/>
  <c r="I4" i="10" s="1"/>
  <c r="I5" i="10" s="1"/>
  <c r="I6" i="10" s="1"/>
  <c r="I7" i="10" s="1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50" i="10" s="1"/>
  <c r="I51" i="10" s="1"/>
  <c r="F76" i="10"/>
  <c r="G76" i="10" s="1"/>
  <c r="F183" i="10"/>
  <c r="G183" i="10" s="1"/>
  <c r="F222" i="10"/>
  <c r="G222" i="10" s="1"/>
  <c r="F122" i="10"/>
  <c r="G122" i="10" s="1"/>
  <c r="F125" i="10"/>
  <c r="G125" i="10" s="1"/>
  <c r="F64" i="10"/>
  <c r="G64" i="10" s="1"/>
  <c r="F199" i="10"/>
  <c r="G199" i="10" s="1"/>
  <c r="G128" i="10"/>
  <c r="F224" i="10"/>
  <c r="G224" i="10" s="1"/>
  <c r="F144" i="10"/>
  <c r="G144" i="10" s="1"/>
  <c r="G187" i="10"/>
  <c r="F150" i="10"/>
  <c r="G150" i="10" s="1"/>
  <c r="G193" i="10"/>
  <c r="F172" i="10"/>
  <c r="G172" i="10" s="1"/>
  <c r="F203" i="10"/>
  <c r="G203" i="10" s="1"/>
  <c r="G182" i="10"/>
  <c r="F201" i="10"/>
  <c r="G201" i="10" s="1"/>
  <c r="F61" i="10"/>
  <c r="G61" i="10" s="1"/>
  <c r="F139" i="10"/>
  <c r="G139" i="10" s="1"/>
  <c r="F215" i="10"/>
  <c r="G215" i="10" s="1"/>
  <c r="F147" i="10"/>
  <c r="G147" i="10" s="1"/>
  <c r="G113" i="10"/>
  <c r="F242" i="10"/>
  <c r="G242" i="10" s="1"/>
  <c r="G126" i="10"/>
  <c r="G52" i="10"/>
  <c r="G210" i="10"/>
  <c r="F164" i="10"/>
  <c r="G164" i="10" s="1"/>
  <c r="F170" i="10"/>
  <c r="G170" i="10" s="1"/>
  <c r="G188" i="10"/>
  <c r="F79" i="10"/>
  <c r="G79" i="10" s="1"/>
  <c r="F74" i="10"/>
  <c r="G74" i="10" s="1"/>
  <c r="F239" i="10"/>
  <c r="G239" i="10" s="1"/>
  <c r="G67" i="10"/>
  <c r="F121" i="10"/>
  <c r="G121" i="10" s="1"/>
  <c r="F226" i="10"/>
  <c r="G226" i="10" s="1"/>
  <c r="F233" i="10"/>
  <c r="G233" i="10" s="1"/>
  <c r="F152" i="10"/>
  <c r="G152" i="10" s="1"/>
  <c r="F149" i="10"/>
  <c r="G149" i="10" s="1"/>
  <c r="F66" i="10"/>
  <c r="G66" i="10" s="1"/>
  <c r="G174" i="10"/>
  <c r="F131" i="10"/>
  <c r="G131" i="10" s="1"/>
  <c r="F229" i="10"/>
  <c r="G229" i="10" s="1"/>
  <c r="F136" i="10"/>
  <c r="G136" i="10" s="1"/>
  <c r="F123" i="10"/>
  <c r="G123" i="10" s="1"/>
  <c r="G87" i="10"/>
  <c r="F59" i="10"/>
  <c r="G59" i="10" s="1"/>
  <c r="F227" i="10"/>
  <c r="G227" i="10" s="1"/>
  <c r="F85" i="10"/>
  <c r="G85" i="10" s="1"/>
  <c r="F90" i="10"/>
  <c r="G90" i="10" s="1"/>
  <c r="F115" i="10"/>
  <c r="G115" i="10" s="1"/>
  <c r="F165" i="10"/>
  <c r="G165" i="10" s="1"/>
  <c r="F194" i="10"/>
  <c r="G194" i="10" s="1"/>
  <c r="G171" i="10"/>
  <c r="F145" i="10"/>
  <c r="G145" i="10" s="1"/>
  <c r="F111" i="10"/>
  <c r="G111" i="10" s="1"/>
  <c r="F65" i="10"/>
  <c r="G65" i="10" s="1"/>
  <c r="G86" i="10"/>
  <c r="F141" i="10"/>
  <c r="G141" i="10" s="1"/>
  <c r="F54" i="10"/>
  <c r="G54" i="10" s="1"/>
  <c r="F255" i="10"/>
  <c r="G255" i="10" s="1"/>
  <c r="F114" i="10"/>
  <c r="G114" i="10" s="1"/>
  <c r="F163" i="10"/>
  <c r="G163" i="10" s="1"/>
  <c r="F156" i="10"/>
  <c r="G156" i="10" s="1"/>
  <c r="G100" i="10"/>
  <c r="F250" i="10"/>
  <c r="G250" i="10" s="1"/>
  <c r="G225" i="10"/>
  <c r="F191" i="10"/>
  <c r="G191" i="10" s="1"/>
  <c r="F238" i="10"/>
  <c r="G238" i="10" s="1"/>
  <c r="F211" i="10"/>
  <c r="G211" i="10" s="1"/>
  <c r="F168" i="10"/>
  <c r="G168" i="10" s="1"/>
  <c r="F175" i="10"/>
  <c r="G175" i="10" s="1"/>
  <c r="F180" i="10"/>
  <c r="G180" i="10" s="1"/>
  <c r="G185" i="10"/>
  <c r="G166" i="10"/>
  <c r="F71" i="10"/>
  <c r="G71" i="10" s="1"/>
  <c r="G75" i="10"/>
  <c r="F200" i="10"/>
  <c r="G200" i="10" s="1"/>
  <c r="F58" i="10"/>
  <c r="G58" i="10" s="1"/>
  <c r="F247" i="10"/>
  <c r="G247" i="10" s="1"/>
  <c r="F218" i="10"/>
  <c r="G218" i="10" s="1"/>
  <c r="F223" i="10"/>
  <c r="G223" i="10" s="1"/>
  <c r="F177" i="10"/>
  <c r="G177" i="10" s="1"/>
  <c r="F70" i="10"/>
  <c r="G70" i="10" s="1"/>
  <c r="F77" i="10"/>
  <c r="G77" i="10" s="1"/>
  <c r="F118" i="10"/>
  <c r="G118" i="10" s="1"/>
  <c r="G99" i="10"/>
  <c r="G95" i="10"/>
  <c r="F249" i="10"/>
  <c r="G249" i="10" s="1"/>
  <c r="F234" i="10"/>
  <c r="G234" i="10" s="1"/>
  <c r="G190" i="10"/>
  <c r="G72" i="10"/>
  <c r="F216" i="10"/>
  <c r="G216" i="10" s="1"/>
  <c r="F160" i="10"/>
  <c r="G160" i="10" s="1"/>
  <c r="F214" i="10"/>
  <c r="G214" i="10" s="1"/>
  <c r="F195" i="10"/>
  <c r="G195" i="10" s="1"/>
  <c r="G158" i="10"/>
  <c r="F154" i="10"/>
  <c r="G154" i="10" s="1"/>
  <c r="G120" i="10"/>
  <c r="F235" i="10"/>
  <c r="G235" i="10" s="1"/>
  <c r="G197" i="10"/>
  <c r="G107" i="10"/>
  <c r="G151" i="10"/>
  <c r="F236" i="10"/>
  <c r="G236" i="10" s="1"/>
  <c r="G186" i="10"/>
  <c r="F257" i="10"/>
  <c r="G257" i="10" s="1"/>
  <c r="F157" i="10"/>
  <c r="G157" i="10" s="1"/>
  <c r="F69" i="10"/>
  <c r="G69" i="10" s="1"/>
  <c r="F56" i="10"/>
  <c r="G56" i="10" s="1"/>
  <c r="F232" i="10"/>
  <c r="G232" i="10" s="1"/>
  <c r="F137" i="10"/>
  <c r="G137" i="10" s="1"/>
  <c r="F57" i="10"/>
  <c r="G57" i="10" s="1"/>
  <c r="F78" i="10"/>
  <c r="G78" i="10" s="1"/>
  <c r="F167" i="10"/>
  <c r="G167" i="10" s="1"/>
  <c r="F117" i="10"/>
  <c r="G117" i="10" s="1"/>
  <c r="F73" i="10"/>
  <c r="G73" i="10" s="1"/>
  <c r="F127" i="10"/>
  <c r="G127" i="10" s="1"/>
  <c r="F81" i="10"/>
  <c r="G81" i="10" s="1"/>
  <c r="F243" i="10"/>
  <c r="G243" i="10" s="1"/>
  <c r="F240" i="10"/>
  <c r="G240" i="10" s="1"/>
  <c r="F162" i="10"/>
  <c r="G162" i="10" s="1"/>
  <c r="F241" i="10"/>
  <c r="G241" i="10" s="1"/>
  <c r="F62" i="10"/>
  <c r="G62" i="10" s="1"/>
  <c r="F103" i="10"/>
  <c r="G103" i="10" s="1"/>
  <c r="F155" i="10"/>
  <c r="G155" i="10" s="1"/>
  <c r="F129" i="10"/>
  <c r="G129" i="10" s="1"/>
  <c r="F53" i="10"/>
  <c r="G53" i="10" s="1"/>
  <c r="F221" i="10"/>
  <c r="G221" i="10" s="1"/>
  <c r="F98" i="10"/>
  <c r="G98" i="10" s="1"/>
  <c r="I52" i="10" l="1"/>
  <c r="I9" i="2"/>
  <c r="I10" i="2"/>
  <c r="I53" i="10"/>
  <c r="I54" i="10" s="1"/>
  <c r="I55" i="10" s="1"/>
  <c r="I56" i="10" s="1"/>
  <c r="I57" i="10" s="1"/>
  <c r="I58" i="10" s="1"/>
  <c r="I59" i="10" s="1"/>
  <c r="I60" i="10" s="1"/>
  <c r="I61" i="10" s="1"/>
  <c r="I62" i="10" s="1"/>
  <c r="I63" i="10" s="1"/>
  <c r="I64" i="10" s="1"/>
  <c r="I65" i="10" s="1"/>
  <c r="I66" i="10" s="1"/>
  <c r="I67" i="10" s="1"/>
  <c r="I68" i="10" s="1"/>
  <c r="I69" i="10" s="1"/>
  <c r="I70" i="10" s="1"/>
  <c r="I71" i="10" s="1"/>
  <c r="I72" i="10" s="1"/>
  <c r="I73" i="10" s="1"/>
  <c r="I74" i="10" s="1"/>
  <c r="I75" i="10" s="1"/>
  <c r="I76" i="10" s="1"/>
  <c r="I77" i="10" s="1"/>
  <c r="I78" i="10" s="1"/>
  <c r="I79" i="10" s="1"/>
  <c r="I80" i="10" s="1"/>
  <c r="I81" i="10" s="1"/>
  <c r="I82" i="10" s="1"/>
  <c r="I83" i="10" s="1"/>
  <c r="I84" i="10" s="1"/>
  <c r="I85" i="10" s="1"/>
  <c r="I86" i="10" s="1"/>
  <c r="I87" i="10" s="1"/>
  <c r="I88" i="10" s="1"/>
  <c r="I89" i="10" s="1"/>
  <c r="I90" i="10" s="1"/>
  <c r="I91" i="10" s="1"/>
  <c r="I92" i="10" s="1"/>
  <c r="I93" i="10" s="1"/>
  <c r="I94" i="10" s="1"/>
  <c r="I95" i="10" s="1"/>
  <c r="I96" i="10" s="1"/>
  <c r="I97" i="10" s="1"/>
  <c r="I98" i="10" s="1"/>
  <c r="I99" i="10" s="1"/>
  <c r="I100" i="10" s="1"/>
  <c r="I101" i="10" s="1"/>
  <c r="I102" i="10" s="1"/>
  <c r="I103" i="10" s="1"/>
  <c r="I104" i="10" s="1"/>
  <c r="I105" i="10" s="1"/>
  <c r="I106" i="10" s="1"/>
  <c r="I107" i="10" s="1"/>
  <c r="I108" i="10" s="1"/>
  <c r="I109" i="10" s="1"/>
  <c r="I110" i="10" s="1"/>
  <c r="I111" i="10" s="1"/>
  <c r="I112" i="10" s="1"/>
  <c r="I113" i="10" s="1"/>
  <c r="I114" i="10" s="1"/>
  <c r="I115" i="10" s="1"/>
  <c r="I116" i="10" s="1"/>
  <c r="I117" i="10" s="1"/>
  <c r="I118" i="10" s="1"/>
  <c r="I119" i="10" s="1"/>
  <c r="I120" i="10" s="1"/>
  <c r="I121" i="10" s="1"/>
  <c r="I122" i="10" s="1"/>
  <c r="I123" i="10" s="1"/>
  <c r="I124" i="10" s="1"/>
  <c r="I125" i="10" s="1"/>
  <c r="I126" i="10" s="1"/>
  <c r="I127" i="10" s="1"/>
  <c r="I128" i="10" s="1"/>
  <c r="I129" i="10" s="1"/>
  <c r="I130" i="10" s="1"/>
  <c r="I131" i="10" s="1"/>
  <c r="I132" i="10" s="1"/>
  <c r="I133" i="10" s="1"/>
  <c r="I134" i="10" s="1"/>
  <c r="I135" i="10" s="1"/>
  <c r="I136" i="10" s="1"/>
  <c r="I137" i="10" s="1"/>
  <c r="I138" i="10" s="1"/>
  <c r="I139" i="10" s="1"/>
  <c r="I140" i="10" s="1"/>
  <c r="I141" i="10" s="1"/>
  <c r="I142" i="10" s="1"/>
  <c r="I143" i="10" s="1"/>
  <c r="I144" i="10" s="1"/>
  <c r="I145" i="10" s="1"/>
  <c r="I146" i="10" s="1"/>
  <c r="I147" i="10" s="1"/>
  <c r="I148" i="10" s="1"/>
  <c r="I149" i="10" s="1"/>
  <c r="I150" i="10" s="1"/>
  <c r="I151" i="10" s="1"/>
  <c r="I152" i="10" s="1"/>
  <c r="I153" i="10" s="1"/>
  <c r="I154" i="10" s="1"/>
  <c r="I155" i="10" s="1"/>
  <c r="I156" i="10" s="1"/>
  <c r="I157" i="10" s="1"/>
  <c r="I158" i="10" s="1"/>
  <c r="I159" i="10" s="1"/>
  <c r="I160" i="10" s="1"/>
  <c r="I161" i="10" s="1"/>
  <c r="I162" i="10" s="1"/>
  <c r="I163" i="10" s="1"/>
  <c r="I164" i="10" s="1"/>
  <c r="I165" i="10" s="1"/>
  <c r="I166" i="10" s="1"/>
  <c r="I167" i="10" s="1"/>
  <c r="I168" i="10" s="1"/>
  <c r="I169" i="10" s="1"/>
  <c r="I170" i="10" s="1"/>
  <c r="I171" i="10" s="1"/>
  <c r="I172" i="10" s="1"/>
  <c r="I173" i="10" s="1"/>
  <c r="I174" i="10" s="1"/>
  <c r="I175" i="10" s="1"/>
  <c r="I176" i="10" s="1"/>
  <c r="I177" i="10" s="1"/>
  <c r="I178" i="10" s="1"/>
  <c r="I179" i="10" s="1"/>
  <c r="I180" i="10" s="1"/>
  <c r="I181" i="10" s="1"/>
  <c r="I182" i="10" s="1"/>
  <c r="I183" i="10" s="1"/>
  <c r="I184" i="10" s="1"/>
  <c r="I185" i="10" s="1"/>
  <c r="I186" i="10" s="1"/>
  <c r="I187" i="10" s="1"/>
  <c r="I188" i="10" s="1"/>
  <c r="I189" i="10" s="1"/>
  <c r="I190" i="10" s="1"/>
  <c r="I191" i="10" s="1"/>
  <c r="I192" i="10" s="1"/>
  <c r="I193" i="10" s="1"/>
  <c r="I194" i="10" s="1"/>
  <c r="I195" i="10" s="1"/>
  <c r="I196" i="10" s="1"/>
  <c r="I197" i="10" s="1"/>
  <c r="I198" i="10" s="1"/>
  <c r="I199" i="10" s="1"/>
  <c r="I200" i="10" s="1"/>
  <c r="I201" i="10" s="1"/>
  <c r="I202" i="10" s="1"/>
  <c r="I203" i="10" s="1"/>
  <c r="I204" i="10" s="1"/>
  <c r="I205" i="10" s="1"/>
  <c r="I206" i="10" s="1"/>
  <c r="I207" i="10" s="1"/>
  <c r="I208" i="10" s="1"/>
  <c r="I209" i="10" s="1"/>
  <c r="I210" i="10" s="1"/>
  <c r="I211" i="10" s="1"/>
  <c r="I212" i="10" s="1"/>
  <c r="I213" i="10" s="1"/>
  <c r="I214" i="10" s="1"/>
  <c r="I215" i="10" s="1"/>
  <c r="I216" i="10" s="1"/>
  <c r="I217" i="10" s="1"/>
  <c r="I218" i="10" s="1"/>
  <c r="I219" i="10" s="1"/>
  <c r="I220" i="10" s="1"/>
  <c r="I221" i="10" s="1"/>
  <c r="I222" i="10" s="1"/>
  <c r="I223" i="10" s="1"/>
  <c r="I224" i="10" s="1"/>
  <c r="I225" i="10" s="1"/>
  <c r="I226" i="10" s="1"/>
  <c r="I227" i="10" s="1"/>
  <c r="I228" i="10" s="1"/>
  <c r="I229" i="10" s="1"/>
  <c r="I230" i="10" s="1"/>
  <c r="I231" i="10" s="1"/>
  <c r="I232" i="10" s="1"/>
  <c r="I233" i="10" s="1"/>
  <c r="I234" i="10" s="1"/>
  <c r="I235" i="10" s="1"/>
  <c r="I236" i="10" s="1"/>
  <c r="I237" i="10" s="1"/>
  <c r="I238" i="10" s="1"/>
  <c r="I239" i="10" s="1"/>
  <c r="I240" i="10" s="1"/>
  <c r="I241" i="10" s="1"/>
  <c r="I242" i="10" s="1"/>
  <c r="I243" i="10" s="1"/>
  <c r="I244" i="10" s="1"/>
  <c r="I245" i="10" s="1"/>
  <c r="I246" i="10" s="1"/>
  <c r="I247" i="10" s="1"/>
  <c r="I248" i="10" s="1"/>
  <c r="I249" i="10" s="1"/>
  <c r="I250" i="10" s="1"/>
  <c r="I251" i="10" s="1"/>
  <c r="I252" i="10" s="1"/>
  <c r="I253" i="10" s="1"/>
  <c r="I254" i="10" s="1"/>
  <c r="I255" i="10" s="1"/>
  <c r="I256" i="10" s="1"/>
  <c r="I257" i="10" s="1"/>
  <c r="I7" i="2" s="1"/>
  <c r="I8" i="2" s="1"/>
</calcChain>
</file>

<file path=xl/comments1.xml><?xml version="1.0" encoding="utf-8"?>
<comments xmlns="http://schemas.openxmlformats.org/spreadsheetml/2006/main">
  <authors>
    <author>Unknown Author</author>
  </authors>
  <commentList>
    <comment ref="C5" authorId="0" shapeId="0">
      <text>
        <r>
          <rPr>
            <sz val="10"/>
            <rFont val="Arial"/>
            <family val="2"/>
          </rPr>
          <t>Assumption: ~3% approximates 3M HKD HIBOR / US T-bill level in 2026; edit as needed.</t>
        </r>
      </text>
    </comment>
  </commentList>
</comments>
</file>

<file path=xl/comments2.xml><?xml version="1.0" encoding="utf-8"?>
<comments xmlns="http://schemas.openxmlformats.org/spreadsheetml/2006/main">
  <authors>
    <author>Unknown Author</author>
  </authors>
  <commentList>
    <comment ref="A1" authorId="0" shapeId="0">
      <text>
        <r>
          <rPr>
            <sz val="10"/>
            <rFont val="Arial"/>
            <family val="2"/>
          </rPr>
          <t>Source: Yahoo Finance via yfinance, adjusted close (split/dividend adjusted). Pulled 20 Oct 2026.</t>
        </r>
      </text>
    </comment>
  </commentList>
</comments>
</file>

<file path=xl/sharedStrings.xml><?xml version="1.0" encoding="utf-8"?>
<sst xmlns="http://schemas.openxmlformats.org/spreadsheetml/2006/main" count="1444" uniqueCount="97">
  <si>
    <t>HK Equity Analytics Toolkit</t>
  </si>
  <si>
    <t>Excel + VBA portfolio project  |  Data: Yahoo Finance daily adjusted close, 2 Oct 2025 - 16 Oct 2026 (256 trading days)</t>
  </si>
  <si>
    <t>What it does</t>
  </si>
  <si>
    <t>1. Dashboard: pick any of 5 HK blue chips (or the HSI) from a dropdown; all KPIs, charts and an MA-crossover backtest update live.</t>
  </si>
  <si>
    <t>2. Stats: risk/return table for every ticker - annualised return &amp; volatility, Sharpe, beta vs HSI, max drawdown, 52-week range, ranking.</t>
  </si>
  <si>
    <t>3. Correlation: 6x6 correlation matrix of daily returns built with CORREL + INDEX/MATCH, colour-scaled.</t>
  </si>
  <si>
    <t>4. Monthly: formula-driven pivot - monthly returns, avg daily volume (AVERAGEIFS), up-days (COUNTIFS) by ticker x month.</t>
  </si>
  <si>
    <t>5. Data: long-format Excel Table (tblData) - the source for a native PivotTable (see "Build the PivotTable" below).</t>
  </si>
  <si>
    <t>6. VBA (StockToolkit.bas): UDFs MaxDrawdown() / AnnVol(), a macro that loops every ticker and writes a report sheet, PDF export, CSV import.</t>
  </si>
  <si>
    <t>Colour convention</t>
  </si>
  <si>
    <t>Blue text = hard-coded input  |  Black = formula  |  Green = cross-sheet link  |  Yellow fill = user input cell</t>
  </si>
  <si>
    <t>How to verify</t>
  </si>
  <si>
    <t>- Every number outside Prices/Data is a live formula (no pasted values). Click any cell to audit; Formulas &gt; Trace Precedents.</t>
  </si>
  <si>
    <t>- Spot-check prices: Yahoo Finance &gt; ticker &gt; Historical Data, e.g. 0700.HK close on 16 Oct 2026 = 417.80.</t>
  </si>
  <si>
    <t>- Change Dashboard!C4 (ticker) or C6/C7 (MA windows): the chart, signal and backtest recompute instantly.</t>
  </si>
  <si>
    <t>Key functions used</t>
  </si>
  <si>
    <t>INDEX/MATCH, OFFSET, SUMPRODUCT, AVERAGEIFS, COUNTIFS, SLOPE, CORREL, STDEV, EOMONTH, RANK, IFERROR, TEXT, data validation, conditional formatting, Excel Table, charts</t>
  </si>
  <si>
    <t>Build the PivotTable (30 sec)</t>
  </si>
  <si>
    <t>Click inside Data &gt; Insert &gt; PivotTable &gt; New sheet. Rows: Month  |  Columns: Ticker  |  Values: Daily Return (Average) and Volume (Sum).</t>
  </si>
  <si>
    <t>Add a Slicer on Ticker (PivotTable Analyze &gt; Insert Slicer). Format values as % / #,##0.</t>
  </si>
  <si>
    <t>Add the macros</t>
  </si>
  <si>
    <t>Alt+F11 &gt; File &gt; Import File &gt; StockToolkit.bas  &gt;  save as .xlsm. Run RunFullReport (Alt+F8). Use =MaxDrawdown(Prices!B2:B257) in any cell.</t>
  </si>
  <si>
    <t>Disclaimer: educational project; not investment advice.</t>
  </si>
  <si>
    <t>HK Equity Dashboard</t>
  </si>
  <si>
    <t>Change the yellow cells - everything else recalculates.</t>
  </si>
  <si>
    <t>Ticker</t>
  </si>
  <si>
    <t>0700.HK</t>
  </si>
  <si>
    <t>Key Metrics</t>
  </si>
  <si>
    <t>MA Crossover Backtest</t>
  </si>
  <si>
    <t>Risk-free rate</t>
  </si>
  <si>
    <t>Company</t>
  </si>
  <si>
    <t>Current Signal</t>
  </si>
  <si>
    <t>Short MA (days)</t>
  </si>
  <si>
    <t>Last Close (HKD)</t>
  </si>
  <si>
    <t>Buy &amp; Hold Return</t>
  </si>
  <si>
    <t>Long MA (days)</t>
  </si>
  <si>
    <t>Period Return</t>
  </si>
  <si>
    <t>MA Strategy Return</t>
  </si>
  <si>
    <t>Column index (helper)</t>
  </si>
  <si>
    <t>Ann. Volatility</t>
  </si>
  <si>
    <t>Strategy - B&amp;H</t>
  </si>
  <si>
    <t>Sharpe Ratio</t>
  </si>
  <si>
    <t># Trades</t>
  </si>
  <si>
    <t>Beta vs HSI</t>
  </si>
  <si>
    <t>% Days Invested</t>
  </si>
  <si>
    <t>Max Drawdown</t>
  </si>
  <si>
    <t>% off 52W High</t>
  </si>
  <si>
    <t>Sharpe Rank (of 6)</t>
  </si>
  <si>
    <t>Risk / Return Summary</t>
  </si>
  <si>
    <t>Period: full sample in Prices. Annualisation: 252 trading days. Risk-free rate links to Dashboard!C5.</t>
  </si>
  <si>
    <t>Name</t>
  </si>
  <si>
    <t>First Close</t>
  </si>
  <si>
    <t>Last Close</t>
  </si>
  <si>
    <t>Ann. Return</t>
  </si>
  <si>
    <t>Sharpe</t>
  </si>
  <si>
    <t>Correl vs HSI</t>
  </si>
  <si>
    <t>52W High</t>
  </si>
  <si>
    <t>52W Low</t>
  </si>
  <si>
    <t>% off High</t>
  </si>
  <si>
    <t>Sharpe Rank</t>
  </si>
  <si>
    <t>Tencent</t>
  </si>
  <si>
    <t>9988.HK</t>
  </si>
  <si>
    <t>Alibaba</t>
  </si>
  <si>
    <t>0005.HK</t>
  </si>
  <si>
    <t>HSBC</t>
  </si>
  <si>
    <t>1299.HK</t>
  </si>
  <si>
    <t>AIA</t>
  </si>
  <si>
    <t>0388.HK</t>
  </si>
  <si>
    <t>HKEX</t>
  </si>
  <si>
    <t>^HSI</t>
  </si>
  <si>
    <t>Hang Seng Index</t>
  </si>
  <si>
    <t>Notes: Ann. Return = mean daily return x 252 (arithmetic). Beta = SLOPE(stock daily ret, HSI daily ret). Max Drawdown = worst peak-to-trough on the Drawdown sheet.</t>
  </si>
  <si>
    <t>Rebased Performance (start = 100)</t>
  </si>
  <si>
    <t>Date</t>
  </si>
  <si>
    <t>Correlation Matrix - Daily Returns</t>
  </si>
  <si>
    <t>Diversification tip: pairs with the lowest correlation reduce portfolio volatility the most.</t>
  </si>
  <si>
    <t>Lowest-correlation pair (stocks only):</t>
  </si>
  <si>
    <t>Monthly Pivot (formula-driven)</t>
  </si>
  <si>
    <t>A. Monthly Return (month-end close / prior month-end close - 1)  |  Oct-26 = month-to-date</t>
  </si>
  <si>
    <t>Month</t>
  </si>
  <si>
    <t>Best month</t>
  </si>
  <si>
    <t>B. Average Daily Volume (mn shares) - AVERAGEIFS on tblData</t>
  </si>
  <si>
    <t>C. Up Days per Month - COUNTIFS on tblData</t>
  </si>
  <si>
    <t>Drawdown = price / running peak - 1</t>
  </si>
  <si>
    <t>Close</t>
  </si>
  <si>
    <t>Volume</t>
  </si>
  <si>
    <t>Daily Return</t>
  </si>
  <si>
    <t>Long format (one row per ticker-day) = PivotTable-ready. First row of each ticker has return 0.</t>
  </si>
  <si>
    <t>Price</t>
  </si>
  <si>
    <t>Daily Ret</t>
  </si>
  <si>
    <t>MA Short</t>
  </si>
  <si>
    <t>MA Long</t>
  </si>
  <si>
    <t>Position</t>
  </si>
  <si>
    <t>Strategy Ret</t>
  </si>
  <si>
    <t>Buy &amp; Hold (100)</t>
  </si>
  <si>
    <t>MA Strategy (100)</t>
  </si>
  <si>
    <t>Position = 1 (long) when yesterday MA Short &gt; MA Long, else 0 (cash). Uses prior-day signal to avoid look-ahead bias. Signals start after the long-MA warm-up.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</si>
</sst>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%"/>
    <numFmt numFmtId="177" formatCode="0.0%;\(0.0%\);\-"/>
    <numFmt numFmtId="178" formatCode="yyyy\-mm\-dd"/>
    <numFmt numFmtId="179" formatCode="0.0"/>
    <numFmt numFmtId="180" formatCode="#,##0.0"/>
  </numFmts>
  <fonts count="13" x14ac:knownFonts="1">
    <font>
      <sz val="11"/>
      <color theme="1"/>
      <name val="Calibri"/>
      <family val="2"/>
      <charset val="1"/>
    </font>
    <font>
      <sz val="10"/>
      <name val="Arial"/>
      <family val="2"/>
    </font>
    <font>
      <sz val="11"/>
      <color theme="1"/>
      <name val="Arial"/>
      <family val="2"/>
    </font>
    <font>
      <b/>
      <sz val="16"/>
      <color rgb="FF1F386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9"/>
      <color rgb="FF808080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sz val="9"/>
      <color rgb="FF808080"/>
      <name val="Arial"/>
      <family val="2"/>
    </font>
    <font>
      <i/>
      <sz val="9"/>
      <name val="Arial"/>
      <family val="2"/>
    </font>
    <font>
      <b/>
      <sz val="10"/>
      <color rgb="FFFFFFFF"/>
      <name val="Arial"/>
      <family val="2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F2F2"/>
        <bgColor rgb="FFFFFFFF"/>
      </patternFill>
    </fill>
    <fill>
      <patternFill patternType="solid">
        <fgColor rgb="FF1F3864"/>
        <bgColor rgb="FF333333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2" borderId="1" xfId="0" applyFont="1" applyFill="1" applyBorder="1"/>
    <xf numFmtId="176" fontId="7" fillId="2" borderId="1" xfId="0" applyNumberFormat="1" applyFont="1" applyFill="1" applyBorder="1"/>
    <xf numFmtId="0" fontId="2" fillId="3" borderId="1" xfId="0" applyFont="1" applyFill="1" applyBorder="1"/>
    <xf numFmtId="0" fontId="8" fillId="0" borderId="1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1" fontId="7" fillId="2" borderId="1" xfId="0" applyNumberFormat="1" applyFont="1" applyFill="1" applyBorder="1"/>
    <xf numFmtId="4" fontId="8" fillId="0" borderId="1" xfId="0" applyNumberFormat="1" applyFont="1" applyBorder="1" applyAlignment="1">
      <alignment horizontal="right"/>
    </xf>
    <xf numFmtId="177" fontId="2" fillId="0" borderId="1" xfId="0" applyNumberFormat="1" applyFont="1" applyBorder="1" applyAlignment="1">
      <alignment horizontal="right"/>
    </xf>
    <xf numFmtId="177" fontId="8" fillId="0" borderId="1" xfId="0" applyNumberFormat="1" applyFont="1" applyBorder="1" applyAlignment="1">
      <alignment horizontal="right"/>
    </xf>
    <xf numFmtId="0" fontId="9" fillId="0" borderId="0" xfId="0" applyFont="1"/>
    <xf numFmtId="2" fontId="8" fillId="0" borderId="1" xfId="0" applyNumberFormat="1" applyFont="1" applyBorder="1" applyAlignment="1">
      <alignment horizontal="right"/>
    </xf>
    <xf numFmtId="1" fontId="2" fillId="0" borderId="1" xfId="0" applyNumberFormat="1" applyFont="1" applyBorder="1" applyAlignment="1">
      <alignment horizontal="right"/>
    </xf>
    <xf numFmtId="1" fontId="8" fillId="0" borderId="1" xfId="0" applyNumberFormat="1" applyFont="1" applyBorder="1" applyAlignment="1">
      <alignment horizontal="right"/>
    </xf>
    <xf numFmtId="0" fontId="10" fillId="0" borderId="0" xfId="0" applyFont="1"/>
    <xf numFmtId="0" fontId="11" fillId="4" borderId="0" xfId="0" applyFont="1" applyFill="1" applyAlignment="1">
      <alignment horizontal="center" vertical="center" wrapText="1"/>
    </xf>
    <xf numFmtId="0" fontId="7" fillId="0" borderId="1" xfId="0" applyFont="1" applyBorder="1"/>
    <xf numFmtId="4" fontId="2" fillId="0" borderId="1" xfId="0" applyNumberFormat="1" applyFont="1" applyBorder="1"/>
    <xf numFmtId="177" fontId="2" fillId="0" borderId="1" xfId="0" applyNumberFormat="1" applyFont="1" applyBorder="1"/>
    <xf numFmtId="2" fontId="2" fillId="0" borderId="1" xfId="0" applyNumberFormat="1" applyFont="1" applyBorder="1"/>
    <xf numFmtId="0" fontId="2" fillId="0" borderId="1" xfId="0" applyFont="1" applyBorder="1"/>
    <xf numFmtId="178" fontId="2" fillId="0" borderId="0" xfId="0" applyNumberFormat="1" applyFont="1"/>
    <xf numFmtId="179" fontId="2" fillId="0" borderId="0" xfId="0" applyNumberFormat="1" applyFont="1"/>
    <xf numFmtId="0" fontId="11" fillId="4" borderId="0" xfId="0" applyFont="1" applyFill="1"/>
    <xf numFmtId="2" fontId="2" fillId="0" borderId="1" xfId="0" applyNumberFormat="1" applyFont="1" applyBorder="1" applyAlignment="1">
      <alignment horizontal="center"/>
    </xf>
    <xf numFmtId="2" fontId="2" fillId="0" borderId="0" xfId="0" applyNumberFormat="1" applyFont="1"/>
    <xf numFmtId="17" fontId="7" fillId="0" borderId="0" xfId="0" applyNumberFormat="1" applyFont="1"/>
    <xf numFmtId="17" fontId="5" fillId="0" borderId="0" xfId="0" applyNumberFormat="1" applyFont="1"/>
    <xf numFmtId="180" fontId="2" fillId="0" borderId="1" xfId="0" applyNumberFormat="1" applyFont="1" applyBorder="1"/>
    <xf numFmtId="1" fontId="2" fillId="0" borderId="1" xfId="0" applyNumberFormat="1" applyFont="1" applyBorder="1"/>
    <xf numFmtId="4" fontId="7" fillId="0" borderId="0" xfId="0" applyNumberFormat="1" applyFont="1"/>
    <xf numFmtId="10" fontId="2" fillId="0" borderId="0" xfId="0" applyNumberFormat="1" applyFont="1"/>
    <xf numFmtId="177" fontId="2" fillId="0" borderId="0" xfId="0" applyNumberFormat="1" applyFont="1"/>
    <xf numFmtId="0" fontId="7" fillId="0" borderId="0" xfId="0" applyFont="1"/>
    <xf numFmtId="3" fontId="7" fillId="0" borderId="0" xfId="0" applyNumberFormat="1" applyFont="1"/>
    <xf numFmtId="4" fontId="8" fillId="0" borderId="0" xfId="0" applyNumberFormat="1" applyFont="1"/>
    <xf numFmtId="4" fontId="2" fillId="0" borderId="0" xfId="0" applyNumberFormat="1" applyFont="1"/>
  </cellXfs>
  <cellStyles count="1">
    <cellStyle name="常规" xfId="0" builtinId="0"/>
  </cellStyles>
  <dxfs count="3">
    <dxf>
      <font>
        <color rgb="FFC00000"/>
        <name val="Arial"/>
      </font>
    </dxf>
    <dxf>
      <font>
        <b/>
        <color rgb="FF9C0006"/>
        <name val="Arial"/>
      </font>
      <fill>
        <patternFill>
          <bgColor rgb="FFFFC7CE"/>
        </patternFill>
      </fill>
    </dxf>
    <dxf>
      <font>
        <b/>
        <color rgb="FF006100"/>
        <name val="Arial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BE4B48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4A7EBB"/>
      <rgbColor rgb="FF46AAC4"/>
      <rgbColor rgb="FF98B855"/>
      <rgbColor rgb="FFFFCC00"/>
      <rgbColor rgb="FFF59240"/>
      <rgbColor rgb="FFFF6600"/>
      <rgbColor rgb="FF7D5FA0"/>
      <rgbColor rgb="FF878787"/>
      <rgbColor rgb="FF1F3864"/>
      <rgbColor rgb="FF339966"/>
      <rgbColor rgb="FF0061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Price vs Moving Averages (selected ticker)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Calc!$B$1</c:f>
              <c:strCache>
                <c:ptCount val="1"/>
                <c:pt idx="0">
                  <c:v>Price</c:v>
                </c:pt>
              </c:strCache>
            </c:strRef>
          </c:tx>
          <c:spPr>
            <a:ln w="1512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Calc!$A$2:$A$257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Calc!$B$2:$B$257</c:f>
              <c:numCache>
                <c:formatCode>#,##0.00</c:formatCode>
                <c:ptCount val="256"/>
                <c:pt idx="0">
                  <c:v>668.70889999999997</c:v>
                </c:pt>
                <c:pt idx="1">
                  <c:v>665.74350000000004</c:v>
                </c:pt>
                <c:pt idx="2">
                  <c:v>669.69740000000002</c:v>
                </c:pt>
                <c:pt idx="3">
                  <c:v>667.22619999999995</c:v>
                </c:pt>
                <c:pt idx="4">
                  <c:v>667.72050000000002</c:v>
                </c:pt>
                <c:pt idx="5">
                  <c:v>643.99680000000001</c:v>
                </c:pt>
                <c:pt idx="6">
                  <c:v>631.64080000000001</c:v>
                </c:pt>
                <c:pt idx="7">
                  <c:v>613.84810000000004</c:v>
                </c:pt>
                <c:pt idx="8">
                  <c:v>619.779</c:v>
                </c:pt>
                <c:pt idx="9">
                  <c:v>612.8596</c:v>
                </c:pt>
                <c:pt idx="10">
                  <c:v>600.99779999999998</c:v>
                </c:pt>
                <c:pt idx="11">
                  <c:v>620.27329999999995</c:v>
                </c:pt>
                <c:pt idx="12">
                  <c:v>623.23869999999999</c:v>
                </c:pt>
                <c:pt idx="13">
                  <c:v>616.3193</c:v>
                </c:pt>
                <c:pt idx="14">
                  <c:v>625.70989999999995</c:v>
                </c:pt>
                <c:pt idx="15">
                  <c:v>630.15809999999999</c:v>
                </c:pt>
                <c:pt idx="16">
                  <c:v>648.44500000000005</c:v>
                </c:pt>
                <c:pt idx="17">
                  <c:v>637.57169999999996</c:v>
                </c:pt>
                <c:pt idx="18">
                  <c:v>643.50260000000003</c:v>
                </c:pt>
                <c:pt idx="19">
                  <c:v>621.75599999999997</c:v>
                </c:pt>
                <c:pt idx="20">
                  <c:v>620.76750000000004</c:v>
                </c:pt>
                <c:pt idx="21">
                  <c:v>621.75599999999997</c:v>
                </c:pt>
                <c:pt idx="22">
                  <c:v>621.75599999999997</c:v>
                </c:pt>
                <c:pt idx="23">
                  <c:v>636.58320000000003</c:v>
                </c:pt>
                <c:pt idx="24">
                  <c:v>626.69839999999999</c:v>
                </c:pt>
                <c:pt idx="25">
                  <c:v>642.01990000000001</c:v>
                </c:pt>
                <c:pt idx="26">
                  <c:v>642.51409999999998</c:v>
                </c:pt>
                <c:pt idx="27">
                  <c:v>649.43349999999998</c:v>
                </c:pt>
                <c:pt idx="28">
                  <c:v>648.44500000000005</c:v>
                </c:pt>
                <c:pt idx="29">
                  <c:v>633.61770000000001</c:v>
                </c:pt>
                <c:pt idx="30">
                  <c:v>629.16959999999995</c:v>
                </c:pt>
                <c:pt idx="31">
                  <c:v>616.3193</c:v>
                </c:pt>
                <c:pt idx="32">
                  <c:v>615.33079999999995</c:v>
                </c:pt>
                <c:pt idx="33">
                  <c:v>613.84810000000004</c:v>
                </c:pt>
                <c:pt idx="34">
                  <c:v>602.97479999999996</c:v>
                </c:pt>
                <c:pt idx="35">
                  <c:v>617.30780000000004</c:v>
                </c:pt>
                <c:pt idx="36">
                  <c:v>617.80200000000002</c:v>
                </c:pt>
                <c:pt idx="37">
                  <c:v>612.36540000000002</c:v>
                </c:pt>
                <c:pt idx="38">
                  <c:v>604.45749999999998</c:v>
                </c:pt>
                <c:pt idx="39">
                  <c:v>604.45749999999998</c:v>
                </c:pt>
                <c:pt idx="40">
                  <c:v>612.36540000000002</c:v>
                </c:pt>
                <c:pt idx="41">
                  <c:v>609.89419999999996</c:v>
                </c:pt>
                <c:pt idx="42">
                  <c:v>603.9633</c:v>
                </c:pt>
                <c:pt idx="43">
                  <c:v>604.95169999999996</c:v>
                </c:pt>
                <c:pt idx="44">
                  <c:v>602.97479999999996</c:v>
                </c:pt>
                <c:pt idx="45">
                  <c:v>598.03229999999996</c:v>
                </c:pt>
                <c:pt idx="46">
                  <c:v>595.56119999999999</c:v>
                </c:pt>
                <c:pt idx="47">
                  <c:v>596.05539999999996</c:v>
                </c:pt>
                <c:pt idx="48">
                  <c:v>594.57270000000005</c:v>
                </c:pt>
                <c:pt idx="49">
                  <c:v>608.90570000000002</c:v>
                </c:pt>
                <c:pt idx="50">
                  <c:v>596.05539999999996</c:v>
                </c:pt>
                <c:pt idx="51">
                  <c:v>589.63019999999995</c:v>
                </c:pt>
                <c:pt idx="52">
                  <c:v>598.03229999999996</c:v>
                </c:pt>
                <c:pt idx="53">
                  <c:v>598.03229999999996</c:v>
                </c:pt>
                <c:pt idx="54">
                  <c:v>606.92870000000005</c:v>
                </c:pt>
                <c:pt idx="55">
                  <c:v>607.423</c:v>
                </c:pt>
                <c:pt idx="56">
                  <c:v>595.06690000000003</c:v>
                </c:pt>
                <c:pt idx="57">
                  <c:v>595.56119999999999</c:v>
                </c:pt>
                <c:pt idx="58">
                  <c:v>589.63019999999995</c:v>
                </c:pt>
                <c:pt idx="59">
                  <c:v>593.09</c:v>
                </c:pt>
                <c:pt idx="60">
                  <c:v>592.10140000000001</c:v>
                </c:pt>
                <c:pt idx="61">
                  <c:v>615.82510000000002</c:v>
                </c:pt>
                <c:pt idx="62">
                  <c:v>617.30780000000004</c:v>
                </c:pt>
                <c:pt idx="63">
                  <c:v>625.21559999999999</c:v>
                </c:pt>
                <c:pt idx="64">
                  <c:v>617.30780000000004</c:v>
                </c:pt>
                <c:pt idx="65">
                  <c:v>608.90570000000002</c:v>
                </c:pt>
                <c:pt idx="66">
                  <c:v>603.9633</c:v>
                </c:pt>
                <c:pt idx="67">
                  <c:v>615.82510000000002</c:v>
                </c:pt>
                <c:pt idx="68">
                  <c:v>620.27329999999995</c:v>
                </c:pt>
                <c:pt idx="69">
                  <c:v>625.70989999999995</c:v>
                </c:pt>
                <c:pt idx="70">
                  <c:v>614.83659999999998</c:v>
                </c:pt>
                <c:pt idx="71">
                  <c:v>610.38840000000005</c:v>
                </c:pt>
                <c:pt idx="72">
                  <c:v>602.97479999999996</c:v>
                </c:pt>
                <c:pt idx="73">
                  <c:v>594.07839999999999</c:v>
                </c:pt>
                <c:pt idx="74">
                  <c:v>595.56119999999999</c:v>
                </c:pt>
                <c:pt idx="75">
                  <c:v>590.61869999999999</c:v>
                </c:pt>
                <c:pt idx="76">
                  <c:v>588.14750000000004</c:v>
                </c:pt>
                <c:pt idx="77">
                  <c:v>592.59569999999997</c:v>
                </c:pt>
                <c:pt idx="78">
                  <c:v>600.00930000000005</c:v>
                </c:pt>
                <c:pt idx="79">
                  <c:v>613.84810000000004</c:v>
                </c:pt>
                <c:pt idx="80">
                  <c:v>614.83659999999998</c:v>
                </c:pt>
                <c:pt idx="81">
                  <c:v>599.02089999999998</c:v>
                </c:pt>
                <c:pt idx="82">
                  <c:v>591.60720000000003</c:v>
                </c:pt>
                <c:pt idx="83">
                  <c:v>574.30880000000002</c:v>
                </c:pt>
                <c:pt idx="84">
                  <c:v>551.57370000000003</c:v>
                </c:pt>
                <c:pt idx="85">
                  <c:v>552.06790000000001</c:v>
                </c:pt>
                <c:pt idx="86">
                  <c:v>541.19460000000004</c:v>
                </c:pt>
                <c:pt idx="87">
                  <c:v>553.55060000000003</c:v>
                </c:pt>
                <c:pt idx="88">
                  <c:v>544.65430000000003</c:v>
                </c:pt>
                <c:pt idx="89">
                  <c:v>541.68880000000001</c:v>
                </c:pt>
                <c:pt idx="90">
                  <c:v>529.33280000000002</c:v>
                </c:pt>
                <c:pt idx="91">
                  <c:v>525.87310000000002</c:v>
                </c:pt>
                <c:pt idx="92">
                  <c:v>528.34429999999998</c:v>
                </c:pt>
                <c:pt idx="93">
                  <c:v>515.98829999999998</c:v>
                </c:pt>
                <c:pt idx="94">
                  <c:v>531.80399999999997</c:v>
                </c:pt>
                <c:pt idx="95">
                  <c:v>514.01130000000001</c:v>
                </c:pt>
                <c:pt idx="96">
                  <c:v>516.48249999999996</c:v>
                </c:pt>
                <c:pt idx="97">
                  <c:v>506.10340000000002</c:v>
                </c:pt>
                <c:pt idx="98">
                  <c:v>512.03430000000003</c:v>
                </c:pt>
                <c:pt idx="99">
                  <c:v>508.0804</c:v>
                </c:pt>
                <c:pt idx="100">
                  <c:v>504.6207</c:v>
                </c:pt>
                <c:pt idx="101">
                  <c:v>500.17250000000001</c:v>
                </c:pt>
                <c:pt idx="102">
                  <c:v>496.21859999999998</c:v>
                </c:pt>
                <c:pt idx="103">
                  <c:v>513.02279999999996</c:v>
                </c:pt>
                <c:pt idx="104">
                  <c:v>510.0573</c:v>
                </c:pt>
                <c:pt idx="105">
                  <c:v>547.12549999999999</c:v>
                </c:pt>
                <c:pt idx="106">
                  <c:v>545.64279999999997</c:v>
                </c:pt>
                <c:pt idx="107">
                  <c:v>540.20609999999999</c:v>
                </c:pt>
                <c:pt idx="108">
                  <c:v>541.19460000000004</c:v>
                </c:pt>
                <c:pt idx="109">
                  <c:v>552.06790000000001</c:v>
                </c:pt>
                <c:pt idx="110">
                  <c:v>543.66579999999999</c:v>
                </c:pt>
                <c:pt idx="111">
                  <c:v>544.16</c:v>
                </c:pt>
                <c:pt idx="112">
                  <c:v>507.09190000000001</c:v>
                </c:pt>
                <c:pt idx="113">
                  <c:v>502.14949999999999</c:v>
                </c:pt>
                <c:pt idx="114">
                  <c:v>492.66</c:v>
                </c:pt>
                <c:pt idx="115">
                  <c:v>508.0804</c:v>
                </c:pt>
                <c:pt idx="116">
                  <c:v>499.67829999999998</c:v>
                </c:pt>
                <c:pt idx="117">
                  <c:v>489.89229999999998</c:v>
                </c:pt>
                <c:pt idx="118">
                  <c:v>487.7176</c:v>
                </c:pt>
                <c:pt idx="119">
                  <c:v>476.05349999999999</c:v>
                </c:pt>
                <c:pt idx="120">
                  <c:v>478.42590000000001</c:v>
                </c:pt>
                <c:pt idx="121">
                  <c:v>490.88080000000002</c:v>
                </c:pt>
                <c:pt idx="122">
                  <c:v>483.56599999999997</c:v>
                </c:pt>
                <c:pt idx="123">
                  <c:v>502.14949999999999</c:v>
                </c:pt>
                <c:pt idx="124">
                  <c:v>502.64370000000002</c:v>
                </c:pt>
                <c:pt idx="125">
                  <c:v>498.68979999999999</c:v>
                </c:pt>
                <c:pt idx="126">
                  <c:v>484.35680000000002</c:v>
                </c:pt>
                <c:pt idx="127">
                  <c:v>487.52</c:v>
                </c:pt>
                <c:pt idx="128">
                  <c:v>493.25310000000002</c:v>
                </c:pt>
                <c:pt idx="129">
                  <c:v>511.04579999999999</c:v>
                </c:pt>
                <c:pt idx="130">
                  <c:v>504.6207</c:v>
                </c:pt>
                <c:pt idx="131">
                  <c:v>516.48249999999996</c:v>
                </c:pt>
                <c:pt idx="132">
                  <c:v>513.02279999999996</c:v>
                </c:pt>
                <c:pt idx="133">
                  <c:v>498.19560000000001</c:v>
                </c:pt>
                <c:pt idx="134">
                  <c:v>489.49689999999998</c:v>
                </c:pt>
                <c:pt idx="135">
                  <c:v>487.7176</c:v>
                </c:pt>
                <c:pt idx="136">
                  <c:v>473.0881</c:v>
                </c:pt>
                <c:pt idx="137">
                  <c:v>468.34339999999997</c:v>
                </c:pt>
                <c:pt idx="138">
                  <c:v>473.68119999999999</c:v>
                </c:pt>
                <c:pt idx="139">
                  <c:v>462.41239999999999</c:v>
                </c:pt>
                <c:pt idx="140">
                  <c:v>467.55259999999998</c:v>
                </c:pt>
                <c:pt idx="141">
                  <c:v>466.76179999999999</c:v>
                </c:pt>
                <c:pt idx="142">
                  <c:v>457.6678</c:v>
                </c:pt>
                <c:pt idx="143">
                  <c:v>471.90190000000001</c:v>
                </c:pt>
                <c:pt idx="144">
                  <c:v>465.971</c:v>
                </c:pt>
                <c:pt idx="145">
                  <c:v>459.05160000000001</c:v>
                </c:pt>
                <c:pt idx="146">
                  <c:v>451.93450000000001</c:v>
                </c:pt>
                <c:pt idx="147">
                  <c:v>457.2724</c:v>
                </c:pt>
                <c:pt idx="148">
                  <c:v>454.9</c:v>
                </c:pt>
                <c:pt idx="149">
                  <c:v>456.4</c:v>
                </c:pt>
                <c:pt idx="150">
                  <c:v>449.2</c:v>
                </c:pt>
                <c:pt idx="151">
                  <c:v>460</c:v>
                </c:pt>
                <c:pt idx="152">
                  <c:v>455.2</c:v>
                </c:pt>
                <c:pt idx="153">
                  <c:v>439</c:v>
                </c:pt>
                <c:pt idx="154">
                  <c:v>441.4</c:v>
                </c:pt>
                <c:pt idx="155">
                  <c:v>439</c:v>
                </c:pt>
                <c:pt idx="156">
                  <c:v>434.4</c:v>
                </c:pt>
                <c:pt idx="157">
                  <c:v>425</c:v>
                </c:pt>
                <c:pt idx="158">
                  <c:v>427.2</c:v>
                </c:pt>
                <c:pt idx="159">
                  <c:v>436</c:v>
                </c:pt>
                <c:pt idx="160">
                  <c:v>481.6</c:v>
                </c:pt>
                <c:pt idx="161">
                  <c:v>466.4</c:v>
                </c:pt>
                <c:pt idx="162">
                  <c:v>459</c:v>
                </c:pt>
                <c:pt idx="163">
                  <c:v>453.2</c:v>
                </c:pt>
                <c:pt idx="164">
                  <c:v>446.4</c:v>
                </c:pt>
                <c:pt idx="165">
                  <c:v>453.2</c:v>
                </c:pt>
                <c:pt idx="166">
                  <c:v>465.6</c:v>
                </c:pt>
                <c:pt idx="167">
                  <c:v>457.2</c:v>
                </c:pt>
                <c:pt idx="168">
                  <c:v>463.6</c:v>
                </c:pt>
                <c:pt idx="169">
                  <c:v>459.6</c:v>
                </c:pt>
                <c:pt idx="170">
                  <c:v>447.4</c:v>
                </c:pt>
                <c:pt idx="171">
                  <c:v>445.4</c:v>
                </c:pt>
                <c:pt idx="172">
                  <c:v>440.2</c:v>
                </c:pt>
                <c:pt idx="173">
                  <c:v>433</c:v>
                </c:pt>
                <c:pt idx="174">
                  <c:v>414.8</c:v>
                </c:pt>
                <c:pt idx="175">
                  <c:v>428.8</c:v>
                </c:pt>
                <c:pt idx="176">
                  <c:v>421.4</c:v>
                </c:pt>
                <c:pt idx="177">
                  <c:v>411.8</c:v>
                </c:pt>
                <c:pt idx="178">
                  <c:v>420.2</c:v>
                </c:pt>
                <c:pt idx="179">
                  <c:v>429.8</c:v>
                </c:pt>
                <c:pt idx="180">
                  <c:v>430.2</c:v>
                </c:pt>
                <c:pt idx="181">
                  <c:v>431.2</c:v>
                </c:pt>
                <c:pt idx="182">
                  <c:v>452</c:v>
                </c:pt>
                <c:pt idx="183">
                  <c:v>461.2</c:v>
                </c:pt>
                <c:pt idx="184">
                  <c:v>478.8</c:v>
                </c:pt>
                <c:pt idx="185">
                  <c:v>469.6</c:v>
                </c:pt>
                <c:pt idx="186">
                  <c:v>460.2</c:v>
                </c:pt>
                <c:pt idx="187">
                  <c:v>457.6</c:v>
                </c:pt>
                <c:pt idx="188">
                  <c:v>456.2</c:v>
                </c:pt>
                <c:pt idx="189">
                  <c:v>474</c:v>
                </c:pt>
                <c:pt idx="190">
                  <c:v>484</c:v>
                </c:pt>
                <c:pt idx="191">
                  <c:v>461.6</c:v>
                </c:pt>
                <c:pt idx="192">
                  <c:v>477.8</c:v>
                </c:pt>
                <c:pt idx="193">
                  <c:v>474</c:v>
                </c:pt>
                <c:pt idx="194">
                  <c:v>440.6</c:v>
                </c:pt>
                <c:pt idx="195">
                  <c:v>445.2</c:v>
                </c:pt>
                <c:pt idx="196">
                  <c:v>434.6</c:v>
                </c:pt>
                <c:pt idx="197">
                  <c:v>443</c:v>
                </c:pt>
                <c:pt idx="198">
                  <c:v>447.2</c:v>
                </c:pt>
                <c:pt idx="199">
                  <c:v>466.4</c:v>
                </c:pt>
                <c:pt idx="200">
                  <c:v>471.8</c:v>
                </c:pt>
                <c:pt idx="201">
                  <c:v>475.2</c:v>
                </c:pt>
                <c:pt idx="202">
                  <c:v>490.4</c:v>
                </c:pt>
                <c:pt idx="203">
                  <c:v>487.6</c:v>
                </c:pt>
                <c:pt idx="204">
                  <c:v>492.2</c:v>
                </c:pt>
                <c:pt idx="205">
                  <c:v>479.2</c:v>
                </c:pt>
                <c:pt idx="206">
                  <c:v>478.8</c:v>
                </c:pt>
                <c:pt idx="207">
                  <c:v>481.4</c:v>
                </c:pt>
                <c:pt idx="208">
                  <c:v>470.8</c:v>
                </c:pt>
                <c:pt idx="209">
                  <c:v>461.6</c:v>
                </c:pt>
                <c:pt idx="210">
                  <c:v>441</c:v>
                </c:pt>
                <c:pt idx="211">
                  <c:v>440</c:v>
                </c:pt>
                <c:pt idx="212">
                  <c:v>446.4</c:v>
                </c:pt>
                <c:pt idx="213">
                  <c:v>442.4</c:v>
                </c:pt>
                <c:pt idx="214">
                  <c:v>447.2</c:v>
                </c:pt>
                <c:pt idx="215">
                  <c:v>451.4</c:v>
                </c:pt>
                <c:pt idx="216">
                  <c:v>457</c:v>
                </c:pt>
                <c:pt idx="217">
                  <c:v>440</c:v>
                </c:pt>
                <c:pt idx="218">
                  <c:v>442</c:v>
                </c:pt>
                <c:pt idx="219">
                  <c:v>445.4</c:v>
                </c:pt>
                <c:pt idx="220">
                  <c:v>447.8</c:v>
                </c:pt>
                <c:pt idx="221">
                  <c:v>455.2</c:v>
                </c:pt>
                <c:pt idx="222">
                  <c:v>453</c:v>
                </c:pt>
                <c:pt idx="223">
                  <c:v>441.4</c:v>
                </c:pt>
                <c:pt idx="224">
                  <c:v>438.2</c:v>
                </c:pt>
                <c:pt idx="225">
                  <c:v>433</c:v>
                </c:pt>
                <c:pt idx="226">
                  <c:v>442.8</c:v>
                </c:pt>
                <c:pt idx="227">
                  <c:v>438.4</c:v>
                </c:pt>
                <c:pt idx="228">
                  <c:v>435.4</c:v>
                </c:pt>
                <c:pt idx="229">
                  <c:v>434</c:v>
                </c:pt>
                <c:pt idx="230">
                  <c:v>425.6</c:v>
                </c:pt>
                <c:pt idx="231">
                  <c:v>428.4</c:v>
                </c:pt>
                <c:pt idx="232">
                  <c:v>430.6</c:v>
                </c:pt>
                <c:pt idx="233">
                  <c:v>438.8</c:v>
                </c:pt>
                <c:pt idx="234">
                  <c:v>433.4</c:v>
                </c:pt>
                <c:pt idx="235">
                  <c:v>426</c:v>
                </c:pt>
                <c:pt idx="236">
                  <c:v>419</c:v>
                </c:pt>
                <c:pt idx="237">
                  <c:v>430</c:v>
                </c:pt>
                <c:pt idx="238">
                  <c:v>451.6</c:v>
                </c:pt>
                <c:pt idx="239">
                  <c:v>441</c:v>
                </c:pt>
                <c:pt idx="240">
                  <c:v>438.4</c:v>
                </c:pt>
                <c:pt idx="241">
                  <c:v>436.6</c:v>
                </c:pt>
                <c:pt idx="242">
                  <c:v>439.8</c:v>
                </c:pt>
                <c:pt idx="243">
                  <c:v>432</c:v>
                </c:pt>
                <c:pt idx="244">
                  <c:v>431</c:v>
                </c:pt>
                <c:pt idx="245">
                  <c:v>421.2</c:v>
                </c:pt>
                <c:pt idx="246">
                  <c:v>423</c:v>
                </c:pt>
                <c:pt idx="247">
                  <c:v>428.2</c:v>
                </c:pt>
                <c:pt idx="248">
                  <c:v>420.6</c:v>
                </c:pt>
                <c:pt idx="249">
                  <c:v>411.4</c:v>
                </c:pt>
                <c:pt idx="250">
                  <c:v>424.8</c:v>
                </c:pt>
                <c:pt idx="251">
                  <c:v>425.8</c:v>
                </c:pt>
                <c:pt idx="252">
                  <c:v>425.2</c:v>
                </c:pt>
                <c:pt idx="253">
                  <c:v>423.4</c:v>
                </c:pt>
                <c:pt idx="254">
                  <c:v>417.8</c:v>
                </c:pt>
                <c:pt idx="255">
                  <c:v>417.8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2-4C10-87A7-0AC1D0D412A3}"/>
            </c:ext>
          </c:extLst>
        </c:ser>
        <c:ser>
          <c:idx val="1"/>
          <c:order val="1"/>
          <c:tx>
            <c:strRef>
              <c:f>Calc!$D$1</c:f>
              <c:strCache>
                <c:ptCount val="1"/>
                <c:pt idx="0">
                  <c:v>MA Short</c:v>
                </c:pt>
              </c:strCache>
            </c:strRef>
          </c:tx>
          <c:spPr>
            <a:ln w="15120">
              <a:solidFill>
                <a:srgbClr val="BE4B48"/>
              </a:solidFill>
              <a:prstDash val="dash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Calc!$A$2:$A$257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Calc!$D$2:$D$257</c:f>
              <c:numCache>
                <c:formatCode>#,##0.00</c:formatCode>
                <c:ptCount val="256"/>
                <c:pt idx="0">
                  <c:v>668.70889999999997</c:v>
                </c:pt>
                <c:pt idx="1">
                  <c:v>667.22620000000006</c:v>
                </c:pt>
                <c:pt idx="2">
                  <c:v>668.04993333333334</c:v>
                </c:pt>
                <c:pt idx="3">
                  <c:v>667.84400000000005</c:v>
                </c:pt>
                <c:pt idx="4">
                  <c:v>667.8193</c:v>
                </c:pt>
                <c:pt idx="5">
                  <c:v>663.84888333333333</c:v>
                </c:pt>
                <c:pt idx="6">
                  <c:v>659.24772857142852</c:v>
                </c:pt>
                <c:pt idx="7">
                  <c:v>653.57277499999998</c:v>
                </c:pt>
                <c:pt idx="8">
                  <c:v>649.81791111111102</c:v>
                </c:pt>
                <c:pt idx="9">
                  <c:v>646.12207999999987</c:v>
                </c:pt>
                <c:pt idx="10">
                  <c:v>642.01987272727263</c:v>
                </c:pt>
                <c:pt idx="11">
                  <c:v>640.20765833333326</c:v>
                </c:pt>
                <c:pt idx="12">
                  <c:v>638.9023538461538</c:v>
                </c:pt>
                <c:pt idx="13">
                  <c:v>637.28927857142844</c:v>
                </c:pt>
                <c:pt idx="14">
                  <c:v>636.51731999999981</c:v>
                </c:pt>
                <c:pt idx="15">
                  <c:v>636.11986874999991</c:v>
                </c:pt>
                <c:pt idx="16">
                  <c:v>636.84487647058813</c:v>
                </c:pt>
                <c:pt idx="17">
                  <c:v>636.88525555555543</c:v>
                </c:pt>
                <c:pt idx="18">
                  <c:v>637.2335368421052</c:v>
                </c:pt>
                <c:pt idx="19">
                  <c:v>636.45965999999987</c:v>
                </c:pt>
                <c:pt idx="20">
                  <c:v>634.06258999999989</c:v>
                </c:pt>
                <c:pt idx="21">
                  <c:v>631.86321499999997</c:v>
                </c:pt>
                <c:pt idx="22">
                  <c:v>629.46614499999987</c:v>
                </c:pt>
                <c:pt idx="23">
                  <c:v>627.93399499999975</c:v>
                </c:pt>
                <c:pt idx="24">
                  <c:v>625.88288999999975</c:v>
                </c:pt>
                <c:pt idx="25">
                  <c:v>625.78404499999988</c:v>
                </c:pt>
                <c:pt idx="26">
                  <c:v>626.3277099999998</c:v>
                </c:pt>
                <c:pt idx="27">
                  <c:v>628.10697999999979</c:v>
                </c:pt>
                <c:pt idx="28">
                  <c:v>629.54027999999994</c:v>
                </c:pt>
                <c:pt idx="29">
                  <c:v>630.57818499999996</c:v>
                </c:pt>
                <c:pt idx="30">
                  <c:v>631.98677499999997</c:v>
                </c:pt>
                <c:pt idx="31">
                  <c:v>631.78907499999991</c:v>
                </c:pt>
                <c:pt idx="32">
                  <c:v>631.3936799999999</c:v>
                </c:pt>
                <c:pt idx="33">
                  <c:v>631.27011999999991</c:v>
                </c:pt>
                <c:pt idx="34">
                  <c:v>630.13336499999991</c:v>
                </c:pt>
                <c:pt idx="35">
                  <c:v>629.49084999999991</c:v>
                </c:pt>
                <c:pt idx="36">
                  <c:v>627.95869999999991</c:v>
                </c:pt>
                <c:pt idx="37">
                  <c:v>626.69838499999992</c:v>
                </c:pt>
                <c:pt idx="38">
                  <c:v>624.74612999999999</c:v>
                </c:pt>
                <c:pt idx="39">
                  <c:v>623.88120500000002</c:v>
                </c:pt>
                <c:pt idx="40">
                  <c:v>623.4611000000001</c:v>
                </c:pt>
                <c:pt idx="41">
                  <c:v>622.86801000000014</c:v>
                </c:pt>
                <c:pt idx="42">
                  <c:v>621.97837500000014</c:v>
                </c:pt>
                <c:pt idx="43">
                  <c:v>620.3968000000001</c:v>
                </c:pt>
                <c:pt idx="44">
                  <c:v>619.21062000000006</c:v>
                </c:pt>
                <c:pt idx="45">
                  <c:v>617.01124000000004</c:v>
                </c:pt>
                <c:pt idx="46">
                  <c:v>614.66359499999999</c:v>
                </c:pt>
                <c:pt idx="47">
                  <c:v>611.99468999999988</c:v>
                </c:pt>
                <c:pt idx="48">
                  <c:v>609.30107499999997</c:v>
                </c:pt>
                <c:pt idx="49">
                  <c:v>608.06547499999999</c:v>
                </c:pt>
                <c:pt idx="50">
                  <c:v>606.40976499999988</c:v>
                </c:pt>
                <c:pt idx="51">
                  <c:v>605.07530999999994</c:v>
                </c:pt>
                <c:pt idx="52">
                  <c:v>604.21038499999997</c:v>
                </c:pt>
                <c:pt idx="53">
                  <c:v>603.41959500000007</c:v>
                </c:pt>
                <c:pt idx="54">
                  <c:v>603.61729000000003</c:v>
                </c:pt>
                <c:pt idx="55">
                  <c:v>603.12305000000003</c:v>
                </c:pt>
                <c:pt idx="56">
                  <c:v>601.98629500000004</c:v>
                </c:pt>
                <c:pt idx="57">
                  <c:v>601.14608500000008</c:v>
                </c:pt>
                <c:pt idx="58">
                  <c:v>600.40472000000011</c:v>
                </c:pt>
                <c:pt idx="59">
                  <c:v>599.83634499999994</c:v>
                </c:pt>
                <c:pt idx="60">
                  <c:v>598.82314499999995</c:v>
                </c:pt>
                <c:pt idx="61">
                  <c:v>599.11968999999999</c:v>
                </c:pt>
                <c:pt idx="62">
                  <c:v>599.78691499999991</c:v>
                </c:pt>
                <c:pt idx="63">
                  <c:v>600.8001099999999</c:v>
                </c:pt>
                <c:pt idx="64">
                  <c:v>601.51675999999998</c:v>
                </c:pt>
                <c:pt idx="65">
                  <c:v>602.06043</c:v>
                </c:pt>
                <c:pt idx="66">
                  <c:v>602.48053499999992</c:v>
                </c:pt>
                <c:pt idx="67">
                  <c:v>603.46901999999989</c:v>
                </c:pt>
                <c:pt idx="68">
                  <c:v>604.75405000000001</c:v>
                </c:pt>
                <c:pt idx="69">
                  <c:v>605.59425999999996</c:v>
                </c:pt>
                <c:pt idx="70">
                  <c:v>606.53332</c:v>
                </c:pt>
                <c:pt idx="71">
                  <c:v>607.57123000000001</c:v>
                </c:pt>
                <c:pt idx="72">
                  <c:v>607.81835500000011</c:v>
                </c:pt>
                <c:pt idx="73">
                  <c:v>607.62066000000016</c:v>
                </c:pt>
                <c:pt idx="74">
                  <c:v>607.0522850000001</c:v>
                </c:pt>
                <c:pt idx="75">
                  <c:v>606.21207000000015</c:v>
                </c:pt>
                <c:pt idx="76">
                  <c:v>605.86609999999996</c:v>
                </c:pt>
                <c:pt idx="77">
                  <c:v>605.71782499999995</c:v>
                </c:pt>
                <c:pt idx="78">
                  <c:v>606.23677999999995</c:v>
                </c:pt>
                <c:pt idx="79">
                  <c:v>607.27468499999998</c:v>
                </c:pt>
                <c:pt idx="80">
                  <c:v>608.41144499999984</c:v>
                </c:pt>
                <c:pt idx="81">
                  <c:v>607.57123499999989</c:v>
                </c:pt>
                <c:pt idx="82">
                  <c:v>606.286205</c:v>
                </c:pt>
                <c:pt idx="83">
                  <c:v>603.74086499999999</c:v>
                </c:pt>
                <c:pt idx="84">
                  <c:v>600.45416</c:v>
                </c:pt>
                <c:pt idx="85">
                  <c:v>597.61227000000008</c:v>
                </c:pt>
                <c:pt idx="86">
                  <c:v>594.47383500000012</c:v>
                </c:pt>
                <c:pt idx="87">
                  <c:v>591.36011000000008</c:v>
                </c:pt>
                <c:pt idx="88">
                  <c:v>587.57916000000012</c:v>
                </c:pt>
                <c:pt idx="89">
                  <c:v>583.37810500000012</c:v>
                </c:pt>
                <c:pt idx="90">
                  <c:v>579.10291500000005</c:v>
                </c:pt>
                <c:pt idx="91">
                  <c:v>574.87715000000003</c:v>
                </c:pt>
                <c:pt idx="92">
                  <c:v>571.14562500000011</c:v>
                </c:pt>
                <c:pt idx="93">
                  <c:v>567.24112000000002</c:v>
                </c:pt>
                <c:pt idx="94">
                  <c:v>564.05326000000002</c:v>
                </c:pt>
                <c:pt idx="95">
                  <c:v>560.22289000000012</c:v>
                </c:pt>
                <c:pt idx="96">
                  <c:v>556.6396400000001</c:v>
                </c:pt>
                <c:pt idx="97">
                  <c:v>552.31502500000011</c:v>
                </c:pt>
                <c:pt idx="98">
                  <c:v>547.91627499999993</c:v>
                </c:pt>
                <c:pt idx="99">
                  <c:v>542.62788999999998</c:v>
                </c:pt>
                <c:pt idx="100">
                  <c:v>537.11709499999995</c:v>
                </c:pt>
                <c:pt idx="101">
                  <c:v>532.17467499999998</c:v>
                </c:pt>
                <c:pt idx="102">
                  <c:v>527.40524500000004</c:v>
                </c:pt>
                <c:pt idx="103">
                  <c:v>524.34094500000015</c:v>
                </c:pt>
                <c:pt idx="104">
                  <c:v>522.26512500000013</c:v>
                </c:pt>
                <c:pt idx="105">
                  <c:v>522.01800500000013</c:v>
                </c:pt>
                <c:pt idx="106">
                  <c:v>522.24041499999998</c:v>
                </c:pt>
                <c:pt idx="107">
                  <c:v>521.57318999999995</c:v>
                </c:pt>
                <c:pt idx="108">
                  <c:v>521.40020500000003</c:v>
                </c:pt>
                <c:pt idx="109">
                  <c:v>521.91916000000003</c:v>
                </c:pt>
                <c:pt idx="110">
                  <c:v>522.63580999999999</c:v>
                </c:pt>
                <c:pt idx="111">
                  <c:v>523.55015500000013</c:v>
                </c:pt>
                <c:pt idx="112">
                  <c:v>522.48753499999998</c:v>
                </c:pt>
                <c:pt idx="113">
                  <c:v>521.79559499999993</c:v>
                </c:pt>
                <c:pt idx="114">
                  <c:v>519.83839499999999</c:v>
                </c:pt>
                <c:pt idx="115">
                  <c:v>519.54184999999995</c:v>
                </c:pt>
                <c:pt idx="116">
                  <c:v>518.70164</c:v>
                </c:pt>
                <c:pt idx="117">
                  <c:v>517.89108499999998</c:v>
                </c:pt>
                <c:pt idx="118">
                  <c:v>516.67525000000001</c:v>
                </c:pt>
                <c:pt idx="119">
                  <c:v>515.07390499999997</c:v>
                </c:pt>
                <c:pt idx="120">
                  <c:v>513.76416499999993</c:v>
                </c:pt>
                <c:pt idx="121">
                  <c:v>513.29958000000011</c:v>
                </c:pt>
                <c:pt idx="122">
                  <c:v>512.66695000000004</c:v>
                </c:pt>
                <c:pt idx="123">
                  <c:v>512.12328500000001</c:v>
                </c:pt>
                <c:pt idx="124">
                  <c:v>511.75260500000002</c:v>
                </c:pt>
                <c:pt idx="125">
                  <c:v>509.33082000000002</c:v>
                </c:pt>
                <c:pt idx="126">
                  <c:v>506.26651999999996</c:v>
                </c:pt>
                <c:pt idx="127">
                  <c:v>503.63221499999997</c:v>
                </c:pt>
                <c:pt idx="128">
                  <c:v>501.23513999999989</c:v>
                </c:pt>
                <c:pt idx="129">
                  <c:v>499.18403500000005</c:v>
                </c:pt>
                <c:pt idx="130">
                  <c:v>497.23177999999996</c:v>
                </c:pt>
                <c:pt idx="131">
                  <c:v>495.84790499999997</c:v>
                </c:pt>
                <c:pt idx="132">
                  <c:v>496.14445000000006</c:v>
                </c:pt>
                <c:pt idx="133">
                  <c:v>495.94675500000011</c:v>
                </c:pt>
                <c:pt idx="134">
                  <c:v>495.78859999999997</c:v>
                </c:pt>
                <c:pt idx="135">
                  <c:v>494.77046000000001</c:v>
                </c:pt>
                <c:pt idx="136">
                  <c:v>493.44095000000004</c:v>
                </c:pt>
                <c:pt idx="137">
                  <c:v>492.36350499999998</c:v>
                </c:pt>
                <c:pt idx="138">
                  <c:v>491.66168500000003</c:v>
                </c:pt>
                <c:pt idx="139">
                  <c:v>490.97962999999993</c:v>
                </c:pt>
                <c:pt idx="140">
                  <c:v>490.43596500000001</c:v>
                </c:pt>
                <c:pt idx="141">
                  <c:v>489.23001499999992</c:v>
                </c:pt>
                <c:pt idx="142">
                  <c:v>487.93510499999991</c:v>
                </c:pt>
                <c:pt idx="143">
                  <c:v>486.42272500000001</c:v>
                </c:pt>
                <c:pt idx="144">
                  <c:v>484.58908999999994</c:v>
                </c:pt>
                <c:pt idx="145">
                  <c:v>482.60718000000008</c:v>
                </c:pt>
                <c:pt idx="146">
                  <c:v>480.98606499999994</c:v>
                </c:pt>
                <c:pt idx="147">
                  <c:v>479.47368500000005</c:v>
                </c:pt>
                <c:pt idx="148">
                  <c:v>477.55603000000002</c:v>
                </c:pt>
                <c:pt idx="149">
                  <c:v>474.82373999999999</c:v>
                </c:pt>
                <c:pt idx="150">
                  <c:v>472.05270499999995</c:v>
                </c:pt>
                <c:pt idx="151">
                  <c:v>469.22857999999997</c:v>
                </c:pt>
                <c:pt idx="152">
                  <c:v>466.33744000000007</c:v>
                </c:pt>
                <c:pt idx="153">
                  <c:v>463.37765999999993</c:v>
                </c:pt>
                <c:pt idx="154">
                  <c:v>460.97281499999991</c:v>
                </c:pt>
                <c:pt idx="155">
                  <c:v>458.53693499999991</c:v>
                </c:pt>
                <c:pt idx="156">
                  <c:v>456.60252999999994</c:v>
                </c:pt>
                <c:pt idx="157">
                  <c:v>454.43535999999995</c:v>
                </c:pt>
                <c:pt idx="158">
                  <c:v>452.11129999999991</c:v>
                </c:pt>
                <c:pt idx="159">
                  <c:v>450.7906799999999</c:v>
                </c:pt>
                <c:pt idx="160">
                  <c:v>451.49304999999993</c:v>
                </c:pt>
                <c:pt idx="161">
                  <c:v>451.4749599999999</c:v>
                </c:pt>
                <c:pt idx="162">
                  <c:v>451.54156999999998</c:v>
                </c:pt>
                <c:pt idx="163">
                  <c:v>450.60647499999993</c:v>
                </c:pt>
                <c:pt idx="164">
                  <c:v>449.62792499999995</c:v>
                </c:pt>
                <c:pt idx="165">
                  <c:v>449.33534499999996</c:v>
                </c:pt>
                <c:pt idx="166">
                  <c:v>450.01862</c:v>
                </c:pt>
                <c:pt idx="167">
                  <c:v>450.01499999999999</c:v>
                </c:pt>
                <c:pt idx="168">
                  <c:v>450.45</c:v>
                </c:pt>
                <c:pt idx="169">
                  <c:v>450.60999999999996</c:v>
                </c:pt>
                <c:pt idx="170">
                  <c:v>450.52</c:v>
                </c:pt>
                <c:pt idx="171">
                  <c:v>449.78999999999996</c:v>
                </c:pt>
                <c:pt idx="172">
                  <c:v>449.04000000000008</c:v>
                </c:pt>
                <c:pt idx="173">
                  <c:v>448.73999999999995</c:v>
                </c:pt>
                <c:pt idx="174">
                  <c:v>447.40999999999997</c:v>
                </c:pt>
                <c:pt idx="175">
                  <c:v>446.89999999999992</c:v>
                </c:pt>
                <c:pt idx="176">
                  <c:v>446.25</c:v>
                </c:pt>
                <c:pt idx="177">
                  <c:v>445.59</c:v>
                </c:pt>
                <c:pt idx="178">
                  <c:v>445.23999999999995</c:v>
                </c:pt>
                <c:pt idx="179">
                  <c:v>444.92999999999995</c:v>
                </c:pt>
                <c:pt idx="180">
                  <c:v>442.35999999999996</c:v>
                </c:pt>
                <c:pt idx="181">
                  <c:v>440.6</c:v>
                </c:pt>
                <c:pt idx="182">
                  <c:v>440.25</c:v>
                </c:pt>
                <c:pt idx="183">
                  <c:v>440.65</c:v>
                </c:pt>
                <c:pt idx="184">
                  <c:v>442.27</c:v>
                </c:pt>
                <c:pt idx="185">
                  <c:v>443.09</c:v>
                </c:pt>
                <c:pt idx="186">
                  <c:v>442.82000000000005</c:v>
                </c:pt>
                <c:pt idx="187">
                  <c:v>442.84000000000003</c:v>
                </c:pt>
                <c:pt idx="188">
                  <c:v>442.47000000000008</c:v>
                </c:pt>
                <c:pt idx="189">
                  <c:v>443.19000000000005</c:v>
                </c:pt>
                <c:pt idx="190">
                  <c:v>445.0200000000001</c:v>
                </c:pt>
                <c:pt idx="191">
                  <c:v>445.83000000000004</c:v>
                </c:pt>
                <c:pt idx="192">
                  <c:v>447.70999999999992</c:v>
                </c:pt>
                <c:pt idx="193">
                  <c:v>449.76000000000005</c:v>
                </c:pt>
                <c:pt idx="194">
                  <c:v>451.05000000000007</c:v>
                </c:pt>
                <c:pt idx="195">
                  <c:v>451.87000000000006</c:v>
                </c:pt>
                <c:pt idx="196">
                  <c:v>452.53000000000009</c:v>
                </c:pt>
                <c:pt idx="197">
                  <c:v>454.09000000000003</c:v>
                </c:pt>
                <c:pt idx="198">
                  <c:v>455.44000000000005</c:v>
                </c:pt>
                <c:pt idx="199">
                  <c:v>457.2700000000001</c:v>
                </c:pt>
                <c:pt idx="200">
                  <c:v>459.35</c:v>
                </c:pt>
                <c:pt idx="201">
                  <c:v>461.55</c:v>
                </c:pt>
                <c:pt idx="202">
                  <c:v>463.46999999999997</c:v>
                </c:pt>
                <c:pt idx="203">
                  <c:v>464.79000000000008</c:v>
                </c:pt>
                <c:pt idx="204">
                  <c:v>465.46000000000004</c:v>
                </c:pt>
                <c:pt idx="205">
                  <c:v>465.94000000000005</c:v>
                </c:pt>
                <c:pt idx="206">
                  <c:v>466.87</c:v>
                </c:pt>
                <c:pt idx="207">
                  <c:v>468.05999999999995</c:v>
                </c:pt>
                <c:pt idx="208">
                  <c:v>468.78999999999985</c:v>
                </c:pt>
                <c:pt idx="209">
                  <c:v>468.16999999999996</c:v>
                </c:pt>
                <c:pt idx="210">
                  <c:v>466.02</c:v>
                </c:pt>
                <c:pt idx="211">
                  <c:v>464.93999999999994</c:v>
                </c:pt>
                <c:pt idx="212">
                  <c:v>463.37</c:v>
                </c:pt>
                <c:pt idx="213">
                  <c:v>461.78999999999996</c:v>
                </c:pt>
                <c:pt idx="214">
                  <c:v>462.12000000000006</c:v>
                </c:pt>
                <c:pt idx="215">
                  <c:v>462.43</c:v>
                </c:pt>
                <c:pt idx="216">
                  <c:v>463.55</c:v>
                </c:pt>
                <c:pt idx="217">
                  <c:v>463.39999999999992</c:v>
                </c:pt>
                <c:pt idx="218">
                  <c:v>463.14</c:v>
                </c:pt>
                <c:pt idx="219">
                  <c:v>462.08999999999986</c:v>
                </c:pt>
                <c:pt idx="220">
                  <c:v>460.88999999999987</c:v>
                </c:pt>
                <c:pt idx="221">
                  <c:v>459.89</c:v>
                </c:pt>
                <c:pt idx="222">
                  <c:v>458.02</c:v>
                </c:pt>
                <c:pt idx="223">
                  <c:v>455.70999999999992</c:v>
                </c:pt>
                <c:pt idx="224">
                  <c:v>453.01000000000005</c:v>
                </c:pt>
                <c:pt idx="225">
                  <c:v>450.7</c:v>
                </c:pt>
                <c:pt idx="226">
                  <c:v>448.9</c:v>
                </c:pt>
                <c:pt idx="227">
                  <c:v>446.74999999999989</c:v>
                </c:pt>
                <c:pt idx="228">
                  <c:v>444.9799999999999</c:v>
                </c:pt>
                <c:pt idx="229">
                  <c:v>443.6</c:v>
                </c:pt>
                <c:pt idx="230">
                  <c:v>442.83000000000004</c:v>
                </c:pt>
                <c:pt idx="231">
                  <c:v>442.24999999999989</c:v>
                </c:pt>
                <c:pt idx="232">
                  <c:v>441.45999999999992</c:v>
                </c:pt>
                <c:pt idx="233">
                  <c:v>441.27999999999992</c:v>
                </c:pt>
                <c:pt idx="234">
                  <c:v>440.59</c:v>
                </c:pt>
                <c:pt idx="235">
                  <c:v>439.32</c:v>
                </c:pt>
                <c:pt idx="236">
                  <c:v>437.41999999999996</c:v>
                </c:pt>
                <c:pt idx="237">
                  <c:v>436.91999999999996</c:v>
                </c:pt>
                <c:pt idx="238">
                  <c:v>437.40000000000009</c:v>
                </c:pt>
                <c:pt idx="239">
                  <c:v>437.18</c:v>
                </c:pt>
                <c:pt idx="240">
                  <c:v>436.71000000000004</c:v>
                </c:pt>
                <c:pt idx="241">
                  <c:v>435.78000000000003</c:v>
                </c:pt>
                <c:pt idx="242">
                  <c:v>435.12</c:v>
                </c:pt>
                <c:pt idx="243">
                  <c:v>434.65</c:v>
                </c:pt>
                <c:pt idx="244">
                  <c:v>434.28999999999996</c:v>
                </c:pt>
                <c:pt idx="245">
                  <c:v>433.7</c:v>
                </c:pt>
                <c:pt idx="246">
                  <c:v>432.71000000000004</c:v>
                </c:pt>
                <c:pt idx="247">
                  <c:v>432.2000000000001</c:v>
                </c:pt>
                <c:pt idx="248">
                  <c:v>431.46000000000004</c:v>
                </c:pt>
                <c:pt idx="249">
                  <c:v>430.32999999999993</c:v>
                </c:pt>
                <c:pt idx="250">
                  <c:v>430.28999999999996</c:v>
                </c:pt>
                <c:pt idx="251">
                  <c:v>430.16</c:v>
                </c:pt>
                <c:pt idx="252">
                  <c:v>429.89</c:v>
                </c:pt>
                <c:pt idx="253">
                  <c:v>429.12</c:v>
                </c:pt>
                <c:pt idx="254">
                  <c:v>428.34</c:v>
                </c:pt>
                <c:pt idx="255">
                  <c:v>427.93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A2-4C10-87A7-0AC1D0D412A3}"/>
            </c:ext>
          </c:extLst>
        </c:ser>
        <c:ser>
          <c:idx val="2"/>
          <c:order val="2"/>
          <c:tx>
            <c:strRef>
              <c:f>Calc!$E$1</c:f>
              <c:strCache>
                <c:ptCount val="1"/>
                <c:pt idx="0">
                  <c:v>MA Long</c:v>
                </c:pt>
              </c:strCache>
            </c:strRef>
          </c:tx>
          <c:spPr>
            <a:ln w="15120">
              <a:solidFill>
                <a:srgbClr val="98B855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Calc!$A$2:$A$257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Calc!$E$2:$E$257</c:f>
              <c:numCache>
                <c:formatCode>#,##0.00</c:formatCode>
                <c:ptCount val="256"/>
                <c:pt idx="0">
                  <c:v>668.70889999999997</c:v>
                </c:pt>
                <c:pt idx="1">
                  <c:v>667.22620000000006</c:v>
                </c:pt>
                <c:pt idx="2">
                  <c:v>668.04993333333334</c:v>
                </c:pt>
                <c:pt idx="3">
                  <c:v>667.84400000000005</c:v>
                </c:pt>
                <c:pt idx="4">
                  <c:v>667.8193</c:v>
                </c:pt>
                <c:pt idx="5">
                  <c:v>663.84888333333333</c:v>
                </c:pt>
                <c:pt idx="6">
                  <c:v>659.24772857142852</c:v>
                </c:pt>
                <c:pt idx="7">
                  <c:v>653.57277499999998</c:v>
                </c:pt>
                <c:pt idx="8">
                  <c:v>649.81791111111102</c:v>
                </c:pt>
                <c:pt idx="9">
                  <c:v>646.12207999999987</c:v>
                </c:pt>
                <c:pt idx="10">
                  <c:v>642.01987272727263</c:v>
                </c:pt>
                <c:pt idx="11">
                  <c:v>640.20765833333326</c:v>
                </c:pt>
                <c:pt idx="12">
                  <c:v>638.9023538461538</c:v>
                </c:pt>
                <c:pt idx="13">
                  <c:v>637.28927857142844</c:v>
                </c:pt>
                <c:pt idx="14">
                  <c:v>636.51731999999981</c:v>
                </c:pt>
                <c:pt idx="15">
                  <c:v>636.11986874999991</c:v>
                </c:pt>
                <c:pt idx="16">
                  <c:v>636.84487647058813</c:v>
                </c:pt>
                <c:pt idx="17">
                  <c:v>636.88525555555543</c:v>
                </c:pt>
                <c:pt idx="18">
                  <c:v>637.2335368421052</c:v>
                </c:pt>
                <c:pt idx="19">
                  <c:v>636.45965999999987</c:v>
                </c:pt>
                <c:pt idx="20">
                  <c:v>635.7124142857142</c:v>
                </c:pt>
                <c:pt idx="21">
                  <c:v>635.07803181818167</c:v>
                </c:pt>
                <c:pt idx="22">
                  <c:v>634.49881304347809</c:v>
                </c:pt>
                <c:pt idx="23">
                  <c:v>634.58566249999978</c:v>
                </c:pt>
                <c:pt idx="24">
                  <c:v>634.27017199999977</c:v>
                </c:pt>
                <c:pt idx="25">
                  <c:v>634.56823846153827</c:v>
                </c:pt>
                <c:pt idx="26">
                  <c:v>634.86252962962953</c:v>
                </c:pt>
                <c:pt idx="27">
                  <c:v>635.38292142857131</c:v>
                </c:pt>
                <c:pt idx="28">
                  <c:v>635.83333793103429</c:v>
                </c:pt>
                <c:pt idx="29">
                  <c:v>635.75948333333315</c:v>
                </c:pt>
                <c:pt idx="30">
                  <c:v>635.5469064516127</c:v>
                </c:pt>
                <c:pt idx="31">
                  <c:v>634.94604374999983</c:v>
                </c:pt>
                <c:pt idx="32">
                  <c:v>634.3516424242423</c:v>
                </c:pt>
                <c:pt idx="33">
                  <c:v>633.74859705882329</c:v>
                </c:pt>
                <c:pt idx="34">
                  <c:v>632.86934571428549</c:v>
                </c:pt>
                <c:pt idx="35">
                  <c:v>632.43708055555533</c:v>
                </c:pt>
                <c:pt idx="36">
                  <c:v>632.04153783783761</c:v>
                </c:pt>
                <c:pt idx="37">
                  <c:v>631.52374473684188</c:v>
                </c:pt>
                <c:pt idx="38">
                  <c:v>630.82973846153823</c:v>
                </c:pt>
                <c:pt idx="39">
                  <c:v>630.17043249999983</c:v>
                </c:pt>
                <c:pt idx="40">
                  <c:v>629.73616341463389</c:v>
                </c:pt>
                <c:pt idx="41">
                  <c:v>629.26373571428542</c:v>
                </c:pt>
                <c:pt idx="42">
                  <c:v>628.6753534883718</c:v>
                </c:pt>
                <c:pt idx="43">
                  <c:v>628.1361795454543</c:v>
                </c:pt>
                <c:pt idx="44">
                  <c:v>627.5770377777776</c:v>
                </c:pt>
                <c:pt idx="45">
                  <c:v>626.93476086956503</c:v>
                </c:pt>
                <c:pt idx="46">
                  <c:v>626.26723829787215</c:v>
                </c:pt>
                <c:pt idx="47">
                  <c:v>625.63782499999979</c:v>
                </c:pt>
                <c:pt idx="48">
                  <c:v>625.00384285714267</c:v>
                </c:pt>
                <c:pt idx="49">
                  <c:v>624.68187999999975</c:v>
                </c:pt>
                <c:pt idx="50">
                  <c:v>623.22880999999984</c:v>
                </c:pt>
                <c:pt idx="51">
                  <c:v>621.70654399999989</c:v>
                </c:pt>
                <c:pt idx="52">
                  <c:v>620.27324199999975</c:v>
                </c:pt>
                <c:pt idx="53">
                  <c:v>618.88936399999977</c:v>
                </c:pt>
                <c:pt idx="54">
                  <c:v>617.67352799999981</c:v>
                </c:pt>
                <c:pt idx="55">
                  <c:v>616.94205199999988</c:v>
                </c:pt>
                <c:pt idx="56">
                  <c:v>616.21057399999984</c:v>
                </c:pt>
                <c:pt idx="57">
                  <c:v>615.84483599999987</c:v>
                </c:pt>
                <c:pt idx="58">
                  <c:v>615.24185999999986</c:v>
                </c:pt>
                <c:pt idx="59">
                  <c:v>614.84646799999985</c:v>
                </c:pt>
                <c:pt idx="60">
                  <c:v>614.66853999999989</c:v>
                </c:pt>
                <c:pt idx="61">
                  <c:v>614.57957599999997</c:v>
                </c:pt>
                <c:pt idx="62">
                  <c:v>614.46095799999989</c:v>
                </c:pt>
                <c:pt idx="63">
                  <c:v>614.63888399999996</c:v>
                </c:pt>
                <c:pt idx="64">
                  <c:v>614.47084199999995</c:v>
                </c:pt>
                <c:pt idx="65">
                  <c:v>614.045794</c:v>
                </c:pt>
                <c:pt idx="66">
                  <c:v>613.15615999999989</c:v>
                </c:pt>
                <c:pt idx="67">
                  <c:v>612.72122799999988</c:v>
                </c:pt>
                <c:pt idx="68">
                  <c:v>612.25664199999983</c:v>
                </c:pt>
                <c:pt idx="69">
                  <c:v>612.33572000000004</c:v>
                </c:pt>
                <c:pt idx="70">
                  <c:v>612.21710199999995</c:v>
                </c:pt>
                <c:pt idx="71">
                  <c:v>611.98974999999996</c:v>
                </c:pt>
                <c:pt idx="72">
                  <c:v>611.61412599999994</c:v>
                </c:pt>
                <c:pt idx="73">
                  <c:v>610.76402999999982</c:v>
                </c:pt>
                <c:pt idx="74">
                  <c:v>610.14128599999981</c:v>
                </c:pt>
                <c:pt idx="75">
                  <c:v>609.11326199999985</c:v>
                </c:pt>
                <c:pt idx="76">
                  <c:v>608.02592999999979</c:v>
                </c:pt>
                <c:pt idx="77">
                  <c:v>606.8891739999998</c:v>
                </c:pt>
                <c:pt idx="78">
                  <c:v>605.92045999999982</c:v>
                </c:pt>
                <c:pt idx="79">
                  <c:v>605.52506799999981</c:v>
                </c:pt>
                <c:pt idx="80">
                  <c:v>605.23840799999994</c:v>
                </c:pt>
                <c:pt idx="81">
                  <c:v>604.89243999999985</c:v>
                </c:pt>
                <c:pt idx="82">
                  <c:v>604.41796799999986</c:v>
                </c:pt>
                <c:pt idx="83">
                  <c:v>603.62718199999983</c:v>
                </c:pt>
                <c:pt idx="84">
                  <c:v>602.59915999999987</c:v>
                </c:pt>
                <c:pt idx="85">
                  <c:v>601.29436199999986</c:v>
                </c:pt>
                <c:pt idx="86">
                  <c:v>599.76221399999986</c:v>
                </c:pt>
                <c:pt idx="87">
                  <c:v>598.58591799999999</c:v>
                </c:pt>
                <c:pt idx="88">
                  <c:v>597.38985399999979</c:v>
                </c:pt>
                <c:pt idx="89">
                  <c:v>596.13447999999971</c:v>
                </c:pt>
                <c:pt idx="90">
                  <c:v>594.4738279999998</c:v>
                </c:pt>
                <c:pt idx="91">
                  <c:v>592.79340599999978</c:v>
                </c:pt>
                <c:pt idx="92">
                  <c:v>591.28102599999977</c:v>
                </c:pt>
                <c:pt idx="93">
                  <c:v>589.50175799999988</c:v>
                </c:pt>
                <c:pt idx="94">
                  <c:v>588.07834199999991</c:v>
                </c:pt>
                <c:pt idx="95">
                  <c:v>586.39792199999988</c:v>
                </c:pt>
                <c:pt idx="96">
                  <c:v>584.81634799999983</c:v>
                </c:pt>
                <c:pt idx="97">
                  <c:v>583.01730799999984</c:v>
                </c:pt>
                <c:pt idx="98">
                  <c:v>581.36653999999987</c:v>
                </c:pt>
                <c:pt idx="99">
                  <c:v>579.35003399999982</c:v>
                </c:pt>
                <c:pt idx="100">
                  <c:v>577.52133999999967</c:v>
                </c:pt>
                <c:pt idx="101">
                  <c:v>575.73218599999973</c:v>
                </c:pt>
                <c:pt idx="102">
                  <c:v>573.69591199999968</c:v>
                </c:pt>
                <c:pt idx="103">
                  <c:v>571.99572199999989</c:v>
                </c:pt>
                <c:pt idx="104">
                  <c:v>570.05829399999982</c:v>
                </c:pt>
                <c:pt idx="105">
                  <c:v>568.8523439999999</c:v>
                </c:pt>
                <c:pt idx="106">
                  <c:v>567.86386199999981</c:v>
                </c:pt>
                <c:pt idx="107">
                  <c:v>566.75675999999987</c:v>
                </c:pt>
                <c:pt idx="108">
                  <c:v>565.78804799999989</c:v>
                </c:pt>
                <c:pt idx="109">
                  <c:v>564.96760599999993</c:v>
                </c:pt>
                <c:pt idx="110">
                  <c:v>563.99889399999984</c:v>
                </c:pt>
                <c:pt idx="111">
                  <c:v>562.56559199999992</c:v>
                </c:pt>
                <c:pt idx="112">
                  <c:v>560.36127399999987</c:v>
                </c:pt>
                <c:pt idx="113">
                  <c:v>557.89995199999987</c:v>
                </c:pt>
                <c:pt idx="114">
                  <c:v>555.40699599999982</c:v>
                </c:pt>
                <c:pt idx="115">
                  <c:v>553.39048999999989</c:v>
                </c:pt>
                <c:pt idx="116">
                  <c:v>551.3047899999998</c:v>
                </c:pt>
                <c:pt idx="117">
                  <c:v>548.78613399999995</c:v>
                </c:pt>
                <c:pt idx="118">
                  <c:v>546.13501999999994</c:v>
                </c:pt>
                <c:pt idx="119">
                  <c:v>543.14189199999998</c:v>
                </c:pt>
                <c:pt idx="120">
                  <c:v>540.413678</c:v>
                </c:pt>
                <c:pt idx="121">
                  <c:v>538.02352599999995</c:v>
                </c:pt>
                <c:pt idx="122">
                  <c:v>535.63534999999979</c:v>
                </c:pt>
                <c:pt idx="123">
                  <c:v>533.79677199999981</c:v>
                </c:pt>
                <c:pt idx="124">
                  <c:v>531.93842199999995</c:v>
                </c:pt>
                <c:pt idx="125">
                  <c:v>530.09984399999996</c:v>
                </c:pt>
                <c:pt idx="126">
                  <c:v>528.02403000000004</c:v>
                </c:pt>
                <c:pt idx="127">
                  <c:v>525.92251599999986</c:v>
                </c:pt>
                <c:pt idx="128">
                  <c:v>523.78739199999995</c:v>
                </c:pt>
                <c:pt idx="129">
                  <c:v>521.73134599999992</c:v>
                </c:pt>
                <c:pt idx="130">
                  <c:v>519.52702799999997</c:v>
                </c:pt>
                <c:pt idx="131">
                  <c:v>517.87625999999989</c:v>
                </c:pt>
                <c:pt idx="132">
                  <c:v>516.30457199999989</c:v>
                </c:pt>
                <c:pt idx="133">
                  <c:v>514.78230799999994</c:v>
                </c:pt>
                <c:pt idx="134">
                  <c:v>513.54077199999983</c:v>
                </c:pt>
                <c:pt idx="135">
                  <c:v>512.25376599999993</c:v>
                </c:pt>
                <c:pt idx="136">
                  <c:v>510.89163599999995</c:v>
                </c:pt>
                <c:pt idx="137">
                  <c:v>509.18749199999991</c:v>
                </c:pt>
                <c:pt idx="138">
                  <c:v>507.76802999999995</c:v>
                </c:pt>
                <c:pt idx="139">
                  <c:v>506.18250199999994</c:v>
                </c:pt>
                <c:pt idx="140">
                  <c:v>504.94689799999998</c:v>
                </c:pt>
                <c:pt idx="141">
                  <c:v>503.76467200000008</c:v>
                </c:pt>
                <c:pt idx="142">
                  <c:v>502.35114199999998</c:v>
                </c:pt>
                <c:pt idx="143">
                  <c:v>501.46941399999997</c:v>
                </c:pt>
                <c:pt idx="144">
                  <c:v>500.15275399999996</c:v>
                </c:pt>
                <c:pt idx="145">
                  <c:v>499.05355999999995</c:v>
                </c:pt>
                <c:pt idx="146">
                  <c:v>497.76259999999996</c:v>
                </c:pt>
                <c:pt idx="147">
                  <c:v>496.78598</c:v>
                </c:pt>
                <c:pt idx="148">
                  <c:v>495.64329400000003</c:v>
                </c:pt>
                <c:pt idx="149">
                  <c:v>494.60968600000007</c:v>
                </c:pt>
                <c:pt idx="150">
                  <c:v>493.50127200000009</c:v>
                </c:pt>
                <c:pt idx="151">
                  <c:v>492.69782200000014</c:v>
                </c:pt>
                <c:pt idx="152">
                  <c:v>491.87745000000024</c:v>
                </c:pt>
                <c:pt idx="153">
                  <c:v>490.39699400000012</c:v>
                </c:pt>
                <c:pt idx="154">
                  <c:v>489.02384800000016</c:v>
                </c:pt>
                <c:pt idx="155">
                  <c:v>486.86133800000016</c:v>
                </c:pt>
                <c:pt idx="156">
                  <c:v>484.63648200000017</c:v>
                </c:pt>
                <c:pt idx="157">
                  <c:v>482.33236000000016</c:v>
                </c:pt>
                <c:pt idx="158">
                  <c:v>480.05246800000015</c:v>
                </c:pt>
                <c:pt idx="159">
                  <c:v>477.73111000000017</c:v>
                </c:pt>
                <c:pt idx="160">
                  <c:v>476.48979400000019</c:v>
                </c:pt>
                <c:pt idx="161">
                  <c:v>474.93459400000023</c:v>
                </c:pt>
                <c:pt idx="162">
                  <c:v>473.97275600000023</c:v>
                </c:pt>
                <c:pt idx="163">
                  <c:v>472.99376600000028</c:v>
                </c:pt>
                <c:pt idx="164">
                  <c:v>472.06856600000015</c:v>
                </c:pt>
                <c:pt idx="165">
                  <c:v>470.97095800000011</c:v>
                </c:pt>
                <c:pt idx="166">
                  <c:v>470.28939200000008</c:v>
                </c:pt>
                <c:pt idx="167">
                  <c:v>469.63554600000009</c:v>
                </c:pt>
                <c:pt idx="168">
                  <c:v>469.1531940000001</c:v>
                </c:pt>
                <c:pt idx="169">
                  <c:v>468.82412399999998</c:v>
                </c:pt>
                <c:pt idx="170">
                  <c:v>468.20360600000009</c:v>
                </c:pt>
                <c:pt idx="171">
                  <c:v>467.29399000000006</c:v>
                </c:pt>
                <c:pt idx="172">
                  <c:v>466.42667000000006</c:v>
                </c:pt>
                <c:pt idx="173">
                  <c:v>465.04367999999999</c:v>
                </c:pt>
                <c:pt idx="174">
                  <c:v>463.28680600000007</c:v>
                </c:pt>
                <c:pt idx="175">
                  <c:v>461.88901000000004</c:v>
                </c:pt>
                <c:pt idx="176">
                  <c:v>460.62987400000003</c:v>
                </c:pt>
                <c:pt idx="177">
                  <c:v>459.11547400000001</c:v>
                </c:pt>
                <c:pt idx="178">
                  <c:v>457.65441200000009</c:v>
                </c:pt>
                <c:pt idx="179">
                  <c:v>456.02949599999999</c:v>
                </c:pt>
                <c:pt idx="180">
                  <c:v>454.54108200000002</c:v>
                </c:pt>
                <c:pt idx="181">
                  <c:v>452.83543200000008</c:v>
                </c:pt>
                <c:pt idx="182">
                  <c:v>451.61497600000007</c:v>
                </c:pt>
                <c:pt idx="183">
                  <c:v>450.87506400000012</c:v>
                </c:pt>
                <c:pt idx="184">
                  <c:v>450.66112600000008</c:v>
                </c:pt>
                <c:pt idx="185">
                  <c:v>450.29877400000004</c:v>
                </c:pt>
                <c:pt idx="186">
                  <c:v>450.04101200000002</c:v>
                </c:pt>
                <c:pt idx="187">
                  <c:v>449.82614400000006</c:v>
                </c:pt>
                <c:pt idx="188">
                  <c:v>449.47651999999999</c:v>
                </c:pt>
                <c:pt idx="189">
                  <c:v>449.70827200000002</c:v>
                </c:pt>
                <c:pt idx="190">
                  <c:v>450.03721999999999</c:v>
                </c:pt>
                <c:pt idx="191">
                  <c:v>449.9339839999999</c:v>
                </c:pt>
                <c:pt idx="192">
                  <c:v>450.33662799999996</c:v>
                </c:pt>
                <c:pt idx="193">
                  <c:v>450.37858999999992</c:v>
                </c:pt>
                <c:pt idx="194">
                  <c:v>449.87116999999989</c:v>
                </c:pt>
                <c:pt idx="195">
                  <c:v>449.59413799999993</c:v>
                </c:pt>
                <c:pt idx="196">
                  <c:v>449.24744799999985</c:v>
                </c:pt>
                <c:pt idx="197">
                  <c:v>448.96199999999988</c:v>
                </c:pt>
                <c:pt idx="198">
                  <c:v>448.80799999999988</c:v>
                </c:pt>
                <c:pt idx="199">
                  <c:v>449.00799999999987</c:v>
                </c:pt>
                <c:pt idx="200">
                  <c:v>449.45999999999992</c:v>
                </c:pt>
                <c:pt idx="201">
                  <c:v>449.76399999999995</c:v>
                </c:pt>
                <c:pt idx="202">
                  <c:v>450.46800000000002</c:v>
                </c:pt>
                <c:pt idx="203">
                  <c:v>451.43999999999994</c:v>
                </c:pt>
                <c:pt idx="204">
                  <c:v>452.45599999999996</c:v>
                </c:pt>
                <c:pt idx="205">
                  <c:v>453.26000000000005</c:v>
                </c:pt>
                <c:pt idx="206">
                  <c:v>454.14800000000008</c:v>
                </c:pt>
                <c:pt idx="207">
                  <c:v>455.27600000000012</c:v>
                </c:pt>
                <c:pt idx="208">
                  <c:v>456.14800000000008</c:v>
                </c:pt>
                <c:pt idx="209">
                  <c:v>456.66000000000008</c:v>
                </c:pt>
                <c:pt idx="210">
                  <c:v>455.84800000000013</c:v>
                </c:pt>
                <c:pt idx="211">
                  <c:v>455.32000000000005</c:v>
                </c:pt>
                <c:pt idx="212">
                  <c:v>455.0680000000001</c:v>
                </c:pt>
                <c:pt idx="213">
                  <c:v>454.85200000000009</c:v>
                </c:pt>
                <c:pt idx="214">
                  <c:v>454.86800000000011</c:v>
                </c:pt>
                <c:pt idx="215">
                  <c:v>454.83200000000011</c:v>
                </c:pt>
                <c:pt idx="216">
                  <c:v>454.66000000000014</c:v>
                </c:pt>
                <c:pt idx="217">
                  <c:v>454.31600000000014</c:v>
                </c:pt>
                <c:pt idx="218">
                  <c:v>453.88400000000019</c:v>
                </c:pt>
                <c:pt idx="219">
                  <c:v>453.60000000000019</c:v>
                </c:pt>
                <c:pt idx="220">
                  <c:v>453.60800000000017</c:v>
                </c:pt>
                <c:pt idx="221">
                  <c:v>453.80400000000014</c:v>
                </c:pt>
                <c:pt idx="222">
                  <c:v>454.06000000000017</c:v>
                </c:pt>
                <c:pt idx="223">
                  <c:v>454.22800000000018</c:v>
                </c:pt>
                <c:pt idx="224">
                  <c:v>454.6960000000002</c:v>
                </c:pt>
                <c:pt idx="225">
                  <c:v>454.7800000000002</c:v>
                </c:pt>
                <c:pt idx="226">
                  <c:v>455.2080000000002</c:v>
                </c:pt>
                <c:pt idx="227">
                  <c:v>455.74000000000012</c:v>
                </c:pt>
                <c:pt idx="228">
                  <c:v>456.04400000000015</c:v>
                </c:pt>
                <c:pt idx="229">
                  <c:v>456.12800000000016</c:v>
                </c:pt>
                <c:pt idx="230">
                  <c:v>456.03600000000006</c:v>
                </c:pt>
                <c:pt idx="231">
                  <c:v>455.98000000000013</c:v>
                </c:pt>
                <c:pt idx="232">
                  <c:v>455.55200000000013</c:v>
                </c:pt>
                <c:pt idx="233">
                  <c:v>455.1040000000001</c:v>
                </c:pt>
                <c:pt idx="234">
                  <c:v>454.19600000000008</c:v>
                </c:pt>
                <c:pt idx="235">
                  <c:v>453.32400000000001</c:v>
                </c:pt>
                <c:pt idx="236">
                  <c:v>452.50000000000006</c:v>
                </c:pt>
                <c:pt idx="237">
                  <c:v>451.94800000000004</c:v>
                </c:pt>
                <c:pt idx="238">
                  <c:v>451.85599999999994</c:v>
                </c:pt>
                <c:pt idx="239">
                  <c:v>451.19599999999997</c:v>
                </c:pt>
                <c:pt idx="240">
                  <c:v>450.28399999999999</c:v>
                </c:pt>
                <c:pt idx="241">
                  <c:v>449.78399999999993</c:v>
                </c:pt>
                <c:pt idx="242">
                  <c:v>449.02399999999994</c:v>
                </c:pt>
                <c:pt idx="243">
                  <c:v>448.18399999999997</c:v>
                </c:pt>
                <c:pt idx="244">
                  <c:v>447.99199999999996</c:v>
                </c:pt>
                <c:pt idx="245">
                  <c:v>447.51199999999994</c:v>
                </c:pt>
                <c:pt idx="246">
                  <c:v>447.28</c:v>
                </c:pt>
                <c:pt idx="247">
                  <c:v>446.98399999999992</c:v>
                </c:pt>
                <c:pt idx="248">
                  <c:v>446.45199999999988</c:v>
                </c:pt>
                <c:pt idx="249">
                  <c:v>445.35199999999992</c:v>
                </c:pt>
                <c:pt idx="250">
                  <c:v>444.41199999999992</c:v>
                </c:pt>
                <c:pt idx="251">
                  <c:v>443.42399999999992</c:v>
                </c:pt>
                <c:pt idx="252">
                  <c:v>442.12</c:v>
                </c:pt>
                <c:pt idx="253">
                  <c:v>440.83600000000001</c:v>
                </c:pt>
                <c:pt idx="254">
                  <c:v>439.34799999999996</c:v>
                </c:pt>
                <c:pt idx="255">
                  <c:v>438.12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A2-4C10-87A7-0AC1D0D41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60739767"/>
        <c:axId val="17207842"/>
      </c:lineChart>
      <c:dateAx>
        <c:axId val="60739767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17207842"/>
        <c:crosses val="autoZero"/>
        <c:auto val="1"/>
        <c:lblOffset val="100"/>
        <c:baseTimeUnit val="days"/>
      </c:dateAx>
      <c:valAx>
        <c:axId val="1720784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60739767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Equity Curve: Buy &amp; Hold vs MA Strategy (start = 100)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Calc!$H$1</c:f>
              <c:strCache>
                <c:ptCount val="1"/>
                <c:pt idx="0">
                  <c:v>Buy &amp; Hold (100)</c:v>
                </c:pt>
              </c:strCache>
            </c:strRef>
          </c:tx>
          <c:spPr>
            <a:ln w="1512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Calc!$A$2:$A$257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Calc!$H$2:$H$257</c:f>
              <c:numCache>
                <c:formatCode>0.0</c:formatCode>
                <c:ptCount val="256"/>
                <c:pt idx="0">
                  <c:v>100</c:v>
                </c:pt>
                <c:pt idx="1">
                  <c:v>99.556548447313929</c:v>
                </c:pt>
                <c:pt idx="2">
                  <c:v>100.14782216895873</c:v>
                </c:pt>
                <c:pt idx="3">
                  <c:v>99.77827422365695</c:v>
                </c:pt>
                <c:pt idx="4">
                  <c:v>99.852192785231367</c:v>
                </c:pt>
                <c:pt idx="5">
                  <c:v>96.304505592792324</c:v>
                </c:pt>
                <c:pt idx="6">
                  <c:v>94.456765866283533</c:v>
                </c:pt>
                <c:pt idx="7">
                  <c:v>91.796011687596817</c:v>
                </c:pt>
                <c:pt idx="8">
                  <c:v>92.682929747159037</c:v>
                </c:pt>
                <c:pt idx="9">
                  <c:v>91.648189518638077</c:v>
                </c:pt>
                <c:pt idx="10">
                  <c:v>89.874353399513595</c:v>
                </c:pt>
                <c:pt idx="11">
                  <c:v>92.756848308733424</c:v>
                </c:pt>
                <c:pt idx="12">
                  <c:v>93.200299861419509</c:v>
                </c:pt>
                <c:pt idx="13">
                  <c:v>92.16555963289855</c:v>
                </c:pt>
                <c:pt idx="14">
                  <c:v>93.569847806721256</c:v>
                </c:pt>
                <c:pt idx="15">
                  <c:v>94.235040089940469</c:v>
                </c:pt>
                <c:pt idx="16">
                  <c:v>96.969697876011509</c:v>
                </c:pt>
                <c:pt idx="17">
                  <c:v>95.343683925845738</c:v>
                </c:pt>
                <c:pt idx="18">
                  <c:v>96.230601985407986</c:v>
                </c:pt>
                <c:pt idx="19">
                  <c:v>92.97857408507646</c:v>
                </c:pt>
                <c:pt idx="20">
                  <c:v>92.830751916117748</c:v>
                </c:pt>
                <c:pt idx="21">
                  <c:v>92.978574085076474</c:v>
                </c:pt>
                <c:pt idx="22">
                  <c:v>92.978574085076474</c:v>
                </c:pt>
                <c:pt idx="23">
                  <c:v>95.195861756887041</c:v>
                </c:pt>
                <c:pt idx="24">
                  <c:v>93.717669975679996</c:v>
                </c:pt>
                <c:pt idx="25">
                  <c:v>96.008876209064965</c:v>
                </c:pt>
                <c:pt idx="26">
                  <c:v>96.082779816449275</c:v>
                </c:pt>
                <c:pt idx="27">
                  <c:v>97.11752004497022</c:v>
                </c:pt>
                <c:pt idx="28">
                  <c:v>96.969697876011509</c:v>
                </c:pt>
                <c:pt idx="29">
                  <c:v>94.752395250010863</c:v>
                </c:pt>
                <c:pt idx="30">
                  <c:v>94.087217920981729</c:v>
                </c:pt>
                <c:pt idx="31">
                  <c:v>92.165559632898535</c:v>
                </c:pt>
                <c:pt idx="32">
                  <c:v>92.01773746393981</c:v>
                </c:pt>
                <c:pt idx="33">
                  <c:v>91.796011687596788</c:v>
                </c:pt>
                <c:pt idx="34">
                  <c:v>90.169997737431018</c:v>
                </c:pt>
                <c:pt idx="35">
                  <c:v>92.313381801857275</c:v>
                </c:pt>
                <c:pt idx="36">
                  <c:v>92.387285409241585</c:v>
                </c:pt>
                <c:pt idx="37">
                  <c:v>91.574285911253739</c:v>
                </c:pt>
                <c:pt idx="38">
                  <c:v>90.391723513774053</c:v>
                </c:pt>
                <c:pt idx="39">
                  <c:v>90.391723513774053</c:v>
                </c:pt>
                <c:pt idx="40">
                  <c:v>91.574285911253739</c:v>
                </c:pt>
                <c:pt idx="41">
                  <c:v>91.204737965951963</c:v>
                </c:pt>
                <c:pt idx="42">
                  <c:v>90.31781990638973</c:v>
                </c:pt>
                <c:pt idx="43">
                  <c:v>90.465627121158363</c:v>
                </c:pt>
                <c:pt idx="44">
                  <c:v>90.169997737431004</c:v>
                </c:pt>
                <c:pt idx="45">
                  <c:v>89.430886892637403</c:v>
                </c:pt>
                <c:pt idx="46">
                  <c:v>89.061353901525734</c:v>
                </c:pt>
                <c:pt idx="47">
                  <c:v>89.135257508910058</c:v>
                </c:pt>
                <c:pt idx="48">
                  <c:v>88.913531732567037</c:v>
                </c:pt>
                <c:pt idx="49">
                  <c:v>91.056915796993266</c:v>
                </c:pt>
                <c:pt idx="50">
                  <c:v>89.135257508910058</c:v>
                </c:pt>
                <c:pt idx="51">
                  <c:v>88.174420887773422</c:v>
                </c:pt>
                <c:pt idx="52">
                  <c:v>89.430886892637417</c:v>
                </c:pt>
                <c:pt idx="53">
                  <c:v>89.430886892637417</c:v>
                </c:pt>
                <c:pt idx="54">
                  <c:v>90.761271459075829</c:v>
                </c:pt>
                <c:pt idx="55">
                  <c:v>90.835190020650217</c:v>
                </c:pt>
                <c:pt idx="56">
                  <c:v>88.987435339951347</c:v>
                </c:pt>
                <c:pt idx="57">
                  <c:v>89.061353901525734</c:v>
                </c:pt>
                <c:pt idx="58">
                  <c:v>88.174420887773408</c:v>
                </c:pt>
                <c:pt idx="59">
                  <c:v>88.691805956223988</c:v>
                </c:pt>
                <c:pt idx="60">
                  <c:v>88.543968833075184</c:v>
                </c:pt>
                <c:pt idx="61">
                  <c:v>92.09165602551424</c:v>
                </c:pt>
                <c:pt idx="62">
                  <c:v>92.313381801857275</c:v>
                </c:pt>
                <c:pt idx="63">
                  <c:v>93.495929245146854</c:v>
                </c:pt>
                <c:pt idx="64">
                  <c:v>92.313381801857261</c:v>
                </c:pt>
                <c:pt idx="65">
                  <c:v>91.056915796993266</c:v>
                </c:pt>
                <c:pt idx="66">
                  <c:v>90.317819906389744</c:v>
                </c:pt>
                <c:pt idx="67">
                  <c:v>92.09165602551424</c:v>
                </c:pt>
                <c:pt idx="68">
                  <c:v>92.756848308733424</c:v>
                </c:pt>
                <c:pt idx="69">
                  <c:v>93.56984780672127</c:v>
                </c:pt>
                <c:pt idx="70">
                  <c:v>91.943833856555514</c:v>
                </c:pt>
                <c:pt idx="71">
                  <c:v>91.278641573336316</c:v>
                </c:pt>
                <c:pt idx="72">
                  <c:v>90.169997737431018</c:v>
                </c:pt>
                <c:pt idx="73">
                  <c:v>88.839613170992621</c:v>
                </c:pt>
                <c:pt idx="74">
                  <c:v>89.061353901525734</c:v>
                </c:pt>
                <c:pt idx="75">
                  <c:v>88.322243056732134</c:v>
                </c:pt>
                <c:pt idx="76">
                  <c:v>87.952695111430373</c:v>
                </c:pt>
                <c:pt idx="77">
                  <c:v>88.617887394649557</c:v>
                </c:pt>
                <c:pt idx="78">
                  <c:v>89.726531230554855</c:v>
                </c:pt>
                <c:pt idx="79">
                  <c:v>91.796011687596774</c:v>
                </c:pt>
                <c:pt idx="80">
                  <c:v>91.943833856555486</c:v>
                </c:pt>
                <c:pt idx="81">
                  <c:v>89.578724015786207</c:v>
                </c:pt>
                <c:pt idx="82">
                  <c:v>88.47006522569086</c:v>
                </c:pt>
                <c:pt idx="83">
                  <c:v>85.883229608578546</c:v>
                </c:pt>
                <c:pt idx="84">
                  <c:v>82.483379539288308</c:v>
                </c:pt>
                <c:pt idx="85">
                  <c:v>82.557283146672617</c:v>
                </c:pt>
                <c:pt idx="86">
                  <c:v>80.931269196506861</c:v>
                </c:pt>
                <c:pt idx="87">
                  <c:v>82.779008923015652</c:v>
                </c:pt>
                <c:pt idx="88">
                  <c:v>81.448639310767334</c:v>
                </c:pt>
                <c:pt idx="89">
                  <c:v>81.00517280389117</c:v>
                </c:pt>
                <c:pt idx="90">
                  <c:v>79.157433077382379</c:v>
                </c:pt>
                <c:pt idx="91">
                  <c:v>78.640062963121906</c:v>
                </c:pt>
                <c:pt idx="92">
                  <c:v>79.009610908423653</c:v>
                </c:pt>
                <c:pt idx="93">
                  <c:v>77.161871181914847</c:v>
                </c:pt>
                <c:pt idx="94">
                  <c:v>79.526981022684112</c:v>
                </c:pt>
                <c:pt idx="95">
                  <c:v>76.866226843997396</c:v>
                </c:pt>
                <c:pt idx="96">
                  <c:v>77.235774789299143</c:v>
                </c:pt>
                <c:pt idx="97">
                  <c:v>75.68366444651771</c:v>
                </c:pt>
                <c:pt idx="98">
                  <c:v>76.570582506079958</c:v>
                </c:pt>
                <c:pt idx="99">
                  <c:v>75.979308784435148</c:v>
                </c:pt>
                <c:pt idx="100">
                  <c:v>75.461938670174661</c:v>
                </c:pt>
                <c:pt idx="101">
                  <c:v>74.796746386955462</c:v>
                </c:pt>
                <c:pt idx="102">
                  <c:v>74.205472665310651</c:v>
                </c:pt>
                <c:pt idx="103">
                  <c:v>76.718404675038641</c:v>
                </c:pt>
                <c:pt idx="104">
                  <c:v>76.274938168162493</c:v>
                </c:pt>
                <c:pt idx="105">
                  <c:v>81.818187256069052</c:v>
                </c:pt>
                <c:pt idx="106">
                  <c:v>81.596461479726003</c:v>
                </c:pt>
                <c:pt idx="107">
                  <c:v>80.783447027548078</c:v>
                </c:pt>
                <c:pt idx="108">
                  <c:v>80.931269196506804</c:v>
                </c:pt>
                <c:pt idx="109">
                  <c:v>82.55728314667256</c:v>
                </c:pt>
                <c:pt idx="110">
                  <c:v>81.300817141808565</c:v>
                </c:pt>
                <c:pt idx="111">
                  <c:v>81.374720749192875</c:v>
                </c:pt>
                <c:pt idx="112">
                  <c:v>75.831486615476408</c:v>
                </c:pt>
                <c:pt idx="113">
                  <c:v>75.092390724872885</c:v>
                </c:pt>
                <c:pt idx="114">
                  <c:v>73.673312857059258</c:v>
                </c:pt>
                <c:pt idx="115">
                  <c:v>75.979308784435133</c:v>
                </c:pt>
                <c:pt idx="116">
                  <c:v>74.722842779571138</c:v>
                </c:pt>
                <c:pt idx="117">
                  <c:v>73.259425738164936</c:v>
                </c:pt>
                <c:pt idx="118">
                  <c:v>72.93421696645575</c:v>
                </c:pt>
                <c:pt idx="119">
                  <c:v>71.189945281123016</c:v>
                </c:pt>
                <c:pt idx="120">
                  <c:v>71.544718486623935</c:v>
                </c:pt>
                <c:pt idx="121">
                  <c:v>73.407247907123647</c:v>
                </c:pt>
                <c:pt idx="122">
                  <c:v>72.313378811019192</c:v>
                </c:pt>
                <c:pt idx="123">
                  <c:v>75.092390724872899</c:v>
                </c:pt>
                <c:pt idx="124">
                  <c:v>75.166294332257223</c:v>
                </c:pt>
                <c:pt idx="125">
                  <c:v>74.575020610612412</c:v>
                </c:pt>
                <c:pt idx="126">
                  <c:v>72.431636546186169</c:v>
                </c:pt>
                <c:pt idx="127">
                  <c:v>72.904667486854066</c:v>
                </c:pt>
                <c:pt idx="128">
                  <c:v>73.762006158434488</c:v>
                </c:pt>
                <c:pt idx="129">
                  <c:v>76.422760337121204</c:v>
                </c:pt>
                <c:pt idx="130">
                  <c:v>75.461938670174646</c:v>
                </c:pt>
                <c:pt idx="131">
                  <c:v>77.235774789299114</c:v>
                </c:pt>
                <c:pt idx="132">
                  <c:v>76.718404675038627</c:v>
                </c:pt>
                <c:pt idx="133">
                  <c:v>74.501117003228075</c:v>
                </c:pt>
                <c:pt idx="134">
                  <c:v>73.200296870581411</c:v>
                </c:pt>
                <c:pt idx="135">
                  <c:v>72.934216966455722</c:v>
                </c:pt>
                <c:pt idx="136">
                  <c:v>70.746493728436903</c:v>
                </c:pt>
                <c:pt idx="137">
                  <c:v>70.036962271625129</c:v>
                </c:pt>
                <c:pt idx="138">
                  <c:v>70.835187029812147</c:v>
                </c:pt>
                <c:pt idx="139">
                  <c:v>69.150029257872816</c:v>
                </c:pt>
                <c:pt idx="140">
                  <c:v>69.918704536458165</c:v>
                </c:pt>
                <c:pt idx="141">
                  <c:v>69.800446801291187</c:v>
                </c:pt>
                <c:pt idx="142">
                  <c:v>68.44051275525112</c:v>
                </c:pt>
                <c:pt idx="143">
                  <c:v>70.569107125686443</c:v>
                </c:pt>
                <c:pt idx="144">
                  <c:v>69.682189066124209</c:v>
                </c:pt>
                <c:pt idx="145">
                  <c:v>68.64744883760325</c:v>
                </c:pt>
                <c:pt idx="146">
                  <c:v>67.583144175290542</c:v>
                </c:pt>
                <c:pt idx="147">
                  <c:v>68.381383887667624</c:v>
                </c:pt>
                <c:pt idx="148">
                  <c:v>68.026610682166691</c:v>
                </c:pt>
                <c:pt idx="149">
                  <c:v>68.250923533393888</c:v>
                </c:pt>
                <c:pt idx="150">
                  <c:v>67.174221847503361</c:v>
                </c:pt>
                <c:pt idx="151">
                  <c:v>68.789274376339151</c:v>
                </c:pt>
                <c:pt idx="152">
                  <c:v>68.071473252412133</c:v>
                </c:pt>
                <c:pt idx="153">
                  <c:v>65.648894459158456</c:v>
                </c:pt>
                <c:pt idx="154">
                  <c:v>66.007795021121964</c:v>
                </c:pt>
                <c:pt idx="155">
                  <c:v>65.648894459158456</c:v>
                </c:pt>
                <c:pt idx="156">
                  <c:v>64.961001715395057</c:v>
                </c:pt>
                <c:pt idx="157">
                  <c:v>63.555307847704654</c:v>
                </c:pt>
                <c:pt idx="158">
                  <c:v>63.884300029504537</c:v>
                </c:pt>
                <c:pt idx="159">
                  <c:v>65.200268756704062</c:v>
                </c:pt>
                <c:pt idx="160">
                  <c:v>72.019379434010716</c:v>
                </c:pt>
                <c:pt idx="161">
                  <c:v>69.74634254157516</c:v>
                </c:pt>
                <c:pt idx="162">
                  <c:v>68.639732475521015</c:v>
                </c:pt>
                <c:pt idx="163">
                  <c:v>67.772389450775876</c:v>
                </c:pt>
                <c:pt idx="164">
                  <c:v>66.755504525212601</c:v>
                </c:pt>
                <c:pt idx="165">
                  <c:v>67.772389450775876</c:v>
                </c:pt>
                <c:pt idx="166">
                  <c:v>69.626709020920671</c:v>
                </c:pt>
                <c:pt idx="167">
                  <c:v>68.37055705404839</c:v>
                </c:pt>
                <c:pt idx="168">
                  <c:v>69.327625219284428</c:v>
                </c:pt>
                <c:pt idx="169">
                  <c:v>68.729457616011914</c:v>
                </c:pt>
                <c:pt idx="170">
                  <c:v>66.905046426030736</c:v>
                </c:pt>
                <c:pt idx="171">
                  <c:v>66.605962624394479</c:v>
                </c:pt>
                <c:pt idx="172">
                  <c:v>65.82834474014021</c:v>
                </c:pt>
                <c:pt idx="173">
                  <c:v>64.751643054249683</c:v>
                </c:pt>
                <c:pt idx="174">
                  <c:v>62.029980459359749</c:v>
                </c:pt>
                <c:pt idx="175">
                  <c:v>64.12356707081355</c:v>
                </c:pt>
                <c:pt idx="176">
                  <c:v>63.016957004759391</c:v>
                </c:pt>
                <c:pt idx="177">
                  <c:v>61.581354756905363</c:v>
                </c:pt>
                <c:pt idx="178">
                  <c:v>62.837506723777636</c:v>
                </c:pt>
                <c:pt idx="179">
                  <c:v>64.273108971631672</c:v>
                </c:pt>
                <c:pt idx="180">
                  <c:v>64.332925731958923</c:v>
                </c:pt>
                <c:pt idx="181">
                  <c:v>64.482467632777059</c:v>
                </c:pt>
                <c:pt idx="182">
                  <c:v>67.592939169794136</c:v>
                </c:pt>
                <c:pt idx="183">
                  <c:v>68.968724657320919</c:v>
                </c:pt>
                <c:pt idx="184">
                  <c:v>71.600662111719984</c:v>
                </c:pt>
                <c:pt idx="185">
                  <c:v>70.2248766241932</c:v>
                </c:pt>
                <c:pt idx="186">
                  <c:v>68.819182756502784</c:v>
                </c:pt>
                <c:pt idx="187">
                  <c:v>68.430373814375656</c:v>
                </c:pt>
                <c:pt idx="188">
                  <c:v>68.221015153230269</c:v>
                </c:pt>
                <c:pt idx="189">
                  <c:v>70.882860987792952</c:v>
                </c:pt>
                <c:pt idx="190">
                  <c:v>72.378279995974239</c:v>
                </c:pt>
                <c:pt idx="191">
                  <c:v>69.028541417648157</c:v>
                </c:pt>
                <c:pt idx="192">
                  <c:v>71.451120210901848</c:v>
                </c:pt>
                <c:pt idx="193">
                  <c:v>70.882860987792952</c:v>
                </c:pt>
                <c:pt idx="194">
                  <c:v>65.888161500467461</c:v>
                </c:pt>
                <c:pt idx="195">
                  <c:v>66.576054244230846</c:v>
                </c:pt>
                <c:pt idx="196">
                  <c:v>64.990910095558689</c:v>
                </c:pt>
                <c:pt idx="197">
                  <c:v>66.24706206243097</c:v>
                </c:pt>
                <c:pt idx="198">
                  <c:v>66.875138045867104</c:v>
                </c:pt>
                <c:pt idx="199">
                  <c:v>69.746342541575174</c:v>
                </c:pt>
                <c:pt idx="200">
                  <c:v>70.553868805993076</c:v>
                </c:pt>
                <c:pt idx="201">
                  <c:v>71.062311268774707</c:v>
                </c:pt>
                <c:pt idx="202">
                  <c:v>73.335348161210263</c:v>
                </c:pt>
                <c:pt idx="203">
                  <c:v>72.916630838919517</c:v>
                </c:pt>
                <c:pt idx="204">
                  <c:v>73.604523582682901</c:v>
                </c:pt>
                <c:pt idx="205">
                  <c:v>71.660478872047221</c:v>
                </c:pt>
                <c:pt idx="206">
                  <c:v>71.60066211171997</c:v>
                </c:pt>
                <c:pt idx="207">
                  <c:v>71.989471053847112</c:v>
                </c:pt>
                <c:pt idx="208">
                  <c:v>70.404326905174955</c:v>
                </c:pt>
                <c:pt idx="209">
                  <c:v>69.028541417648171</c:v>
                </c:pt>
                <c:pt idx="210">
                  <c:v>65.947978260794713</c:v>
                </c:pt>
                <c:pt idx="211">
                  <c:v>65.798436359976577</c:v>
                </c:pt>
                <c:pt idx="212">
                  <c:v>66.755504525212586</c:v>
                </c:pt>
                <c:pt idx="213">
                  <c:v>66.157336921940072</c:v>
                </c:pt>
                <c:pt idx="214">
                  <c:v>66.875138045867089</c:v>
                </c:pt>
                <c:pt idx="215">
                  <c:v>67.503214029303237</c:v>
                </c:pt>
                <c:pt idx="216">
                  <c:v>68.340648673884758</c:v>
                </c:pt>
                <c:pt idx="217">
                  <c:v>65.798436359976577</c:v>
                </c:pt>
                <c:pt idx="218">
                  <c:v>66.097520161612834</c:v>
                </c:pt>
                <c:pt idx="219">
                  <c:v>66.605962624394465</c:v>
                </c:pt>
                <c:pt idx="220">
                  <c:v>66.964863186357974</c:v>
                </c:pt>
                <c:pt idx="221">
                  <c:v>68.071473252412133</c:v>
                </c:pt>
                <c:pt idx="222">
                  <c:v>67.742481070612257</c:v>
                </c:pt>
                <c:pt idx="223">
                  <c:v>66.007795021121964</c:v>
                </c:pt>
                <c:pt idx="224">
                  <c:v>65.529260938503953</c:v>
                </c:pt>
                <c:pt idx="225">
                  <c:v>64.751643054249683</c:v>
                </c:pt>
                <c:pt idx="226">
                  <c:v>66.217153682267352</c:v>
                </c:pt>
                <c:pt idx="227">
                  <c:v>65.559169318667571</c:v>
                </c:pt>
                <c:pt idx="228">
                  <c:v>65.110543616213192</c:v>
                </c:pt>
                <c:pt idx="229">
                  <c:v>64.901184955067819</c:v>
                </c:pt>
                <c:pt idx="230">
                  <c:v>63.645032988195545</c:v>
                </c:pt>
                <c:pt idx="231">
                  <c:v>64.063750310486299</c:v>
                </c:pt>
                <c:pt idx="232">
                  <c:v>64.392742492286189</c:v>
                </c:pt>
                <c:pt idx="233">
                  <c:v>65.618986078994851</c:v>
                </c:pt>
                <c:pt idx="234">
                  <c:v>64.811459814576949</c:v>
                </c:pt>
                <c:pt idx="235">
                  <c:v>63.704849748522804</c:v>
                </c:pt>
                <c:pt idx="236">
                  <c:v>62.658056442795903</c:v>
                </c:pt>
                <c:pt idx="237">
                  <c:v>64.303017351795319</c:v>
                </c:pt>
                <c:pt idx="238">
                  <c:v>67.533122409466898</c:v>
                </c:pt>
                <c:pt idx="239">
                  <c:v>65.947978260794727</c:v>
                </c:pt>
                <c:pt idx="240">
                  <c:v>65.559169318667585</c:v>
                </c:pt>
                <c:pt idx="241">
                  <c:v>65.289993897194961</c:v>
                </c:pt>
                <c:pt idx="242">
                  <c:v>65.768527979812959</c:v>
                </c:pt>
                <c:pt idx="243">
                  <c:v>64.602101153431548</c:v>
                </c:pt>
                <c:pt idx="244">
                  <c:v>64.452559252613426</c:v>
                </c:pt>
                <c:pt idx="245">
                  <c:v>62.987048624595765</c:v>
                </c:pt>
                <c:pt idx="246">
                  <c:v>63.256224046068397</c:v>
                </c:pt>
                <c:pt idx="247">
                  <c:v>64.033841930322666</c:v>
                </c:pt>
                <c:pt idx="248">
                  <c:v>62.897323484104895</c:v>
                </c:pt>
                <c:pt idx="249">
                  <c:v>61.521537996578104</c:v>
                </c:pt>
                <c:pt idx="250">
                  <c:v>63.525399467541028</c:v>
                </c:pt>
                <c:pt idx="251">
                  <c:v>63.674941368359157</c:v>
                </c:pt>
                <c:pt idx="252">
                  <c:v>63.585216227868273</c:v>
                </c:pt>
                <c:pt idx="253">
                  <c:v>63.316040806395641</c:v>
                </c:pt>
                <c:pt idx="254">
                  <c:v>62.47860616181412</c:v>
                </c:pt>
                <c:pt idx="255">
                  <c:v>62.47860616181412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9-4B89-9F9C-3FF93E158AC8}"/>
            </c:ext>
          </c:extLst>
        </c:ser>
        <c:ser>
          <c:idx val="1"/>
          <c:order val="1"/>
          <c:tx>
            <c:strRef>
              <c:f>Calc!$I$1</c:f>
              <c:strCache>
                <c:ptCount val="1"/>
                <c:pt idx="0">
                  <c:v>MA Strategy (100)</c:v>
                </c:pt>
              </c:strCache>
            </c:strRef>
          </c:tx>
          <c:spPr>
            <a:ln w="1512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Calc!$A$2:$A$257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Calc!$I$2:$I$257</c:f>
              <c:numCache>
                <c:formatCode>0.0</c:formatCode>
                <c:ptCount val="25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102.30643091698745</c:v>
                </c:pt>
                <c:pt idx="80">
                  <c:v>102.47117836340202</c:v>
                </c:pt>
                <c:pt idx="81">
                  <c:v>99.835269219993748</c:v>
                </c:pt>
                <c:pt idx="82">
                  <c:v>98.599671705088568</c:v>
                </c:pt>
                <c:pt idx="83">
                  <c:v>95.716649725262585</c:v>
                </c:pt>
                <c:pt idx="84">
                  <c:v>91.927525123360581</c:v>
                </c:pt>
                <c:pt idx="85">
                  <c:v>91.927525123360581</c:v>
                </c:pt>
                <c:pt idx="86">
                  <c:v>91.927525123360581</c:v>
                </c:pt>
                <c:pt idx="87">
                  <c:v>91.927525123360581</c:v>
                </c:pt>
                <c:pt idx="88">
                  <c:v>91.927525123360581</c:v>
                </c:pt>
                <c:pt idx="89">
                  <c:v>91.927525123360581</c:v>
                </c:pt>
                <c:pt idx="90">
                  <c:v>91.927525123360581</c:v>
                </c:pt>
                <c:pt idx="91">
                  <c:v>91.927525123360581</c:v>
                </c:pt>
                <c:pt idx="92">
                  <c:v>91.927525123360581</c:v>
                </c:pt>
                <c:pt idx="93">
                  <c:v>91.927525123360581</c:v>
                </c:pt>
                <c:pt idx="94">
                  <c:v>91.927525123360581</c:v>
                </c:pt>
                <c:pt idx="95">
                  <c:v>91.927525123360581</c:v>
                </c:pt>
                <c:pt idx="96">
                  <c:v>91.927525123360581</c:v>
                </c:pt>
                <c:pt idx="97">
                  <c:v>91.927525123360581</c:v>
                </c:pt>
                <c:pt idx="98">
                  <c:v>91.927525123360581</c:v>
                </c:pt>
                <c:pt idx="99">
                  <c:v>91.927525123360581</c:v>
                </c:pt>
                <c:pt idx="100">
                  <c:v>91.927525123360581</c:v>
                </c:pt>
                <c:pt idx="101">
                  <c:v>91.927525123360581</c:v>
                </c:pt>
                <c:pt idx="102">
                  <c:v>91.927525123360581</c:v>
                </c:pt>
                <c:pt idx="103">
                  <c:v>91.927525123360581</c:v>
                </c:pt>
                <c:pt idx="104">
                  <c:v>91.927525123360581</c:v>
                </c:pt>
                <c:pt idx="105">
                  <c:v>91.927525123360581</c:v>
                </c:pt>
                <c:pt idx="106">
                  <c:v>91.927525123360581</c:v>
                </c:pt>
                <c:pt idx="107">
                  <c:v>91.927525123360581</c:v>
                </c:pt>
                <c:pt idx="108">
                  <c:v>91.927525123360581</c:v>
                </c:pt>
                <c:pt idx="109">
                  <c:v>91.927525123360581</c:v>
                </c:pt>
                <c:pt idx="110">
                  <c:v>91.927525123360581</c:v>
                </c:pt>
                <c:pt idx="111">
                  <c:v>91.927525123360581</c:v>
                </c:pt>
                <c:pt idx="112">
                  <c:v>91.927525123360581</c:v>
                </c:pt>
                <c:pt idx="113">
                  <c:v>91.927525123360581</c:v>
                </c:pt>
                <c:pt idx="114">
                  <c:v>91.927525123360581</c:v>
                </c:pt>
                <c:pt idx="115">
                  <c:v>91.927525123360581</c:v>
                </c:pt>
                <c:pt idx="116">
                  <c:v>91.927525123360581</c:v>
                </c:pt>
                <c:pt idx="117">
                  <c:v>91.927525123360581</c:v>
                </c:pt>
                <c:pt idx="118">
                  <c:v>91.927525123360581</c:v>
                </c:pt>
                <c:pt idx="119">
                  <c:v>91.927525123360581</c:v>
                </c:pt>
                <c:pt idx="120">
                  <c:v>91.927525123360581</c:v>
                </c:pt>
                <c:pt idx="121">
                  <c:v>91.927525123360581</c:v>
                </c:pt>
                <c:pt idx="122">
                  <c:v>91.927525123360581</c:v>
                </c:pt>
                <c:pt idx="123">
                  <c:v>91.927525123360581</c:v>
                </c:pt>
                <c:pt idx="124">
                  <c:v>91.927525123360581</c:v>
                </c:pt>
                <c:pt idx="125">
                  <c:v>91.927525123360581</c:v>
                </c:pt>
                <c:pt idx="126">
                  <c:v>91.927525123360581</c:v>
                </c:pt>
                <c:pt idx="127">
                  <c:v>91.927525123360581</c:v>
                </c:pt>
                <c:pt idx="128">
                  <c:v>91.927525123360581</c:v>
                </c:pt>
                <c:pt idx="129">
                  <c:v>91.927525123360581</c:v>
                </c:pt>
                <c:pt idx="130">
                  <c:v>91.927525123360581</c:v>
                </c:pt>
                <c:pt idx="131">
                  <c:v>91.927525123360581</c:v>
                </c:pt>
                <c:pt idx="132">
                  <c:v>91.927525123360581</c:v>
                </c:pt>
                <c:pt idx="133">
                  <c:v>91.927525123360581</c:v>
                </c:pt>
                <c:pt idx="134">
                  <c:v>91.927525123360581</c:v>
                </c:pt>
                <c:pt idx="135">
                  <c:v>91.927525123360581</c:v>
                </c:pt>
                <c:pt idx="136">
                  <c:v>91.927525123360581</c:v>
                </c:pt>
                <c:pt idx="137">
                  <c:v>91.927525123360581</c:v>
                </c:pt>
                <c:pt idx="138">
                  <c:v>91.927525123360581</c:v>
                </c:pt>
                <c:pt idx="139">
                  <c:v>91.927525123360581</c:v>
                </c:pt>
                <c:pt idx="140">
                  <c:v>91.927525123360581</c:v>
                </c:pt>
                <c:pt idx="141">
                  <c:v>91.927525123360581</c:v>
                </c:pt>
                <c:pt idx="142">
                  <c:v>91.927525123360581</c:v>
                </c:pt>
                <c:pt idx="143">
                  <c:v>91.927525123360581</c:v>
                </c:pt>
                <c:pt idx="144">
                  <c:v>91.927525123360581</c:v>
                </c:pt>
                <c:pt idx="145">
                  <c:v>91.927525123360581</c:v>
                </c:pt>
                <c:pt idx="146">
                  <c:v>91.927525123360581</c:v>
                </c:pt>
                <c:pt idx="147">
                  <c:v>91.927525123360581</c:v>
                </c:pt>
                <c:pt idx="148">
                  <c:v>91.927525123360581</c:v>
                </c:pt>
                <c:pt idx="149">
                  <c:v>91.927525123360581</c:v>
                </c:pt>
                <c:pt idx="150">
                  <c:v>91.927525123360581</c:v>
                </c:pt>
                <c:pt idx="151">
                  <c:v>91.927525123360581</c:v>
                </c:pt>
                <c:pt idx="152">
                  <c:v>91.927525123360581</c:v>
                </c:pt>
                <c:pt idx="153">
                  <c:v>91.927525123360581</c:v>
                </c:pt>
                <c:pt idx="154">
                  <c:v>91.927525123360581</c:v>
                </c:pt>
                <c:pt idx="155">
                  <c:v>91.927525123360581</c:v>
                </c:pt>
                <c:pt idx="156">
                  <c:v>91.927525123360581</c:v>
                </c:pt>
                <c:pt idx="157">
                  <c:v>91.927525123360581</c:v>
                </c:pt>
                <c:pt idx="158">
                  <c:v>91.927525123360581</c:v>
                </c:pt>
                <c:pt idx="159">
                  <c:v>91.927525123360581</c:v>
                </c:pt>
                <c:pt idx="160">
                  <c:v>91.927525123360581</c:v>
                </c:pt>
                <c:pt idx="161">
                  <c:v>91.927525123360581</c:v>
                </c:pt>
                <c:pt idx="162">
                  <c:v>91.927525123360581</c:v>
                </c:pt>
                <c:pt idx="163">
                  <c:v>91.927525123360581</c:v>
                </c:pt>
                <c:pt idx="164">
                  <c:v>91.927525123360581</c:v>
                </c:pt>
                <c:pt idx="165">
                  <c:v>91.927525123360581</c:v>
                </c:pt>
                <c:pt idx="166">
                  <c:v>91.927525123360581</c:v>
                </c:pt>
                <c:pt idx="167">
                  <c:v>91.927525123360581</c:v>
                </c:pt>
                <c:pt idx="168">
                  <c:v>91.927525123360581</c:v>
                </c:pt>
                <c:pt idx="169">
                  <c:v>91.927525123360581</c:v>
                </c:pt>
                <c:pt idx="170">
                  <c:v>91.927525123360581</c:v>
                </c:pt>
                <c:pt idx="171">
                  <c:v>91.927525123360581</c:v>
                </c:pt>
                <c:pt idx="172">
                  <c:v>91.927525123360581</c:v>
                </c:pt>
                <c:pt idx="173">
                  <c:v>91.927525123360581</c:v>
                </c:pt>
                <c:pt idx="174">
                  <c:v>91.927525123360581</c:v>
                </c:pt>
                <c:pt idx="175">
                  <c:v>91.927525123360581</c:v>
                </c:pt>
                <c:pt idx="176">
                  <c:v>91.927525123360581</c:v>
                </c:pt>
                <c:pt idx="177">
                  <c:v>91.927525123360581</c:v>
                </c:pt>
                <c:pt idx="178">
                  <c:v>91.927525123360581</c:v>
                </c:pt>
                <c:pt idx="179">
                  <c:v>91.927525123360581</c:v>
                </c:pt>
                <c:pt idx="180">
                  <c:v>91.927525123360581</c:v>
                </c:pt>
                <c:pt idx="181">
                  <c:v>91.927525123360581</c:v>
                </c:pt>
                <c:pt idx="182">
                  <c:v>91.927525123360581</c:v>
                </c:pt>
                <c:pt idx="183">
                  <c:v>91.927525123360581</c:v>
                </c:pt>
                <c:pt idx="184">
                  <c:v>91.927525123360581</c:v>
                </c:pt>
                <c:pt idx="185">
                  <c:v>91.927525123360581</c:v>
                </c:pt>
                <c:pt idx="186">
                  <c:v>91.927525123360581</c:v>
                </c:pt>
                <c:pt idx="187">
                  <c:v>91.927525123360581</c:v>
                </c:pt>
                <c:pt idx="188">
                  <c:v>91.927525123360581</c:v>
                </c:pt>
                <c:pt idx="189">
                  <c:v>91.927525123360581</c:v>
                </c:pt>
                <c:pt idx="190">
                  <c:v>91.927525123360581</c:v>
                </c:pt>
                <c:pt idx="191">
                  <c:v>91.927525123360581</c:v>
                </c:pt>
                <c:pt idx="192">
                  <c:v>91.927525123360581</c:v>
                </c:pt>
                <c:pt idx="193">
                  <c:v>91.927525123360581</c:v>
                </c:pt>
                <c:pt idx="194">
                  <c:v>91.927525123360581</c:v>
                </c:pt>
                <c:pt idx="195">
                  <c:v>92.887276860917211</c:v>
                </c:pt>
                <c:pt idx="196">
                  <c:v>90.675675030895377</c:v>
                </c:pt>
                <c:pt idx="197">
                  <c:v>92.428265160346641</c:v>
                </c:pt>
                <c:pt idx="198">
                  <c:v>93.304560225072265</c:v>
                </c:pt>
                <c:pt idx="199">
                  <c:v>97.31048052096088</c:v>
                </c:pt>
                <c:pt idx="200">
                  <c:v>98.437145604179562</c:v>
                </c:pt>
                <c:pt idx="201">
                  <c:v>99.146527323243163</c:v>
                </c:pt>
                <c:pt idx="202">
                  <c:v>102.31788089082166</c:v>
                </c:pt>
                <c:pt idx="203">
                  <c:v>101.73368418100458</c:v>
                </c:pt>
                <c:pt idx="204">
                  <c:v>102.69343591856121</c:v>
                </c:pt>
                <c:pt idx="205">
                  <c:v>99.981094051553285</c:v>
                </c:pt>
                <c:pt idx="206">
                  <c:v>99.897637378722266</c:v>
                </c:pt>
                <c:pt idx="207">
                  <c:v>100.44010575212386</c:v>
                </c:pt>
                <c:pt idx="208">
                  <c:v>98.228503922102036</c:v>
                </c:pt>
                <c:pt idx="209">
                  <c:v>96.309000446988748</c:v>
                </c:pt>
                <c:pt idx="210">
                  <c:v>92.010981796191587</c:v>
                </c:pt>
                <c:pt idx="211">
                  <c:v>91.802340114114045</c:v>
                </c:pt>
                <c:pt idx="212">
                  <c:v>93.137646879410241</c:v>
                </c:pt>
                <c:pt idx="213">
                  <c:v>92.303080151100104</c:v>
                </c:pt>
                <c:pt idx="214">
                  <c:v>93.304560225072265</c:v>
                </c:pt>
                <c:pt idx="215">
                  <c:v>94.180855289797904</c:v>
                </c:pt>
                <c:pt idx="216">
                  <c:v>95.349248709432075</c:v>
                </c:pt>
                <c:pt idx="217">
                  <c:v>91.802340114114031</c:v>
                </c:pt>
                <c:pt idx="218">
                  <c:v>92.219623478269099</c:v>
                </c:pt>
                <c:pt idx="219">
                  <c:v>92.9290051973327</c:v>
                </c:pt>
                <c:pt idx="220">
                  <c:v>93.429745234318773</c:v>
                </c:pt>
                <c:pt idx="221">
                  <c:v>94.973693681692509</c:v>
                </c:pt>
                <c:pt idx="222">
                  <c:v>94.514681981121939</c:v>
                </c:pt>
                <c:pt idx="223">
                  <c:v>92.094438469022563</c:v>
                </c:pt>
                <c:pt idx="224">
                  <c:v>91.426785086374466</c:v>
                </c:pt>
                <c:pt idx="225">
                  <c:v>91.426785086374466</c:v>
                </c:pt>
                <c:pt idx="226">
                  <c:v>91.426785086374466</c:v>
                </c:pt>
                <c:pt idx="227">
                  <c:v>91.426785086374466</c:v>
                </c:pt>
                <c:pt idx="228">
                  <c:v>91.426785086374466</c:v>
                </c:pt>
                <c:pt idx="229">
                  <c:v>91.426785086374466</c:v>
                </c:pt>
                <c:pt idx="230">
                  <c:v>91.426785086374466</c:v>
                </c:pt>
                <c:pt idx="231">
                  <c:v>91.426785086374466</c:v>
                </c:pt>
                <c:pt idx="232">
                  <c:v>91.426785086374466</c:v>
                </c:pt>
                <c:pt idx="233">
                  <c:v>91.426785086374466</c:v>
                </c:pt>
                <c:pt idx="234">
                  <c:v>91.426785086374466</c:v>
                </c:pt>
                <c:pt idx="235">
                  <c:v>91.426785086374466</c:v>
                </c:pt>
                <c:pt idx="236">
                  <c:v>91.426785086374466</c:v>
                </c:pt>
                <c:pt idx="237">
                  <c:v>91.426785086374466</c:v>
                </c:pt>
                <c:pt idx="238">
                  <c:v>91.426785086374466</c:v>
                </c:pt>
                <c:pt idx="239">
                  <c:v>91.426785086374466</c:v>
                </c:pt>
                <c:pt idx="240">
                  <c:v>91.426785086374466</c:v>
                </c:pt>
                <c:pt idx="241">
                  <c:v>91.426785086374466</c:v>
                </c:pt>
                <c:pt idx="242">
                  <c:v>91.426785086374466</c:v>
                </c:pt>
                <c:pt idx="243">
                  <c:v>91.426785086374466</c:v>
                </c:pt>
                <c:pt idx="244">
                  <c:v>91.426785086374466</c:v>
                </c:pt>
                <c:pt idx="245">
                  <c:v>91.426785086374466</c:v>
                </c:pt>
                <c:pt idx="246">
                  <c:v>91.426785086374466</c:v>
                </c:pt>
                <c:pt idx="247">
                  <c:v>91.426785086374466</c:v>
                </c:pt>
                <c:pt idx="248">
                  <c:v>91.426785086374466</c:v>
                </c:pt>
                <c:pt idx="249">
                  <c:v>91.426785086374466</c:v>
                </c:pt>
                <c:pt idx="250">
                  <c:v>91.426785086374466</c:v>
                </c:pt>
                <c:pt idx="251">
                  <c:v>91.426785086374466</c:v>
                </c:pt>
                <c:pt idx="252">
                  <c:v>91.426785086374466</c:v>
                </c:pt>
                <c:pt idx="253">
                  <c:v>91.426785086374466</c:v>
                </c:pt>
                <c:pt idx="254">
                  <c:v>91.426785086374466</c:v>
                </c:pt>
                <c:pt idx="255">
                  <c:v>91.426785086374466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9-4B89-9F9C-3FF93E158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71083861"/>
        <c:axId val="58864692"/>
      </c:lineChart>
      <c:dateAx>
        <c:axId val="71083861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58864692"/>
        <c:crosses val="autoZero"/>
        <c:auto val="1"/>
        <c:lblOffset val="100"/>
        <c:baseTimeUnit val="days"/>
      </c:dateAx>
      <c:valAx>
        <c:axId val="5886469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7108386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sz="1800" b="1" strike="noStrike" spc="-1">
                <a:solidFill>
                  <a:srgbClr val="000000"/>
                </a:solidFill>
                <a:latin typeface="Calibri"/>
              </a:rPr>
              <a:t>Rebased Performance (start = 100)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Stats!$B$16</c:f>
              <c:strCache>
                <c:ptCount val="1"/>
                <c:pt idx="0">
                  <c:v>0700.HK</c:v>
                </c:pt>
              </c:strCache>
            </c:strRef>
          </c:tx>
          <c:spPr>
            <a:ln w="15120">
              <a:solidFill>
                <a:srgbClr val="4A7EB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Stats!$B$17:$B$272</c:f>
              <c:numCache>
                <c:formatCode>0.0</c:formatCode>
                <c:ptCount val="256"/>
                <c:pt idx="0">
                  <c:v>100</c:v>
                </c:pt>
                <c:pt idx="1">
                  <c:v>99.556548447313929</c:v>
                </c:pt>
                <c:pt idx="2">
                  <c:v>100.14782216895873</c:v>
                </c:pt>
                <c:pt idx="3">
                  <c:v>99.778274223656965</c:v>
                </c:pt>
                <c:pt idx="4">
                  <c:v>99.852192785231367</c:v>
                </c:pt>
                <c:pt idx="5">
                  <c:v>96.304505592792324</c:v>
                </c:pt>
                <c:pt idx="6">
                  <c:v>94.456765866283533</c:v>
                </c:pt>
                <c:pt idx="7">
                  <c:v>91.796011687596817</c:v>
                </c:pt>
                <c:pt idx="8">
                  <c:v>92.682929747159051</c:v>
                </c:pt>
                <c:pt idx="9">
                  <c:v>91.648189518638077</c:v>
                </c:pt>
                <c:pt idx="10">
                  <c:v>89.874353399513609</c:v>
                </c:pt>
                <c:pt idx="11">
                  <c:v>92.756848308733439</c:v>
                </c:pt>
                <c:pt idx="12">
                  <c:v>93.200299861419523</c:v>
                </c:pt>
                <c:pt idx="13">
                  <c:v>92.165559632898564</c:v>
                </c:pt>
                <c:pt idx="14">
                  <c:v>93.56984780672127</c:v>
                </c:pt>
                <c:pt idx="15">
                  <c:v>94.235040089940483</c:v>
                </c:pt>
                <c:pt idx="16">
                  <c:v>96.969697876011523</c:v>
                </c:pt>
                <c:pt idx="17">
                  <c:v>95.343683925845752</c:v>
                </c:pt>
                <c:pt idx="18">
                  <c:v>96.230601985408001</c:v>
                </c:pt>
                <c:pt idx="19">
                  <c:v>92.978574085076488</c:v>
                </c:pt>
                <c:pt idx="20">
                  <c:v>92.830751916117777</c:v>
                </c:pt>
                <c:pt idx="21">
                  <c:v>92.978574085076488</c:v>
                </c:pt>
                <c:pt idx="22">
                  <c:v>92.978574085076488</c:v>
                </c:pt>
                <c:pt idx="23">
                  <c:v>95.195861756887041</c:v>
                </c:pt>
                <c:pt idx="24">
                  <c:v>93.71766997568001</c:v>
                </c:pt>
                <c:pt idx="25">
                  <c:v>96.008876209064965</c:v>
                </c:pt>
                <c:pt idx="26">
                  <c:v>96.082779816449289</c:v>
                </c:pt>
                <c:pt idx="27">
                  <c:v>97.117520044970234</c:v>
                </c:pt>
                <c:pt idx="28">
                  <c:v>96.969697876011523</c:v>
                </c:pt>
                <c:pt idx="29">
                  <c:v>94.752395250010892</c:v>
                </c:pt>
                <c:pt idx="30">
                  <c:v>94.087217920981757</c:v>
                </c:pt>
                <c:pt idx="31">
                  <c:v>92.165559632898564</c:v>
                </c:pt>
                <c:pt idx="32">
                  <c:v>92.017737463939838</c:v>
                </c:pt>
                <c:pt idx="33">
                  <c:v>91.796011687596817</c:v>
                </c:pt>
                <c:pt idx="34">
                  <c:v>90.169997737431046</c:v>
                </c:pt>
                <c:pt idx="35">
                  <c:v>92.31338180185729</c:v>
                </c:pt>
                <c:pt idx="36">
                  <c:v>92.387285409241599</c:v>
                </c:pt>
                <c:pt idx="37">
                  <c:v>91.574285911253767</c:v>
                </c:pt>
                <c:pt idx="38">
                  <c:v>90.391723513774082</c:v>
                </c:pt>
                <c:pt idx="39">
                  <c:v>90.391723513774082</c:v>
                </c:pt>
                <c:pt idx="40">
                  <c:v>91.574285911253767</c:v>
                </c:pt>
                <c:pt idx="41">
                  <c:v>91.204737965951992</c:v>
                </c:pt>
                <c:pt idx="42">
                  <c:v>90.317819906389758</c:v>
                </c:pt>
                <c:pt idx="43">
                  <c:v>90.465627121158406</c:v>
                </c:pt>
                <c:pt idx="44">
                  <c:v>90.169997737431046</c:v>
                </c:pt>
                <c:pt idx="45">
                  <c:v>89.430886892637446</c:v>
                </c:pt>
                <c:pt idx="46">
                  <c:v>89.061353901525763</c:v>
                </c:pt>
                <c:pt idx="47">
                  <c:v>89.135257508910087</c:v>
                </c:pt>
                <c:pt idx="48">
                  <c:v>88.913531732567051</c:v>
                </c:pt>
                <c:pt idx="49">
                  <c:v>91.05691579699328</c:v>
                </c:pt>
                <c:pt idx="50">
                  <c:v>89.135257508910087</c:v>
                </c:pt>
                <c:pt idx="51">
                  <c:v>88.174420887773437</c:v>
                </c:pt>
                <c:pt idx="52">
                  <c:v>89.430886892637446</c:v>
                </c:pt>
                <c:pt idx="53">
                  <c:v>89.430886892637446</c:v>
                </c:pt>
                <c:pt idx="54">
                  <c:v>90.761271459075857</c:v>
                </c:pt>
                <c:pt idx="55">
                  <c:v>90.835190020650245</c:v>
                </c:pt>
                <c:pt idx="56">
                  <c:v>88.987435339951375</c:v>
                </c:pt>
                <c:pt idx="57">
                  <c:v>89.061353901525763</c:v>
                </c:pt>
                <c:pt idx="58">
                  <c:v>88.174420887773437</c:v>
                </c:pt>
                <c:pt idx="59">
                  <c:v>88.691805956224016</c:v>
                </c:pt>
                <c:pt idx="60">
                  <c:v>88.543968833075198</c:v>
                </c:pt>
                <c:pt idx="61">
                  <c:v>92.09165602551424</c:v>
                </c:pt>
                <c:pt idx="62">
                  <c:v>92.31338180185729</c:v>
                </c:pt>
                <c:pt idx="63">
                  <c:v>93.495929245146883</c:v>
                </c:pt>
                <c:pt idx="64">
                  <c:v>92.31338180185729</c:v>
                </c:pt>
                <c:pt idx="65">
                  <c:v>91.05691579699328</c:v>
                </c:pt>
                <c:pt idx="66">
                  <c:v>90.317819906389758</c:v>
                </c:pt>
                <c:pt idx="67">
                  <c:v>92.09165602551424</c:v>
                </c:pt>
                <c:pt idx="68">
                  <c:v>92.756848308733439</c:v>
                </c:pt>
                <c:pt idx="69">
                  <c:v>93.56984780672127</c:v>
                </c:pt>
                <c:pt idx="70">
                  <c:v>91.943833856555528</c:v>
                </c:pt>
                <c:pt idx="71">
                  <c:v>91.27864157333633</c:v>
                </c:pt>
                <c:pt idx="72">
                  <c:v>90.169997737431046</c:v>
                </c:pt>
                <c:pt idx="73">
                  <c:v>88.839613170992635</c:v>
                </c:pt>
                <c:pt idx="74">
                  <c:v>89.061353901525763</c:v>
                </c:pt>
                <c:pt idx="75">
                  <c:v>88.322243056732162</c:v>
                </c:pt>
                <c:pt idx="76">
                  <c:v>87.952695111430415</c:v>
                </c:pt>
                <c:pt idx="77">
                  <c:v>88.6178873946496</c:v>
                </c:pt>
                <c:pt idx="78">
                  <c:v>89.726531230554897</c:v>
                </c:pt>
                <c:pt idx="79">
                  <c:v>91.796011687596817</c:v>
                </c:pt>
                <c:pt idx="80">
                  <c:v>91.943833856555528</c:v>
                </c:pt>
                <c:pt idx="81">
                  <c:v>89.578724015786236</c:v>
                </c:pt>
                <c:pt idx="82">
                  <c:v>88.470065225690888</c:v>
                </c:pt>
                <c:pt idx="83">
                  <c:v>85.883229608578574</c:v>
                </c:pt>
                <c:pt idx="84">
                  <c:v>82.483379539288322</c:v>
                </c:pt>
                <c:pt idx="85">
                  <c:v>82.557283146672646</c:v>
                </c:pt>
                <c:pt idx="86">
                  <c:v>80.931269196506889</c:v>
                </c:pt>
                <c:pt idx="87">
                  <c:v>82.779008923015681</c:v>
                </c:pt>
                <c:pt idx="88">
                  <c:v>81.448639310767362</c:v>
                </c:pt>
                <c:pt idx="89">
                  <c:v>81.005172803891199</c:v>
                </c:pt>
                <c:pt idx="90">
                  <c:v>79.157433077382407</c:v>
                </c:pt>
                <c:pt idx="91">
                  <c:v>78.64006296312192</c:v>
                </c:pt>
                <c:pt idx="92">
                  <c:v>79.009610908423682</c:v>
                </c:pt>
                <c:pt idx="93">
                  <c:v>77.161871181914876</c:v>
                </c:pt>
                <c:pt idx="94">
                  <c:v>79.526981022684168</c:v>
                </c:pt>
                <c:pt idx="95">
                  <c:v>76.866226843997438</c:v>
                </c:pt>
                <c:pt idx="96">
                  <c:v>77.235774789299199</c:v>
                </c:pt>
                <c:pt idx="97">
                  <c:v>75.683664446517767</c:v>
                </c:pt>
                <c:pt idx="98">
                  <c:v>76.570582506080015</c:v>
                </c:pt>
                <c:pt idx="99">
                  <c:v>75.979308784435204</c:v>
                </c:pt>
                <c:pt idx="100">
                  <c:v>75.461938670174717</c:v>
                </c:pt>
                <c:pt idx="101">
                  <c:v>74.796746386955533</c:v>
                </c:pt>
                <c:pt idx="102">
                  <c:v>74.205472665310722</c:v>
                </c:pt>
                <c:pt idx="103">
                  <c:v>76.718404675038727</c:v>
                </c:pt>
                <c:pt idx="104">
                  <c:v>76.274938168162564</c:v>
                </c:pt>
                <c:pt idx="105">
                  <c:v>81.818187256069123</c:v>
                </c:pt>
                <c:pt idx="106">
                  <c:v>81.596461479726074</c:v>
                </c:pt>
                <c:pt idx="107">
                  <c:v>80.783447027548164</c:v>
                </c:pt>
                <c:pt idx="108">
                  <c:v>80.931269196506889</c:v>
                </c:pt>
                <c:pt idx="109">
                  <c:v>82.557283146672646</c:v>
                </c:pt>
                <c:pt idx="110">
                  <c:v>81.30081714180865</c:v>
                </c:pt>
                <c:pt idx="111">
                  <c:v>81.37472074919296</c:v>
                </c:pt>
                <c:pt idx="112">
                  <c:v>75.831486615476479</c:v>
                </c:pt>
                <c:pt idx="113">
                  <c:v>75.092390724872956</c:v>
                </c:pt>
                <c:pt idx="114">
                  <c:v>73.673312857059329</c:v>
                </c:pt>
                <c:pt idx="115">
                  <c:v>75.979308784435204</c:v>
                </c:pt>
                <c:pt idx="116">
                  <c:v>74.722842779571195</c:v>
                </c:pt>
                <c:pt idx="117">
                  <c:v>73.259425738164992</c:v>
                </c:pt>
                <c:pt idx="118">
                  <c:v>72.934216966455807</c:v>
                </c:pt>
                <c:pt idx="119">
                  <c:v>71.189945281123073</c:v>
                </c:pt>
                <c:pt idx="120">
                  <c:v>71.544718486624006</c:v>
                </c:pt>
                <c:pt idx="121">
                  <c:v>73.407247907123718</c:v>
                </c:pt>
                <c:pt idx="122">
                  <c:v>72.313378811019263</c:v>
                </c:pt>
                <c:pt idx="123">
                  <c:v>75.092390724872956</c:v>
                </c:pt>
                <c:pt idx="124">
                  <c:v>75.166294332257294</c:v>
                </c:pt>
                <c:pt idx="125">
                  <c:v>74.575020610612484</c:v>
                </c:pt>
                <c:pt idx="126">
                  <c:v>72.431636546186255</c:v>
                </c:pt>
                <c:pt idx="127">
                  <c:v>72.904667486854152</c:v>
                </c:pt>
                <c:pt idx="128">
                  <c:v>73.762006158434573</c:v>
                </c:pt>
                <c:pt idx="129">
                  <c:v>76.422760337121275</c:v>
                </c:pt>
                <c:pt idx="130">
                  <c:v>75.461938670174717</c:v>
                </c:pt>
                <c:pt idx="131">
                  <c:v>77.235774789299199</c:v>
                </c:pt>
                <c:pt idx="132">
                  <c:v>76.718404675038727</c:v>
                </c:pt>
                <c:pt idx="133">
                  <c:v>74.501117003228174</c:v>
                </c:pt>
                <c:pt idx="134">
                  <c:v>73.200296870581511</c:v>
                </c:pt>
                <c:pt idx="135">
                  <c:v>72.934216966455807</c:v>
                </c:pt>
                <c:pt idx="136">
                  <c:v>70.746493728437002</c:v>
                </c:pt>
                <c:pt idx="137">
                  <c:v>70.036962271625214</c:v>
                </c:pt>
                <c:pt idx="138">
                  <c:v>70.835187029812232</c:v>
                </c:pt>
                <c:pt idx="139">
                  <c:v>69.150029257872887</c:v>
                </c:pt>
                <c:pt idx="140">
                  <c:v>69.918704536458236</c:v>
                </c:pt>
                <c:pt idx="141">
                  <c:v>69.800446801291272</c:v>
                </c:pt>
                <c:pt idx="142">
                  <c:v>68.440512755251206</c:v>
                </c:pt>
                <c:pt idx="143">
                  <c:v>70.569107125686543</c:v>
                </c:pt>
                <c:pt idx="144">
                  <c:v>69.682189066124295</c:v>
                </c:pt>
                <c:pt idx="145">
                  <c:v>68.647448837603335</c:v>
                </c:pt>
                <c:pt idx="146">
                  <c:v>67.583144175290627</c:v>
                </c:pt>
                <c:pt idx="147">
                  <c:v>68.38138388766771</c:v>
                </c:pt>
                <c:pt idx="148">
                  <c:v>68.02661068216679</c:v>
                </c:pt>
                <c:pt idx="149">
                  <c:v>68.250923533393987</c:v>
                </c:pt>
                <c:pt idx="150">
                  <c:v>67.17422184750346</c:v>
                </c:pt>
                <c:pt idx="151">
                  <c:v>68.78927437633925</c:v>
                </c:pt>
                <c:pt idx="152">
                  <c:v>68.071473252412233</c:v>
                </c:pt>
                <c:pt idx="153">
                  <c:v>65.648894459158541</c:v>
                </c:pt>
                <c:pt idx="154">
                  <c:v>66.007795021122035</c:v>
                </c:pt>
                <c:pt idx="155">
                  <c:v>65.648894459158541</c:v>
                </c:pt>
                <c:pt idx="156">
                  <c:v>64.961001715395142</c:v>
                </c:pt>
                <c:pt idx="157">
                  <c:v>63.555307847704732</c:v>
                </c:pt>
                <c:pt idx="158">
                  <c:v>63.884300029504615</c:v>
                </c:pt>
                <c:pt idx="159">
                  <c:v>65.200268756704148</c:v>
                </c:pt>
                <c:pt idx="160">
                  <c:v>72.01937943401083</c:v>
                </c:pt>
                <c:pt idx="161">
                  <c:v>69.746342541575274</c:v>
                </c:pt>
                <c:pt idx="162">
                  <c:v>68.639732475521114</c:v>
                </c:pt>
                <c:pt idx="163">
                  <c:v>67.772389450775975</c:v>
                </c:pt>
                <c:pt idx="164">
                  <c:v>66.7555045252127</c:v>
                </c:pt>
                <c:pt idx="165">
                  <c:v>67.772389450775975</c:v>
                </c:pt>
                <c:pt idx="166">
                  <c:v>69.626709020920771</c:v>
                </c:pt>
                <c:pt idx="167">
                  <c:v>68.37055705404849</c:v>
                </c:pt>
                <c:pt idx="168">
                  <c:v>69.327625219284513</c:v>
                </c:pt>
                <c:pt idx="169">
                  <c:v>68.729457616011985</c:v>
                </c:pt>
                <c:pt idx="170">
                  <c:v>66.905046426030822</c:v>
                </c:pt>
                <c:pt idx="171">
                  <c:v>66.605962624394564</c:v>
                </c:pt>
                <c:pt idx="172">
                  <c:v>65.828344740140281</c:v>
                </c:pt>
                <c:pt idx="173">
                  <c:v>64.751643054249769</c:v>
                </c:pt>
                <c:pt idx="174">
                  <c:v>62.029980459359827</c:v>
                </c:pt>
                <c:pt idx="175">
                  <c:v>64.123567070813621</c:v>
                </c:pt>
                <c:pt idx="176">
                  <c:v>63.016957004759469</c:v>
                </c:pt>
                <c:pt idx="177">
                  <c:v>61.581354756905441</c:v>
                </c:pt>
                <c:pt idx="178">
                  <c:v>62.837506723777715</c:v>
                </c:pt>
                <c:pt idx="179">
                  <c:v>64.273108971631757</c:v>
                </c:pt>
                <c:pt idx="180">
                  <c:v>64.332925731958994</c:v>
                </c:pt>
                <c:pt idx="181">
                  <c:v>64.48246763277713</c:v>
                </c:pt>
                <c:pt idx="182">
                  <c:v>67.592939169794207</c:v>
                </c:pt>
                <c:pt idx="183">
                  <c:v>68.968724657321005</c:v>
                </c:pt>
                <c:pt idx="184">
                  <c:v>71.600662111720069</c:v>
                </c:pt>
                <c:pt idx="185">
                  <c:v>70.224876624193286</c:v>
                </c:pt>
                <c:pt idx="186">
                  <c:v>68.819182756502869</c:v>
                </c:pt>
                <c:pt idx="187">
                  <c:v>68.430373814375727</c:v>
                </c:pt>
                <c:pt idx="188">
                  <c:v>68.221015153230354</c:v>
                </c:pt>
                <c:pt idx="189">
                  <c:v>70.882860987793052</c:v>
                </c:pt>
                <c:pt idx="190">
                  <c:v>72.378279995974339</c:v>
                </c:pt>
                <c:pt idx="191">
                  <c:v>69.028541417648242</c:v>
                </c:pt>
                <c:pt idx="192">
                  <c:v>71.451120210901948</c:v>
                </c:pt>
                <c:pt idx="193">
                  <c:v>70.882860987793052</c:v>
                </c:pt>
                <c:pt idx="194">
                  <c:v>65.888161500467547</c:v>
                </c:pt>
                <c:pt idx="195">
                  <c:v>66.576054244230932</c:v>
                </c:pt>
                <c:pt idx="196">
                  <c:v>64.990910095558775</c:v>
                </c:pt>
                <c:pt idx="197">
                  <c:v>66.247062062431056</c:v>
                </c:pt>
                <c:pt idx="198">
                  <c:v>66.875138045867189</c:v>
                </c:pt>
                <c:pt idx="199">
                  <c:v>69.746342541575274</c:v>
                </c:pt>
                <c:pt idx="200">
                  <c:v>70.553868805993176</c:v>
                </c:pt>
                <c:pt idx="201">
                  <c:v>71.062311268774806</c:v>
                </c:pt>
                <c:pt idx="202">
                  <c:v>73.335348161210362</c:v>
                </c:pt>
                <c:pt idx="203">
                  <c:v>72.916630838919602</c:v>
                </c:pt>
                <c:pt idx="204">
                  <c:v>73.604523582682987</c:v>
                </c:pt>
                <c:pt idx="205">
                  <c:v>71.660478872047321</c:v>
                </c:pt>
                <c:pt idx="206">
                  <c:v>71.600662111720069</c:v>
                </c:pt>
                <c:pt idx="207">
                  <c:v>71.989471053847197</c:v>
                </c:pt>
                <c:pt idx="208">
                  <c:v>70.40432690517504</c:v>
                </c:pt>
                <c:pt idx="209">
                  <c:v>69.028541417648242</c:v>
                </c:pt>
                <c:pt idx="210">
                  <c:v>65.947978260794798</c:v>
                </c:pt>
                <c:pt idx="211">
                  <c:v>65.798436359976662</c:v>
                </c:pt>
                <c:pt idx="212">
                  <c:v>66.7555045252127</c:v>
                </c:pt>
                <c:pt idx="213">
                  <c:v>66.157336921940171</c:v>
                </c:pt>
                <c:pt idx="214">
                  <c:v>66.875138045867189</c:v>
                </c:pt>
                <c:pt idx="215">
                  <c:v>67.503214029303336</c:v>
                </c:pt>
                <c:pt idx="216">
                  <c:v>68.340648673884857</c:v>
                </c:pt>
                <c:pt idx="217">
                  <c:v>65.798436359976662</c:v>
                </c:pt>
                <c:pt idx="218">
                  <c:v>66.09752016161292</c:v>
                </c:pt>
                <c:pt idx="219">
                  <c:v>66.605962624394564</c:v>
                </c:pt>
                <c:pt idx="220">
                  <c:v>66.964863186358073</c:v>
                </c:pt>
                <c:pt idx="221">
                  <c:v>68.071473252412233</c:v>
                </c:pt>
                <c:pt idx="222">
                  <c:v>67.742481070612342</c:v>
                </c:pt>
                <c:pt idx="223">
                  <c:v>66.007795021122035</c:v>
                </c:pt>
                <c:pt idx="224">
                  <c:v>65.529260938504024</c:v>
                </c:pt>
                <c:pt idx="225">
                  <c:v>64.751643054249769</c:v>
                </c:pt>
                <c:pt idx="226">
                  <c:v>66.217153682267423</c:v>
                </c:pt>
                <c:pt idx="227">
                  <c:v>65.559169318667657</c:v>
                </c:pt>
                <c:pt idx="228">
                  <c:v>65.110543616213263</c:v>
                </c:pt>
                <c:pt idx="229">
                  <c:v>64.90118495506789</c:v>
                </c:pt>
                <c:pt idx="230">
                  <c:v>63.645032988195616</c:v>
                </c:pt>
                <c:pt idx="231">
                  <c:v>64.06375031048637</c:v>
                </c:pt>
                <c:pt idx="232">
                  <c:v>64.39274249228626</c:v>
                </c:pt>
                <c:pt idx="233">
                  <c:v>65.618986078994908</c:v>
                </c:pt>
                <c:pt idx="234">
                  <c:v>64.811459814577006</c:v>
                </c:pt>
                <c:pt idx="235">
                  <c:v>63.704849748522861</c:v>
                </c:pt>
                <c:pt idx="236">
                  <c:v>62.65805644279596</c:v>
                </c:pt>
                <c:pt idx="237">
                  <c:v>64.303017351795376</c:v>
                </c:pt>
                <c:pt idx="238">
                  <c:v>67.533122409466955</c:v>
                </c:pt>
                <c:pt idx="239">
                  <c:v>65.947978260794798</c:v>
                </c:pt>
                <c:pt idx="240">
                  <c:v>65.559169318667657</c:v>
                </c:pt>
                <c:pt idx="241">
                  <c:v>65.289993897195032</c:v>
                </c:pt>
                <c:pt idx="242">
                  <c:v>65.768527979813044</c:v>
                </c:pt>
                <c:pt idx="243">
                  <c:v>64.602101153431633</c:v>
                </c:pt>
                <c:pt idx="244">
                  <c:v>64.452559252613511</c:v>
                </c:pt>
                <c:pt idx="245">
                  <c:v>62.987048624595843</c:v>
                </c:pt>
                <c:pt idx="246">
                  <c:v>63.256224046068475</c:v>
                </c:pt>
                <c:pt idx="247">
                  <c:v>64.033841930322737</c:v>
                </c:pt>
                <c:pt idx="248">
                  <c:v>62.897323484104973</c:v>
                </c:pt>
                <c:pt idx="249">
                  <c:v>61.521537996578182</c:v>
                </c:pt>
                <c:pt idx="250">
                  <c:v>63.525399467541114</c:v>
                </c:pt>
                <c:pt idx="251">
                  <c:v>63.674941368359242</c:v>
                </c:pt>
                <c:pt idx="252">
                  <c:v>63.585216227868358</c:v>
                </c:pt>
                <c:pt idx="253">
                  <c:v>63.316040806395726</c:v>
                </c:pt>
                <c:pt idx="254">
                  <c:v>62.478606161814213</c:v>
                </c:pt>
                <c:pt idx="255">
                  <c:v>62.478606161814213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7-4ED1-8DCF-02576AAB3455}"/>
            </c:ext>
          </c:extLst>
        </c:ser>
        <c:ser>
          <c:idx val="1"/>
          <c:order val="1"/>
          <c:tx>
            <c:strRef>
              <c:f>Stats!$C$16</c:f>
              <c:strCache>
                <c:ptCount val="1"/>
                <c:pt idx="0">
                  <c:v>9988.HK</c:v>
                </c:pt>
              </c:strCache>
            </c:strRef>
          </c:tx>
          <c:spPr>
            <a:ln w="15120">
              <a:solidFill>
                <a:srgbClr val="BE4B48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Stats!$C$17:$C$272</c:f>
              <c:numCache>
                <c:formatCode>0.0</c:formatCode>
                <c:ptCount val="256"/>
                <c:pt idx="0">
                  <c:v>100</c:v>
                </c:pt>
                <c:pt idx="1">
                  <c:v>101.09226724871347</c:v>
                </c:pt>
                <c:pt idx="2">
                  <c:v>98.580003368056381</c:v>
                </c:pt>
                <c:pt idx="3">
                  <c:v>96.996142044497716</c:v>
                </c:pt>
                <c:pt idx="4">
                  <c:v>94.647742855455704</c:v>
                </c:pt>
                <c:pt idx="5">
                  <c:v>90.333131395753171</c:v>
                </c:pt>
                <c:pt idx="6">
                  <c:v>88.803946312306309</c:v>
                </c:pt>
                <c:pt idx="7">
                  <c:v>84.980874251208888</c:v>
                </c:pt>
                <c:pt idx="8">
                  <c:v>88.257785349829518</c:v>
                </c:pt>
                <c:pt idx="9">
                  <c:v>88.039299094342752</c:v>
                </c:pt>
                <c:pt idx="10">
                  <c:v>84.325470160988729</c:v>
                </c:pt>
                <c:pt idx="11">
                  <c:v>88.421595365204482</c:v>
                </c:pt>
                <c:pt idx="12">
                  <c:v>90.16926670413811</c:v>
                </c:pt>
                <c:pt idx="13">
                  <c:v>88.421595365204482</c:v>
                </c:pt>
                <c:pt idx="14">
                  <c:v>89.896213561019778</c:v>
                </c:pt>
                <c:pt idx="15">
                  <c:v>91.916992719311864</c:v>
                </c:pt>
                <c:pt idx="16">
                  <c:v>94.811552870830653</c:v>
                </c:pt>
                <c:pt idx="17">
                  <c:v>93.391556238887048</c:v>
                </c:pt>
                <c:pt idx="18">
                  <c:v>93.992338765235544</c:v>
                </c:pt>
                <c:pt idx="19">
                  <c:v>90.16926670413811</c:v>
                </c:pt>
                <c:pt idx="20">
                  <c:v>89.131621019296333</c:v>
                </c:pt>
                <c:pt idx="21">
                  <c:v>86.837788717885914</c:v>
                </c:pt>
                <c:pt idx="22">
                  <c:v>86.56468089852747</c:v>
                </c:pt>
                <c:pt idx="23">
                  <c:v>90.114699816506544</c:v>
                </c:pt>
                <c:pt idx="24">
                  <c:v>87.438571244234396</c:v>
                </c:pt>
                <c:pt idx="25">
                  <c:v>89.240809470799604</c:v>
                </c:pt>
                <c:pt idx="26">
                  <c:v>87.602381259609359</c:v>
                </c:pt>
                <c:pt idx="27">
                  <c:v>85.636278341429062</c:v>
                </c:pt>
                <c:pt idx="28">
                  <c:v>88.476216929076173</c:v>
                </c:pt>
                <c:pt idx="29">
                  <c:v>84.598577980347173</c:v>
                </c:pt>
                <c:pt idx="30">
                  <c:v>84.598577980347173</c:v>
                </c:pt>
                <c:pt idx="31">
                  <c:v>84.434713288732112</c:v>
                </c:pt>
                <c:pt idx="32">
                  <c:v>85.417792085942295</c:v>
                </c:pt>
                <c:pt idx="33">
                  <c:v>84.543956416475481</c:v>
                </c:pt>
                <c:pt idx="34">
                  <c:v>80.611695903874789</c:v>
                </c:pt>
                <c:pt idx="35">
                  <c:v>84.380091724860407</c:v>
                </c:pt>
                <c:pt idx="36">
                  <c:v>86.182384627665726</c:v>
                </c:pt>
                <c:pt idx="37">
                  <c:v>84.543956416475481</c:v>
                </c:pt>
                <c:pt idx="38">
                  <c:v>82.250124115065049</c:v>
                </c:pt>
                <c:pt idx="39">
                  <c:v>82.741663513670147</c:v>
                </c:pt>
                <c:pt idx="40">
                  <c:v>84.598577980347173</c:v>
                </c:pt>
                <c:pt idx="41">
                  <c:v>85.745466792932334</c:v>
                </c:pt>
                <c:pt idx="42">
                  <c:v>83.888552326255308</c:v>
                </c:pt>
                <c:pt idx="43">
                  <c:v>84.325470160988729</c:v>
                </c:pt>
                <c:pt idx="44">
                  <c:v>84.653199544218865</c:v>
                </c:pt>
                <c:pt idx="45">
                  <c:v>83.77936387475205</c:v>
                </c:pt>
                <c:pt idx="46">
                  <c:v>82.413988806680123</c:v>
                </c:pt>
                <c:pt idx="47">
                  <c:v>83.670120747008653</c:v>
                </c:pt>
                <c:pt idx="48">
                  <c:v>82.250124115065049</c:v>
                </c:pt>
                <c:pt idx="49">
                  <c:v>84.161660145613766</c:v>
                </c:pt>
                <c:pt idx="50">
                  <c:v>81.157802190111468</c:v>
                </c:pt>
                <c:pt idx="51">
                  <c:v>78.754781437197778</c:v>
                </c:pt>
                <c:pt idx="52">
                  <c:v>79.737805558167864</c:v>
                </c:pt>
                <c:pt idx="53">
                  <c:v>78.700159873326086</c:v>
                </c:pt>
                <c:pt idx="54">
                  <c:v>79.355509287306148</c:v>
                </c:pt>
                <c:pt idx="55">
                  <c:v>79.956291813654616</c:v>
                </c:pt>
                <c:pt idx="56">
                  <c:v>80.393209648388037</c:v>
                </c:pt>
                <c:pt idx="57">
                  <c:v>79.792427122039555</c:v>
                </c:pt>
                <c:pt idx="58">
                  <c:v>78.263242038592679</c:v>
                </c:pt>
                <c:pt idx="59">
                  <c:v>78.918591452572727</c:v>
                </c:pt>
                <c:pt idx="60">
                  <c:v>77.990134219234236</c:v>
                </c:pt>
                <c:pt idx="61">
                  <c:v>81.376288445598234</c:v>
                </c:pt>
                <c:pt idx="62">
                  <c:v>83.451634491521915</c:v>
                </c:pt>
                <c:pt idx="63">
                  <c:v>82.359367242808432</c:v>
                </c:pt>
                <c:pt idx="64">
                  <c:v>79.683238670536298</c:v>
                </c:pt>
                <c:pt idx="65">
                  <c:v>77.880945767730964</c:v>
                </c:pt>
                <c:pt idx="66">
                  <c:v>80.010913377526322</c:v>
                </c:pt>
                <c:pt idx="67">
                  <c:v>84.270903273357149</c:v>
                </c:pt>
                <c:pt idx="68">
                  <c:v>87.329328116491013</c:v>
                </c:pt>
                <c:pt idx="69">
                  <c:v>92.299288990173579</c:v>
                </c:pt>
                <c:pt idx="70">
                  <c:v>89.896213561019778</c:v>
                </c:pt>
                <c:pt idx="71">
                  <c:v>90.770049230486592</c:v>
                </c:pt>
                <c:pt idx="72">
                  <c:v>87.602381259609359</c:v>
                </c:pt>
                <c:pt idx="73">
                  <c:v>87.220084988747629</c:v>
                </c:pt>
                <c:pt idx="74">
                  <c:v>89.131621019296333</c:v>
                </c:pt>
                <c:pt idx="75">
                  <c:v>90.005456688763147</c:v>
                </c:pt>
                <c:pt idx="76">
                  <c:v>92.026181170815136</c:v>
                </c:pt>
                <c:pt idx="77">
                  <c:v>90.223888268009816</c:v>
                </c:pt>
                <c:pt idx="78">
                  <c:v>92.790828388778678</c:v>
                </c:pt>
                <c:pt idx="79">
                  <c:v>94.756931306958975</c:v>
                </c:pt>
                <c:pt idx="80">
                  <c:v>94.647742855455704</c:v>
                </c:pt>
                <c:pt idx="81">
                  <c:v>92.408477441676851</c:v>
                </c:pt>
                <c:pt idx="82">
                  <c:v>89.186242583168024</c:v>
                </c:pt>
                <c:pt idx="83">
                  <c:v>87.930055966599369</c:v>
                </c:pt>
                <c:pt idx="84">
                  <c:v>87.110841861004246</c:v>
                </c:pt>
                <c:pt idx="85">
                  <c:v>87.165463424875938</c:v>
                </c:pt>
                <c:pt idx="86">
                  <c:v>84.653199544218865</c:v>
                </c:pt>
                <c:pt idx="87">
                  <c:v>86.237006191537432</c:v>
                </c:pt>
                <c:pt idx="88">
                  <c:v>87.657002823481037</c:v>
                </c:pt>
                <c:pt idx="89">
                  <c:v>87.438571244234396</c:v>
                </c:pt>
                <c:pt idx="90">
                  <c:v>86.619302462399148</c:v>
                </c:pt>
                <c:pt idx="91">
                  <c:v>84.871631123465505</c:v>
                </c:pt>
                <c:pt idx="92">
                  <c:v>84.48933485260379</c:v>
                </c:pt>
                <c:pt idx="93">
                  <c:v>80.338588084516346</c:v>
                </c:pt>
                <c:pt idx="94">
                  <c:v>83.123959784531877</c:v>
                </c:pt>
                <c:pt idx="95">
                  <c:v>80.830127483121444</c:v>
                </c:pt>
                <c:pt idx="96">
                  <c:v>80.993992174736519</c:v>
                </c:pt>
                <c:pt idx="97">
                  <c:v>78.099377346977604</c:v>
                </c:pt>
                <c:pt idx="98">
                  <c:v>78.044755783105913</c:v>
                </c:pt>
                <c:pt idx="99">
                  <c:v>74.494791541366951</c:v>
                </c:pt>
                <c:pt idx="100">
                  <c:v>73.620955871900122</c:v>
                </c:pt>
                <c:pt idx="101">
                  <c:v>70.944827299627988</c:v>
                </c:pt>
                <c:pt idx="102">
                  <c:v>68.978669705207579</c:v>
                </c:pt>
                <c:pt idx="103">
                  <c:v>71.381745134361395</c:v>
                </c:pt>
                <c:pt idx="104">
                  <c:v>70.289423209407815</c:v>
                </c:pt>
                <c:pt idx="105">
                  <c:v>72.910984894048383</c:v>
                </c:pt>
                <c:pt idx="106">
                  <c:v>72.747120202433308</c:v>
                </c:pt>
                <c:pt idx="107">
                  <c:v>71.87328453296648</c:v>
                </c:pt>
                <c:pt idx="108">
                  <c:v>72.364823931571593</c:v>
                </c:pt>
                <c:pt idx="109">
                  <c:v>73.184038037166715</c:v>
                </c:pt>
                <c:pt idx="110">
                  <c:v>73.511712744156739</c:v>
                </c:pt>
                <c:pt idx="111">
                  <c:v>75.204817195458816</c:v>
                </c:pt>
                <c:pt idx="112">
                  <c:v>72.09177078845326</c:v>
                </c:pt>
                <c:pt idx="113">
                  <c:v>67.558673073263975</c:v>
                </c:pt>
                <c:pt idx="114">
                  <c:v>65.374083899596926</c:v>
                </c:pt>
                <c:pt idx="115">
                  <c:v>67.285619930145629</c:v>
                </c:pt>
                <c:pt idx="116">
                  <c:v>70.398666337151198</c:v>
                </c:pt>
                <c:pt idx="117">
                  <c:v>67.176376802402245</c:v>
                </c:pt>
                <c:pt idx="118">
                  <c:v>66.957945223155605</c:v>
                </c:pt>
                <c:pt idx="119">
                  <c:v>65.811001734330347</c:v>
                </c:pt>
                <c:pt idx="120">
                  <c:v>64.99178762873521</c:v>
                </c:pt>
                <c:pt idx="121">
                  <c:v>67.012566787027296</c:v>
                </c:pt>
                <c:pt idx="122">
                  <c:v>64.718734485616864</c:v>
                </c:pt>
                <c:pt idx="123">
                  <c:v>69.087912832950963</c:v>
                </c:pt>
                <c:pt idx="124">
                  <c:v>67.121755238530568</c:v>
                </c:pt>
                <c:pt idx="125">
                  <c:v>68.541751870474172</c:v>
                </c:pt>
                <c:pt idx="126">
                  <c:v>67.285619930145629</c:v>
                </c:pt>
                <c:pt idx="127">
                  <c:v>67.995645584237494</c:v>
                </c:pt>
                <c:pt idx="128">
                  <c:v>70.234856321776235</c:v>
                </c:pt>
                <c:pt idx="129">
                  <c:v>74.167116834376912</c:v>
                </c:pt>
                <c:pt idx="130">
                  <c:v>74.494791541366951</c:v>
                </c:pt>
                <c:pt idx="131">
                  <c:v>74.82246624835696</c:v>
                </c:pt>
                <c:pt idx="132">
                  <c:v>74.440169977495259</c:v>
                </c:pt>
                <c:pt idx="133">
                  <c:v>71.818662969094788</c:v>
                </c:pt>
                <c:pt idx="134">
                  <c:v>71.217880442746335</c:v>
                </c:pt>
                <c:pt idx="135">
                  <c:v>71.982527660709877</c:v>
                </c:pt>
                <c:pt idx="136">
                  <c:v>71.108691991243063</c:v>
                </c:pt>
                <c:pt idx="137">
                  <c:v>69.087912832950963</c:v>
                </c:pt>
                <c:pt idx="138">
                  <c:v>71.327123570489704</c:v>
                </c:pt>
                <c:pt idx="139">
                  <c:v>68.81485968983263</c:v>
                </c:pt>
                <c:pt idx="140">
                  <c:v>71.927906096838186</c:v>
                </c:pt>
                <c:pt idx="141">
                  <c:v>71.654798277479728</c:v>
                </c:pt>
                <c:pt idx="142">
                  <c:v>73.293281164910098</c:v>
                </c:pt>
                <c:pt idx="143">
                  <c:v>76.952488534392444</c:v>
                </c:pt>
                <c:pt idx="144">
                  <c:v>75.914788173310555</c:v>
                </c:pt>
                <c:pt idx="145">
                  <c:v>73.129416473295024</c:v>
                </c:pt>
                <c:pt idx="146">
                  <c:v>72.801741766305</c:v>
                </c:pt>
                <c:pt idx="147">
                  <c:v>72.528688623186653</c:v>
                </c:pt>
                <c:pt idx="148">
                  <c:v>75.314005646962073</c:v>
                </c:pt>
                <c:pt idx="149">
                  <c:v>72.255580803828209</c:v>
                </c:pt>
                <c:pt idx="150">
                  <c:v>71.927906096838186</c:v>
                </c:pt>
                <c:pt idx="151">
                  <c:v>72.801741766305</c:v>
                </c:pt>
                <c:pt idx="152">
                  <c:v>72.037149224581555</c:v>
                </c:pt>
                <c:pt idx="153">
                  <c:v>68.81485968983263</c:v>
                </c:pt>
                <c:pt idx="154">
                  <c:v>69.361020652309406</c:v>
                </c:pt>
                <c:pt idx="155">
                  <c:v>69.68869535929943</c:v>
                </c:pt>
                <c:pt idx="156">
                  <c:v>67.886402456494125</c:v>
                </c:pt>
                <c:pt idx="157">
                  <c:v>66.521027388422198</c:v>
                </c:pt>
                <c:pt idx="158">
                  <c:v>66.029487989817099</c:v>
                </c:pt>
                <c:pt idx="159">
                  <c:v>67.067188350898988</c:v>
                </c:pt>
                <c:pt idx="160">
                  <c:v>71.490988262104764</c:v>
                </c:pt>
                <c:pt idx="161">
                  <c:v>69.142534396822654</c:v>
                </c:pt>
                <c:pt idx="162">
                  <c:v>67.449484621760703</c:v>
                </c:pt>
                <c:pt idx="163">
                  <c:v>66.848702095412222</c:v>
                </c:pt>
                <c:pt idx="164">
                  <c:v>64.882544500991827</c:v>
                </c:pt>
                <c:pt idx="165">
                  <c:v>63.954087267653314</c:v>
                </c:pt>
                <c:pt idx="166">
                  <c:v>62.057532526895244</c:v>
                </c:pt>
                <c:pt idx="167">
                  <c:v>58.722281880075322</c:v>
                </c:pt>
                <c:pt idx="168">
                  <c:v>60.253216603205772</c:v>
                </c:pt>
                <c:pt idx="169">
                  <c:v>59.761130442199558</c:v>
                </c:pt>
                <c:pt idx="170">
                  <c:v>58.503576919628109</c:v>
                </c:pt>
                <c:pt idx="171">
                  <c:v>58.448900679516314</c:v>
                </c:pt>
                <c:pt idx="172">
                  <c:v>57.355375877280281</c:v>
                </c:pt>
                <c:pt idx="173">
                  <c:v>56.261851075044234</c:v>
                </c:pt>
                <c:pt idx="174">
                  <c:v>54.102139590628049</c:v>
                </c:pt>
                <c:pt idx="175">
                  <c:v>54.348182671131163</c:v>
                </c:pt>
                <c:pt idx="176">
                  <c:v>51.942428106211878</c:v>
                </c:pt>
                <c:pt idx="177">
                  <c:v>48.935234900062767</c:v>
                </c:pt>
                <c:pt idx="178">
                  <c:v>50.848903303975831</c:v>
                </c:pt>
                <c:pt idx="179">
                  <c:v>50.766888943808134</c:v>
                </c:pt>
                <c:pt idx="180">
                  <c:v>51.66904690565287</c:v>
                </c:pt>
                <c:pt idx="181">
                  <c:v>51.450341945205658</c:v>
                </c:pt>
                <c:pt idx="182">
                  <c:v>52.461852387274</c:v>
                </c:pt>
                <c:pt idx="183">
                  <c:v>52.379838027106288</c:v>
                </c:pt>
                <c:pt idx="184">
                  <c:v>58.776958120187132</c:v>
                </c:pt>
                <c:pt idx="185">
                  <c:v>59.05033932074614</c:v>
                </c:pt>
                <c:pt idx="186">
                  <c:v>60.253216603205772</c:v>
                </c:pt>
                <c:pt idx="187">
                  <c:v>60.526597803764794</c:v>
                </c:pt>
                <c:pt idx="188">
                  <c:v>60.58127404387659</c:v>
                </c:pt>
                <c:pt idx="189">
                  <c:v>62.002856286783448</c:v>
                </c:pt>
                <c:pt idx="190">
                  <c:v>63.916524690696505</c:v>
                </c:pt>
                <c:pt idx="191">
                  <c:v>61.565446365889024</c:v>
                </c:pt>
                <c:pt idx="192">
                  <c:v>63.861848450584702</c:v>
                </c:pt>
                <c:pt idx="193">
                  <c:v>63.971200930808315</c:v>
                </c:pt>
                <c:pt idx="194">
                  <c:v>62.11220876700704</c:v>
                </c:pt>
                <c:pt idx="195">
                  <c:v>62.822999888460473</c:v>
                </c:pt>
                <c:pt idx="196">
                  <c:v>60.143864122982173</c:v>
                </c:pt>
                <c:pt idx="197">
                  <c:v>60.690626524100189</c:v>
                </c:pt>
                <c:pt idx="198">
                  <c:v>61.23738892521822</c:v>
                </c:pt>
                <c:pt idx="199">
                  <c:v>62.11220876700704</c:v>
                </c:pt>
                <c:pt idx="200">
                  <c:v>61.128036444994606</c:v>
                </c:pt>
                <c:pt idx="201">
                  <c:v>63.971200930808315</c:v>
                </c:pt>
                <c:pt idx="202">
                  <c:v>68.454652619976073</c:v>
                </c:pt>
                <c:pt idx="203">
                  <c:v>68.782710060646878</c:v>
                </c:pt>
                <c:pt idx="204">
                  <c:v>70.040263583218334</c:v>
                </c:pt>
                <c:pt idx="205">
                  <c:v>68.017242699081663</c:v>
                </c:pt>
                <c:pt idx="206">
                  <c:v>67.689185258410845</c:v>
                </c:pt>
                <c:pt idx="207">
                  <c:v>69.274796221653105</c:v>
                </c:pt>
                <c:pt idx="208">
                  <c:v>69.110767501317696</c:v>
                </c:pt>
                <c:pt idx="209">
                  <c:v>67.033070377069208</c:v>
                </c:pt>
                <c:pt idx="210">
                  <c:v>66.650336696286601</c:v>
                </c:pt>
                <c:pt idx="211">
                  <c:v>65.556811894050568</c:v>
                </c:pt>
                <c:pt idx="212">
                  <c:v>66.81436541662201</c:v>
                </c:pt>
                <c:pt idx="213">
                  <c:v>69.274796221653105</c:v>
                </c:pt>
                <c:pt idx="214">
                  <c:v>67.907890218858057</c:v>
                </c:pt>
                <c:pt idx="215">
                  <c:v>69.00141502109409</c:v>
                </c:pt>
                <c:pt idx="216">
                  <c:v>67.251775337516435</c:v>
                </c:pt>
                <c:pt idx="217">
                  <c:v>61.510770125777228</c:v>
                </c:pt>
                <c:pt idx="218">
                  <c:v>62.440266207677851</c:v>
                </c:pt>
                <c:pt idx="219">
                  <c:v>63.752495970361103</c:v>
                </c:pt>
                <c:pt idx="220">
                  <c:v>63.151057329131277</c:v>
                </c:pt>
                <c:pt idx="221">
                  <c:v>62.276237487342456</c:v>
                </c:pt>
                <c:pt idx="222">
                  <c:v>62.440266207677851</c:v>
                </c:pt>
                <c:pt idx="223">
                  <c:v>60.362569083429385</c:v>
                </c:pt>
                <c:pt idx="224">
                  <c:v>60.089187882870377</c:v>
                </c:pt>
                <c:pt idx="225">
                  <c:v>58.776958120187132</c:v>
                </c:pt>
                <c:pt idx="226">
                  <c:v>60.198540363093969</c:v>
                </c:pt>
                <c:pt idx="227">
                  <c:v>59.92515916253496</c:v>
                </c:pt>
                <c:pt idx="228">
                  <c:v>59.870482922423164</c:v>
                </c:pt>
                <c:pt idx="229">
                  <c:v>60.034511642758574</c:v>
                </c:pt>
                <c:pt idx="230">
                  <c:v>58.448900679516314</c:v>
                </c:pt>
                <c:pt idx="231">
                  <c:v>58.776958120187132</c:v>
                </c:pt>
                <c:pt idx="232">
                  <c:v>57.902138278398297</c:v>
                </c:pt>
                <c:pt idx="233">
                  <c:v>58.612929399851723</c:v>
                </c:pt>
                <c:pt idx="234">
                  <c:v>58.066166998733706</c:v>
                </c:pt>
                <c:pt idx="235">
                  <c:v>57.464728357503873</c:v>
                </c:pt>
                <c:pt idx="236">
                  <c:v>59.761130442199558</c:v>
                </c:pt>
                <c:pt idx="237">
                  <c:v>61.565446365889024</c:v>
                </c:pt>
                <c:pt idx="238">
                  <c:v>62.76832364834867</c:v>
                </c:pt>
                <c:pt idx="239">
                  <c:v>60.034511642758574</c:v>
                </c:pt>
                <c:pt idx="240">
                  <c:v>60.143864122982173</c:v>
                </c:pt>
                <c:pt idx="241">
                  <c:v>59.269044281193338</c:v>
                </c:pt>
                <c:pt idx="242">
                  <c:v>58.886310600410731</c:v>
                </c:pt>
                <c:pt idx="243">
                  <c:v>58.066166998733706</c:v>
                </c:pt>
                <c:pt idx="244">
                  <c:v>58.284871959180904</c:v>
                </c:pt>
                <c:pt idx="245">
                  <c:v>57.081994676721258</c:v>
                </c:pt>
                <c:pt idx="246">
                  <c:v>57.628757077839289</c:v>
                </c:pt>
                <c:pt idx="247">
                  <c:v>59.159691800969739</c:v>
                </c:pt>
                <c:pt idx="248">
                  <c:v>57.628757077839289</c:v>
                </c:pt>
                <c:pt idx="249">
                  <c:v>57.027318436609455</c:v>
                </c:pt>
                <c:pt idx="250">
                  <c:v>58.503576919628109</c:v>
                </c:pt>
                <c:pt idx="251">
                  <c:v>59.159691800969739</c:v>
                </c:pt>
                <c:pt idx="252">
                  <c:v>58.612929399851723</c:v>
                </c:pt>
                <c:pt idx="253">
                  <c:v>60.417245323541181</c:v>
                </c:pt>
                <c:pt idx="254">
                  <c:v>58.175519478957305</c:v>
                </c:pt>
                <c:pt idx="255">
                  <c:v>59.487749241640543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27-4ED1-8DCF-02576AAB3455}"/>
            </c:ext>
          </c:extLst>
        </c:ser>
        <c:ser>
          <c:idx val="2"/>
          <c:order val="2"/>
          <c:tx>
            <c:strRef>
              <c:f>Stats!$D$16</c:f>
              <c:strCache>
                <c:ptCount val="1"/>
                <c:pt idx="0">
                  <c:v>0005.HK</c:v>
                </c:pt>
              </c:strCache>
            </c:strRef>
          </c:tx>
          <c:spPr>
            <a:ln w="15120">
              <a:solidFill>
                <a:srgbClr val="98B855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Stats!$D$17:$D$272</c:f>
              <c:numCache>
                <c:formatCode>0.0</c:formatCode>
                <c:ptCount val="256"/>
                <c:pt idx="0">
                  <c:v>100</c:v>
                </c:pt>
                <c:pt idx="1">
                  <c:v>99.187755949347974</c:v>
                </c:pt>
                <c:pt idx="2">
                  <c:v>100.0903017607428</c:v>
                </c:pt>
                <c:pt idx="3">
                  <c:v>99.819490837721034</c:v>
                </c:pt>
                <c:pt idx="4">
                  <c:v>93.862877200928509</c:v>
                </c:pt>
                <c:pt idx="5">
                  <c:v>93.411557115627772</c:v>
                </c:pt>
                <c:pt idx="6">
                  <c:v>92.599313064975746</c:v>
                </c:pt>
                <c:pt idx="7">
                  <c:v>91.967483817396072</c:v>
                </c:pt>
                <c:pt idx="8">
                  <c:v>93.411557115627772</c:v>
                </c:pt>
                <c:pt idx="9">
                  <c:v>92.870029628790888</c:v>
                </c:pt>
                <c:pt idx="10">
                  <c:v>91.06503236520787</c:v>
                </c:pt>
                <c:pt idx="11">
                  <c:v>92.147992979675024</c:v>
                </c:pt>
                <c:pt idx="12">
                  <c:v>92.418803902696794</c:v>
                </c:pt>
                <c:pt idx="13">
                  <c:v>92.509011304232956</c:v>
                </c:pt>
                <c:pt idx="14">
                  <c:v>92.689520466511937</c:v>
                </c:pt>
                <c:pt idx="15">
                  <c:v>93.050538791069854</c:v>
                </c:pt>
                <c:pt idx="16">
                  <c:v>92.057785578138876</c:v>
                </c:pt>
                <c:pt idx="17">
                  <c:v>96.119194549812235</c:v>
                </c:pt>
                <c:pt idx="18">
                  <c:v>97.472966087301131</c:v>
                </c:pt>
                <c:pt idx="19">
                  <c:v>97.563173488837307</c:v>
                </c:pt>
                <c:pt idx="20">
                  <c:v>97.743682651116274</c:v>
                </c:pt>
                <c:pt idx="21">
                  <c:v>97.472966087301131</c:v>
                </c:pt>
                <c:pt idx="22">
                  <c:v>97.653475249580111</c:v>
                </c:pt>
                <c:pt idx="23">
                  <c:v>100.63305591726586</c:v>
                </c:pt>
                <c:pt idx="24">
                  <c:v>99.996791786974654</c:v>
                </c:pt>
                <c:pt idx="25">
                  <c:v>100.45132008530074</c:v>
                </c:pt>
                <c:pt idx="26">
                  <c:v>102.17847100341582</c:v>
                </c:pt>
                <c:pt idx="27">
                  <c:v>103.17848987525713</c:v>
                </c:pt>
                <c:pt idx="28">
                  <c:v>103.90571628073751</c:v>
                </c:pt>
                <c:pt idx="29">
                  <c:v>102.63299930174188</c:v>
                </c:pt>
                <c:pt idx="30">
                  <c:v>101.90577289626148</c:v>
                </c:pt>
                <c:pt idx="31">
                  <c:v>99.633131404631158</c:v>
                </c:pt>
                <c:pt idx="32">
                  <c:v>97.996848402498628</c:v>
                </c:pt>
                <c:pt idx="33">
                  <c:v>97.815018211326887</c:v>
                </c:pt>
                <c:pt idx="34">
                  <c:v>95.542376719696549</c:v>
                </c:pt>
                <c:pt idx="35">
                  <c:v>97.542320104172575</c:v>
                </c:pt>
                <c:pt idx="36">
                  <c:v>97.087791805846507</c:v>
                </c:pt>
                <c:pt idx="37">
                  <c:v>97.815018211326887</c:v>
                </c:pt>
                <c:pt idx="38">
                  <c:v>99.087735190322519</c:v>
                </c:pt>
                <c:pt idx="39">
                  <c:v>99.360433297476845</c:v>
                </c:pt>
                <c:pt idx="40">
                  <c:v>100.45132008530074</c:v>
                </c:pt>
                <c:pt idx="41">
                  <c:v>100.90584838362679</c:v>
                </c:pt>
                <c:pt idx="42">
                  <c:v>101.08758421559192</c:v>
                </c:pt>
                <c:pt idx="43">
                  <c:v>101.36037668195289</c:v>
                </c:pt>
                <c:pt idx="44">
                  <c:v>100.90584838362679</c:v>
                </c:pt>
                <c:pt idx="45">
                  <c:v>99.17860310630509</c:v>
                </c:pt>
                <c:pt idx="46">
                  <c:v>99.542263488648601</c:v>
                </c:pt>
                <c:pt idx="47">
                  <c:v>101.542112513918</c:v>
                </c:pt>
                <c:pt idx="48">
                  <c:v>103.6330181735832</c:v>
                </c:pt>
                <c:pt idx="49">
                  <c:v>106.63288607069393</c:v>
                </c:pt>
                <c:pt idx="50">
                  <c:v>105.63296155805921</c:v>
                </c:pt>
                <c:pt idx="51">
                  <c:v>105.63296155805921</c:v>
                </c:pt>
                <c:pt idx="52">
                  <c:v>106.81471626186567</c:v>
                </c:pt>
                <c:pt idx="53">
                  <c:v>107.90560304968957</c:v>
                </c:pt>
                <c:pt idx="54">
                  <c:v>108.4509992639982</c:v>
                </c:pt>
                <c:pt idx="55">
                  <c:v>110.26911245730247</c:v>
                </c:pt>
                <c:pt idx="56">
                  <c:v>111.17816905395459</c:v>
                </c:pt>
                <c:pt idx="57">
                  <c:v>112.63271622412199</c:v>
                </c:pt>
                <c:pt idx="58">
                  <c:v>110.81460303081772</c:v>
                </c:pt>
                <c:pt idx="59">
                  <c:v>111.81452754345243</c:v>
                </c:pt>
                <c:pt idx="60">
                  <c:v>111.08730113797203</c:v>
                </c:pt>
                <c:pt idx="61">
                  <c:v>112.9963766064655</c:v>
                </c:pt>
                <c:pt idx="62">
                  <c:v>113.54177282077413</c:v>
                </c:pt>
                <c:pt idx="63">
                  <c:v>117.08713129140011</c:v>
                </c:pt>
                <c:pt idx="64">
                  <c:v>115.63258412123272</c:v>
                </c:pt>
                <c:pt idx="65">
                  <c:v>112.9963766064655</c:v>
                </c:pt>
                <c:pt idx="66">
                  <c:v>113.45090490479157</c:v>
                </c:pt>
                <c:pt idx="67">
                  <c:v>112.81454641529373</c:v>
                </c:pt>
                <c:pt idx="68">
                  <c:v>114.90535771575232</c:v>
                </c:pt>
                <c:pt idx="69">
                  <c:v>115.45075393006097</c:v>
                </c:pt>
                <c:pt idx="70">
                  <c:v>116.54164071788485</c:v>
                </c:pt>
                <c:pt idx="71">
                  <c:v>116.81433882503916</c:v>
                </c:pt>
                <c:pt idx="72">
                  <c:v>115.45075393006097</c:v>
                </c:pt>
                <c:pt idx="73">
                  <c:v>116.72347090905659</c:v>
                </c:pt>
                <c:pt idx="74">
                  <c:v>116.54164071788485</c:v>
                </c:pt>
                <c:pt idx="75">
                  <c:v>117.90522561286305</c:v>
                </c:pt>
                <c:pt idx="76">
                  <c:v>118.17801807922399</c:v>
                </c:pt>
                <c:pt idx="77">
                  <c:v>119.08707467587614</c:v>
                </c:pt>
                <c:pt idx="78">
                  <c:v>122.26877276415861</c:v>
                </c:pt>
                <c:pt idx="79">
                  <c:v>124.99594255411502</c:v>
                </c:pt>
                <c:pt idx="80">
                  <c:v>125.08681047009757</c:v>
                </c:pt>
                <c:pt idx="81">
                  <c:v>124.17775387344545</c:v>
                </c:pt>
                <c:pt idx="82">
                  <c:v>122.45060295533037</c:v>
                </c:pt>
                <c:pt idx="83">
                  <c:v>126.26865953311066</c:v>
                </c:pt>
                <c:pt idx="84">
                  <c:v>126.35952744909321</c:v>
                </c:pt>
                <c:pt idx="85">
                  <c:v>125.90499915076717</c:v>
                </c:pt>
                <c:pt idx="86">
                  <c:v>122.54147087131291</c:v>
                </c:pt>
                <c:pt idx="87">
                  <c:v>126.63222555624753</c:v>
                </c:pt>
                <c:pt idx="88">
                  <c:v>127.54128215289965</c:v>
                </c:pt>
                <c:pt idx="89">
                  <c:v>127.0867538545736</c:v>
                </c:pt>
                <c:pt idx="90">
                  <c:v>126.81405574741929</c:v>
                </c:pt>
                <c:pt idx="91">
                  <c:v>123.35965955198252</c:v>
                </c:pt>
                <c:pt idx="92">
                  <c:v>122.17781048896941</c:v>
                </c:pt>
                <c:pt idx="93">
                  <c:v>122.08694257298684</c:v>
                </c:pt>
                <c:pt idx="94">
                  <c:v>123.54148974315424</c:v>
                </c:pt>
                <c:pt idx="95">
                  <c:v>122.99599916963899</c:v>
                </c:pt>
                <c:pt idx="96">
                  <c:v>129.72305572854745</c:v>
                </c:pt>
                <c:pt idx="97">
                  <c:v>131.81386702900605</c:v>
                </c:pt>
                <c:pt idx="98">
                  <c:v>133.90477268867124</c:v>
                </c:pt>
                <c:pt idx="99">
                  <c:v>126.99588593859106</c:v>
                </c:pt>
                <c:pt idx="100">
                  <c:v>123.45052746796506</c:v>
                </c:pt>
                <c:pt idx="101">
                  <c:v>118.90524448470438</c:v>
                </c:pt>
                <c:pt idx="102">
                  <c:v>121.72328219064335</c:v>
                </c:pt>
                <c:pt idx="103">
                  <c:v>122.90503689444978</c:v>
                </c:pt>
                <c:pt idx="104">
                  <c:v>118.0870558040348</c:v>
                </c:pt>
                <c:pt idx="105">
                  <c:v>123.54148974315424</c:v>
                </c:pt>
                <c:pt idx="106">
                  <c:v>120.90518786918041</c:v>
                </c:pt>
                <c:pt idx="107">
                  <c:v>120.36630244012909</c:v>
                </c:pt>
                <c:pt idx="108">
                  <c:v>114.38996772915134</c:v>
                </c:pt>
                <c:pt idx="109">
                  <c:v>116.07088263601881</c:v>
                </c:pt>
                <c:pt idx="110">
                  <c:v>116.53777199041311</c:v>
                </c:pt>
                <c:pt idx="111">
                  <c:v>119.43252373134048</c:v>
                </c:pt>
                <c:pt idx="112">
                  <c:v>115.79073015154088</c:v>
                </c:pt>
                <c:pt idx="113">
                  <c:v>116.25761950593521</c:v>
                </c:pt>
                <c:pt idx="114">
                  <c:v>111.02832663382966</c:v>
                </c:pt>
                <c:pt idx="115">
                  <c:v>115.41716205250148</c:v>
                </c:pt>
                <c:pt idx="116">
                  <c:v>116.72450886032951</c:v>
                </c:pt>
                <c:pt idx="117">
                  <c:v>116.53777199041311</c:v>
                </c:pt>
                <c:pt idx="118">
                  <c:v>116.53777199041311</c:v>
                </c:pt>
                <c:pt idx="119">
                  <c:v>115.41716205250148</c:v>
                </c:pt>
                <c:pt idx="120">
                  <c:v>117.47155069920171</c:v>
                </c:pt>
                <c:pt idx="121">
                  <c:v>121.67364924795714</c:v>
                </c:pt>
                <c:pt idx="122">
                  <c:v>121.39349676347922</c:v>
                </c:pt>
                <c:pt idx="123">
                  <c:v>129.42412576195062</c:v>
                </c:pt>
                <c:pt idx="124">
                  <c:v>129.70427824642852</c:v>
                </c:pt>
                <c:pt idx="125">
                  <c:v>130.45132008530072</c:v>
                </c:pt>
                <c:pt idx="126">
                  <c:v>129.61086263186701</c:v>
                </c:pt>
                <c:pt idx="127">
                  <c:v>131.66525127856727</c:v>
                </c:pt>
                <c:pt idx="128">
                  <c:v>132.03872501840004</c:v>
                </c:pt>
                <c:pt idx="129">
                  <c:v>132.87918247183379</c:v>
                </c:pt>
                <c:pt idx="130">
                  <c:v>132.13214063296158</c:v>
                </c:pt>
                <c:pt idx="131">
                  <c:v>132.78576685727228</c:v>
                </c:pt>
                <c:pt idx="132">
                  <c:v>134.18643492045518</c:v>
                </c:pt>
                <c:pt idx="133">
                  <c:v>134.46658740493308</c:v>
                </c:pt>
                <c:pt idx="134">
                  <c:v>131.75866689312875</c:v>
                </c:pt>
                <c:pt idx="135">
                  <c:v>130.73147256977867</c:v>
                </c:pt>
                <c:pt idx="136">
                  <c:v>130.91820943969503</c:v>
                </c:pt>
                <c:pt idx="137">
                  <c:v>131.29177753873446</c:v>
                </c:pt>
                <c:pt idx="138">
                  <c:v>131.66525127856727</c:v>
                </c:pt>
                <c:pt idx="139">
                  <c:v>130.91820943969503</c:v>
                </c:pt>
                <c:pt idx="140">
                  <c:v>133.90637679518395</c:v>
                </c:pt>
                <c:pt idx="141">
                  <c:v>126.99626337541754</c:v>
                </c:pt>
                <c:pt idx="142">
                  <c:v>131.19836192417296</c:v>
                </c:pt>
                <c:pt idx="143">
                  <c:v>133.62622431070599</c:v>
                </c:pt>
                <c:pt idx="144">
                  <c:v>129.5175413765121</c:v>
                </c:pt>
                <c:pt idx="145">
                  <c:v>131.85198814848366</c:v>
                </c:pt>
                <c:pt idx="146">
                  <c:v>129.42412576195062</c:v>
                </c:pt>
                <c:pt idx="147">
                  <c:v>131.75866689312875</c:v>
                </c:pt>
                <c:pt idx="148">
                  <c:v>131.9305893676046</c:v>
                </c:pt>
                <c:pt idx="149">
                  <c:v>130.8977334918568</c:v>
                </c:pt>
                <c:pt idx="150">
                  <c:v>129.67700843571308</c:v>
                </c:pt>
                <c:pt idx="151">
                  <c:v>131.7428145464153</c:v>
                </c:pt>
                <c:pt idx="152">
                  <c:v>130.24042725848761</c:v>
                </c:pt>
                <c:pt idx="153">
                  <c:v>133.05742701315367</c:v>
                </c:pt>
                <c:pt idx="154">
                  <c:v>135.1232331238559</c:v>
                </c:pt>
                <c:pt idx="155">
                  <c:v>136.62571477099021</c:v>
                </c:pt>
                <c:pt idx="156">
                  <c:v>137.65857064673801</c:v>
                </c:pt>
                <c:pt idx="157">
                  <c:v>136.43784559059429</c:v>
                </c:pt>
                <c:pt idx="158">
                  <c:v>136.250070769405</c:v>
                </c:pt>
                <c:pt idx="159">
                  <c:v>137.37690841495407</c:v>
                </c:pt>
                <c:pt idx="160">
                  <c:v>138.22198946951255</c:v>
                </c:pt>
                <c:pt idx="161">
                  <c:v>137.94032723772858</c:v>
                </c:pt>
                <c:pt idx="162">
                  <c:v>137.47079582554869</c:v>
                </c:pt>
                <c:pt idx="163">
                  <c:v>133.15131442374832</c:v>
                </c:pt>
                <c:pt idx="164">
                  <c:v>133.62084583592821</c:v>
                </c:pt>
                <c:pt idx="165">
                  <c:v>133.43307101473891</c:v>
                </c:pt>
                <c:pt idx="166">
                  <c:v>127.04778350223631</c:v>
                </c:pt>
                <c:pt idx="167">
                  <c:v>130.05265243729832</c:v>
                </c:pt>
                <c:pt idx="168">
                  <c:v>134.0903772481081</c:v>
                </c:pt>
                <c:pt idx="169">
                  <c:v>136.90737700277418</c:v>
                </c:pt>
                <c:pt idx="170">
                  <c:v>137.09515182396345</c:v>
                </c:pt>
                <c:pt idx="171">
                  <c:v>138.97318311347641</c:v>
                </c:pt>
                <c:pt idx="172">
                  <c:v>139.91224593783616</c:v>
                </c:pt>
                <c:pt idx="173">
                  <c:v>138.87929570288173</c:v>
                </c:pt>
                <c:pt idx="174">
                  <c:v>139.63048934684556</c:v>
                </c:pt>
                <c:pt idx="175">
                  <c:v>139.16095793466567</c:v>
                </c:pt>
                <c:pt idx="176">
                  <c:v>139.25493970446695</c:v>
                </c:pt>
                <c:pt idx="177">
                  <c:v>138.69152088169244</c:v>
                </c:pt>
                <c:pt idx="178">
                  <c:v>138.59763347109779</c:v>
                </c:pt>
                <c:pt idx="179">
                  <c:v>138.87929570288173</c:v>
                </c:pt>
                <c:pt idx="180">
                  <c:v>140.38168299080942</c:v>
                </c:pt>
                <c:pt idx="181">
                  <c:v>142.72924569250222</c:v>
                </c:pt>
                <c:pt idx="182">
                  <c:v>142.72924569250222</c:v>
                </c:pt>
                <c:pt idx="183">
                  <c:v>143.94997074864594</c:v>
                </c:pt>
                <c:pt idx="184">
                  <c:v>142.6353582819076</c:v>
                </c:pt>
                <c:pt idx="185">
                  <c:v>143.01090792428619</c:v>
                </c:pt>
                <c:pt idx="186">
                  <c:v>144.13774556983526</c:v>
                </c:pt>
                <c:pt idx="187">
                  <c:v>144.4194078016192</c:v>
                </c:pt>
                <c:pt idx="188">
                  <c:v>143.29266451527675</c:v>
                </c:pt>
                <c:pt idx="189">
                  <c:v>145.82790767895224</c:v>
                </c:pt>
                <c:pt idx="190">
                  <c:v>147.33038932608656</c:v>
                </c:pt>
                <c:pt idx="191">
                  <c:v>147.33038932608656</c:v>
                </c:pt>
                <c:pt idx="192">
                  <c:v>148.17547038064504</c:v>
                </c:pt>
                <c:pt idx="193">
                  <c:v>146.95474532450132</c:v>
                </c:pt>
                <c:pt idx="194">
                  <c:v>149.20842061559947</c:v>
                </c:pt>
                <c:pt idx="195">
                  <c:v>151.64977636868028</c:v>
                </c:pt>
                <c:pt idx="196">
                  <c:v>151.55588895808566</c:v>
                </c:pt>
                <c:pt idx="197">
                  <c:v>152.870501424824</c:v>
                </c:pt>
                <c:pt idx="198">
                  <c:v>152.11930778086017</c:v>
                </c:pt>
                <c:pt idx="199">
                  <c:v>154.65464530374229</c:v>
                </c:pt>
                <c:pt idx="200">
                  <c:v>154.46687048255299</c:v>
                </c:pt>
                <c:pt idx="201">
                  <c:v>157.94117647058826</c:v>
                </c:pt>
                <c:pt idx="202">
                  <c:v>157.94117647058826</c:v>
                </c:pt>
                <c:pt idx="203">
                  <c:v>156.34480741285927</c:v>
                </c:pt>
                <c:pt idx="204">
                  <c:v>152.21319519145484</c:v>
                </c:pt>
                <c:pt idx="205">
                  <c:v>150.33516390194194</c:v>
                </c:pt>
                <c:pt idx="206">
                  <c:v>151.36811413689634</c:v>
                </c:pt>
                <c:pt idx="207">
                  <c:v>152.58883919304006</c:v>
                </c:pt>
                <c:pt idx="208">
                  <c:v>151.83764554907623</c:v>
                </c:pt>
                <c:pt idx="209">
                  <c:v>151.55588895808566</c:v>
                </c:pt>
                <c:pt idx="210">
                  <c:v>153.80550680329881</c:v>
                </c:pt>
                <c:pt idx="211">
                  <c:v>151.72960425748744</c:v>
                </c:pt>
                <c:pt idx="212">
                  <c:v>154.27730283643777</c:v>
                </c:pt>
                <c:pt idx="213">
                  <c:v>152.95627394364868</c:v>
                </c:pt>
                <c:pt idx="214">
                  <c:v>152.10704108399858</c:v>
                </c:pt>
                <c:pt idx="215">
                  <c:v>151.25780822434848</c:v>
                </c:pt>
                <c:pt idx="216">
                  <c:v>153.71114759667103</c:v>
                </c:pt>
                <c:pt idx="217">
                  <c:v>152.39011870388194</c:v>
                </c:pt>
                <c:pt idx="218">
                  <c:v>153.99422521655438</c:v>
                </c:pt>
                <c:pt idx="219">
                  <c:v>152.57883711713751</c:v>
                </c:pt>
                <c:pt idx="220">
                  <c:v>152.67319632376532</c:v>
                </c:pt>
                <c:pt idx="221">
                  <c:v>152.29575949725415</c:v>
                </c:pt>
                <c:pt idx="222">
                  <c:v>151.91832267074298</c:v>
                </c:pt>
                <c:pt idx="223">
                  <c:v>151.54088584423181</c:v>
                </c:pt>
                <c:pt idx="224">
                  <c:v>153.42806997678764</c:v>
                </c:pt>
                <c:pt idx="225">
                  <c:v>154.27730283643777</c:v>
                </c:pt>
                <c:pt idx="226">
                  <c:v>157.29679744852706</c:v>
                </c:pt>
                <c:pt idx="227">
                  <c:v>158.14603030817719</c:v>
                </c:pt>
                <c:pt idx="228">
                  <c:v>155.59833172922683</c:v>
                </c:pt>
                <c:pt idx="229">
                  <c:v>156.63628300213253</c:v>
                </c:pt>
                <c:pt idx="230">
                  <c:v>155.40961331597123</c:v>
                </c:pt>
                <c:pt idx="231">
                  <c:v>154.0885844231822</c:v>
                </c:pt>
                <c:pt idx="232">
                  <c:v>155.59833172922683</c:v>
                </c:pt>
                <c:pt idx="233">
                  <c:v>150.59729377795392</c:v>
                </c:pt>
                <c:pt idx="234">
                  <c:v>151.8239634641152</c:v>
                </c:pt>
                <c:pt idx="235">
                  <c:v>150.78601219120949</c:v>
                </c:pt>
                <c:pt idx="236">
                  <c:v>152.48447791050975</c:v>
                </c:pt>
                <c:pt idx="237">
                  <c:v>152.39011870388194</c:v>
                </c:pt>
                <c:pt idx="238">
                  <c:v>150.31421615807056</c:v>
                </c:pt>
                <c:pt idx="239">
                  <c:v>150.50293457132614</c:v>
                </c:pt>
                <c:pt idx="240">
                  <c:v>148.04959519900359</c:v>
                </c:pt>
                <c:pt idx="241">
                  <c:v>148.71010964539809</c:v>
                </c:pt>
                <c:pt idx="242">
                  <c:v>149.93677933155939</c:v>
                </c:pt>
                <c:pt idx="243">
                  <c:v>150.03113853818718</c:v>
                </c:pt>
                <c:pt idx="244">
                  <c:v>149.08754647190926</c:v>
                </c:pt>
                <c:pt idx="245">
                  <c:v>141.06701390854707</c:v>
                </c:pt>
                <c:pt idx="246">
                  <c:v>141.44445073505821</c:v>
                </c:pt>
                <c:pt idx="247">
                  <c:v>144.18086772726417</c:v>
                </c:pt>
                <c:pt idx="248">
                  <c:v>141.44445073505821</c:v>
                </c:pt>
                <c:pt idx="249">
                  <c:v>134.5562286512295</c:v>
                </c:pt>
                <c:pt idx="250">
                  <c:v>137.00956802355208</c:v>
                </c:pt>
                <c:pt idx="251">
                  <c:v>139.74598501575798</c:v>
                </c:pt>
                <c:pt idx="252">
                  <c:v>142.19932438808053</c:v>
                </c:pt>
                <c:pt idx="253">
                  <c:v>139.65162580913019</c:v>
                </c:pt>
                <c:pt idx="254">
                  <c:v>139.55726660250244</c:v>
                </c:pt>
                <c:pt idx="255">
                  <c:v>141.25573232180264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27-4ED1-8DCF-02576AAB3455}"/>
            </c:ext>
          </c:extLst>
        </c:ser>
        <c:ser>
          <c:idx val="3"/>
          <c:order val="3"/>
          <c:tx>
            <c:strRef>
              <c:f>Stats!$E$16</c:f>
              <c:strCache>
                <c:ptCount val="1"/>
                <c:pt idx="0">
                  <c:v>1299.HK</c:v>
                </c:pt>
              </c:strCache>
            </c:strRef>
          </c:tx>
          <c:spPr>
            <a:ln w="15120">
              <a:solidFill>
                <a:srgbClr val="7D5FA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Stats!$E$17:$E$272</c:f>
              <c:numCache>
                <c:formatCode>0.0</c:formatCode>
                <c:ptCount val="256"/>
                <c:pt idx="0">
                  <c:v>100</c:v>
                </c:pt>
                <c:pt idx="1">
                  <c:v>99.597628647521049</c:v>
                </c:pt>
                <c:pt idx="2">
                  <c:v>100.87194201894772</c:v>
                </c:pt>
                <c:pt idx="3">
                  <c:v>100.13426120606962</c:v>
                </c:pt>
                <c:pt idx="4">
                  <c:v>99.396442971281573</c:v>
                </c:pt>
                <c:pt idx="5">
                  <c:v>99.128195402962277</c:v>
                </c:pt>
                <c:pt idx="6">
                  <c:v>96.244121777799748</c:v>
                </c:pt>
                <c:pt idx="7">
                  <c:v>94.030941917255504</c:v>
                </c:pt>
                <c:pt idx="8">
                  <c:v>95.238193396602369</c:v>
                </c:pt>
                <c:pt idx="9">
                  <c:v>94.701560838053766</c:v>
                </c:pt>
                <c:pt idx="10">
                  <c:v>92.622504761669163</c:v>
                </c:pt>
                <c:pt idx="11">
                  <c:v>96.713692444268546</c:v>
                </c:pt>
                <c:pt idx="12">
                  <c:v>97.786820139455756</c:v>
                </c:pt>
                <c:pt idx="13">
                  <c:v>94.634498945973931</c:v>
                </c:pt>
                <c:pt idx="14">
                  <c:v>95.104069612442714</c:v>
                </c:pt>
                <c:pt idx="15">
                  <c:v>95.305255288682204</c:v>
                </c:pt>
                <c:pt idx="16">
                  <c:v>96.780754336348366</c:v>
                </c:pt>
                <c:pt idx="17">
                  <c:v>100.06719931398982</c:v>
                </c:pt>
                <c:pt idx="18">
                  <c:v>98.189191491934707</c:v>
                </c:pt>
                <c:pt idx="19">
                  <c:v>101.20725147934684</c:v>
                </c:pt>
                <c:pt idx="20">
                  <c:v>107.24350887608114</c:v>
                </c:pt>
                <c:pt idx="21">
                  <c:v>106.8411375236022</c:v>
                </c:pt>
                <c:pt idx="22">
                  <c:v>106.77407563152236</c:v>
                </c:pt>
                <c:pt idx="23">
                  <c:v>108.92019359998679</c:v>
                </c:pt>
                <c:pt idx="24">
                  <c:v>109.32270237437575</c:v>
                </c:pt>
                <c:pt idx="25">
                  <c:v>109.05445480605644</c:v>
                </c:pt>
                <c:pt idx="26">
                  <c:v>110.46289196164278</c:v>
                </c:pt>
                <c:pt idx="27">
                  <c:v>112.81019560634668</c:v>
                </c:pt>
                <c:pt idx="28">
                  <c:v>112.87739492033653</c:v>
                </c:pt>
                <c:pt idx="29">
                  <c:v>110.46289196164278</c:v>
                </c:pt>
                <c:pt idx="30">
                  <c:v>109.05445480605644</c:v>
                </c:pt>
                <c:pt idx="31">
                  <c:v>105.36563847593605</c:v>
                </c:pt>
                <c:pt idx="32">
                  <c:v>104.56075834906812</c:v>
                </c:pt>
                <c:pt idx="33">
                  <c:v>105.90213361257466</c:v>
                </c:pt>
                <c:pt idx="34">
                  <c:v>103.01819740932214</c:v>
                </c:pt>
                <c:pt idx="35">
                  <c:v>105.96919550465446</c:v>
                </c:pt>
                <c:pt idx="36">
                  <c:v>106.30450496505361</c:v>
                </c:pt>
                <c:pt idx="37">
                  <c:v>108.24957467918854</c:v>
                </c:pt>
                <c:pt idx="38">
                  <c:v>110.06038318725385</c:v>
                </c:pt>
                <c:pt idx="39">
                  <c:v>108.11545089502887</c:v>
                </c:pt>
                <c:pt idx="40">
                  <c:v>107.98132711086923</c:v>
                </c:pt>
                <c:pt idx="41">
                  <c:v>108.38369846334818</c:v>
                </c:pt>
                <c:pt idx="42">
                  <c:v>106.70701373944253</c:v>
                </c:pt>
                <c:pt idx="43">
                  <c:v>105.96919550465446</c:v>
                </c:pt>
                <c:pt idx="44">
                  <c:v>105.03019159362692</c:v>
                </c:pt>
                <c:pt idx="45">
                  <c:v>104.49369645698832</c:v>
                </c:pt>
                <c:pt idx="46">
                  <c:v>103.62175443804058</c:v>
                </c:pt>
                <c:pt idx="47">
                  <c:v>103.9570638984397</c:v>
                </c:pt>
                <c:pt idx="48">
                  <c:v>103.68881633012039</c:v>
                </c:pt>
                <c:pt idx="49">
                  <c:v>105.96919550465446</c:v>
                </c:pt>
                <c:pt idx="50">
                  <c:v>108.18251278710871</c:v>
                </c:pt>
                <c:pt idx="51">
                  <c:v>107.04232319984166</c:v>
                </c:pt>
                <c:pt idx="52">
                  <c:v>108.58488413958767</c:v>
                </c:pt>
                <c:pt idx="53">
                  <c:v>109.12151669813628</c:v>
                </c:pt>
                <c:pt idx="54">
                  <c:v>110.66407763788226</c:v>
                </c:pt>
                <c:pt idx="55">
                  <c:v>110.86526331412175</c:v>
                </c:pt>
                <c:pt idx="56">
                  <c:v>110.86526331412175</c:v>
                </c:pt>
                <c:pt idx="57">
                  <c:v>111.80426722514932</c:v>
                </c:pt>
                <c:pt idx="58">
                  <c:v>110.2615688634933</c:v>
                </c:pt>
                <c:pt idx="59">
                  <c:v>109.52388805061521</c:v>
                </c:pt>
                <c:pt idx="60">
                  <c:v>107.44469455232064</c:v>
                </c:pt>
                <c:pt idx="61">
                  <c:v>111.73720533306948</c:v>
                </c:pt>
                <c:pt idx="62">
                  <c:v>112.5419480380274</c:v>
                </c:pt>
                <c:pt idx="63">
                  <c:v>115.42602166318987</c:v>
                </c:pt>
                <c:pt idx="64">
                  <c:v>115.29176045712022</c:v>
                </c:pt>
                <c:pt idx="65">
                  <c:v>112.47488614594756</c:v>
                </c:pt>
                <c:pt idx="66">
                  <c:v>113.07858059657599</c:v>
                </c:pt>
                <c:pt idx="67">
                  <c:v>112.27370046970807</c:v>
                </c:pt>
                <c:pt idx="68">
                  <c:v>113.21270438073566</c:v>
                </c:pt>
                <c:pt idx="69">
                  <c:v>113.61507573321458</c:v>
                </c:pt>
                <c:pt idx="70">
                  <c:v>113.81626140945407</c:v>
                </c:pt>
                <c:pt idx="71">
                  <c:v>112.0725147934686</c:v>
                </c:pt>
                <c:pt idx="72">
                  <c:v>111.2676346666007</c:v>
                </c:pt>
                <c:pt idx="73">
                  <c:v>111.13351088244103</c:v>
                </c:pt>
                <c:pt idx="74">
                  <c:v>111.13351088244103</c:v>
                </c:pt>
                <c:pt idx="75">
                  <c:v>110.66407763788226</c:v>
                </c:pt>
                <c:pt idx="76">
                  <c:v>111.40175845076034</c:v>
                </c:pt>
                <c:pt idx="77">
                  <c:v>111.40175845076034</c:v>
                </c:pt>
                <c:pt idx="78">
                  <c:v>115.96251679982848</c:v>
                </c:pt>
                <c:pt idx="79">
                  <c:v>119.18176246348011</c:v>
                </c:pt>
                <c:pt idx="80">
                  <c:v>121.99877419656278</c:v>
                </c:pt>
                <c:pt idx="81">
                  <c:v>121.19389406969489</c:v>
                </c:pt>
                <c:pt idx="82">
                  <c:v>119.45014745370943</c:v>
                </c:pt>
                <c:pt idx="83">
                  <c:v>119.98664259034804</c:v>
                </c:pt>
                <c:pt idx="84">
                  <c:v>121.66332731425366</c:v>
                </c:pt>
                <c:pt idx="85">
                  <c:v>118.5782054347617</c:v>
                </c:pt>
                <c:pt idx="86">
                  <c:v>112.00545290138879</c:v>
                </c:pt>
                <c:pt idx="87">
                  <c:v>115.82839301566882</c:v>
                </c:pt>
                <c:pt idx="88">
                  <c:v>115.22469856504041</c:v>
                </c:pt>
                <c:pt idx="89">
                  <c:v>114.75526532048161</c:v>
                </c:pt>
                <c:pt idx="90">
                  <c:v>112.40782425386773</c:v>
                </c:pt>
                <c:pt idx="91">
                  <c:v>107.71294212063995</c:v>
                </c:pt>
                <c:pt idx="92">
                  <c:v>110.73113952996209</c:v>
                </c:pt>
                <c:pt idx="93">
                  <c:v>110.39583006956298</c:v>
                </c:pt>
                <c:pt idx="94">
                  <c:v>114.88938910464125</c:v>
                </c:pt>
                <c:pt idx="95">
                  <c:v>113.81626140945407</c:v>
                </c:pt>
                <c:pt idx="96">
                  <c:v>113.3468281648953</c:v>
                </c:pt>
                <c:pt idx="97">
                  <c:v>113.61507573321458</c:v>
                </c:pt>
                <c:pt idx="98">
                  <c:v>116.43195004438726</c:v>
                </c:pt>
                <c:pt idx="99">
                  <c:v>114.01744708569355</c:v>
                </c:pt>
                <c:pt idx="100">
                  <c:v>114.01744708569355</c:v>
                </c:pt>
                <c:pt idx="101">
                  <c:v>108.65194603166748</c:v>
                </c:pt>
                <c:pt idx="102">
                  <c:v>114.15170829176317</c:v>
                </c:pt>
                <c:pt idx="103">
                  <c:v>114.82232721256145</c:v>
                </c:pt>
                <c:pt idx="104">
                  <c:v>109.72507372685469</c:v>
                </c:pt>
                <c:pt idx="105">
                  <c:v>114.88938910464125</c:v>
                </c:pt>
                <c:pt idx="106">
                  <c:v>115.96251679982848</c:v>
                </c:pt>
                <c:pt idx="107">
                  <c:v>113.14564248865582</c:v>
                </c:pt>
                <c:pt idx="108">
                  <c:v>109.72507372685469</c:v>
                </c:pt>
                <c:pt idx="109">
                  <c:v>111.87132911722912</c:v>
                </c:pt>
                <c:pt idx="110">
                  <c:v>111.33469655868052</c:v>
                </c:pt>
                <c:pt idx="111">
                  <c:v>113.41389005697513</c:v>
                </c:pt>
                <c:pt idx="112">
                  <c:v>111.06644899036122</c:v>
                </c:pt>
                <c:pt idx="113">
                  <c:v>115.42602166318987</c:v>
                </c:pt>
                <c:pt idx="114">
                  <c:v>106.43862874921327</c:v>
                </c:pt>
                <c:pt idx="115">
                  <c:v>114.15170829176317</c:v>
                </c:pt>
                <c:pt idx="116">
                  <c:v>116.43195004438726</c:v>
                </c:pt>
                <c:pt idx="117">
                  <c:v>116.70033503461656</c:v>
                </c:pt>
                <c:pt idx="118">
                  <c:v>114.88938910464125</c:v>
                </c:pt>
                <c:pt idx="119">
                  <c:v>113.95038519361374</c:v>
                </c:pt>
                <c:pt idx="120">
                  <c:v>113.81626140945407</c:v>
                </c:pt>
                <c:pt idx="121">
                  <c:v>117.37095395541482</c:v>
                </c:pt>
                <c:pt idx="122">
                  <c:v>115.56014544734954</c:v>
                </c:pt>
                <c:pt idx="123">
                  <c:v>118.91351489516082</c:v>
                </c:pt>
                <c:pt idx="124">
                  <c:v>118.71232921892134</c:v>
                </c:pt>
                <c:pt idx="125">
                  <c:v>119.31602366954976</c:v>
                </c:pt>
                <c:pt idx="126">
                  <c:v>117.23683017125516</c:v>
                </c:pt>
                <c:pt idx="127">
                  <c:v>116.70033503461656</c:v>
                </c:pt>
                <c:pt idx="128">
                  <c:v>112.47488614594756</c:v>
                </c:pt>
                <c:pt idx="129">
                  <c:v>113.01151870449617</c:v>
                </c:pt>
                <c:pt idx="130">
                  <c:v>109.45682615853541</c:v>
                </c:pt>
                <c:pt idx="131">
                  <c:v>112.00545290138879</c:v>
                </c:pt>
                <c:pt idx="132">
                  <c:v>111.06644899036122</c:v>
                </c:pt>
                <c:pt idx="133">
                  <c:v>111.60308154890983</c:v>
                </c:pt>
                <c:pt idx="134">
                  <c:v>109.65801183477488</c:v>
                </c:pt>
                <c:pt idx="135">
                  <c:v>109.52388805061521</c:v>
                </c:pt>
                <c:pt idx="136">
                  <c:v>111.60308154890983</c:v>
                </c:pt>
                <c:pt idx="137">
                  <c:v>111.53588223492</c:v>
                </c:pt>
                <c:pt idx="138">
                  <c:v>113.95038519361374</c:v>
                </c:pt>
                <c:pt idx="139">
                  <c:v>114.08464639968336</c:v>
                </c:pt>
                <c:pt idx="140">
                  <c:v>115.35882234920005</c:v>
                </c:pt>
                <c:pt idx="141">
                  <c:v>115.22469856504041</c:v>
                </c:pt>
                <c:pt idx="142">
                  <c:v>117.303892063335</c:v>
                </c:pt>
                <c:pt idx="143">
                  <c:v>119.58427123786907</c:v>
                </c:pt>
                <c:pt idx="144">
                  <c:v>116.16370247606795</c:v>
                </c:pt>
                <c:pt idx="145">
                  <c:v>116.16370247606795</c:v>
                </c:pt>
                <c:pt idx="146">
                  <c:v>115.96251679982848</c:v>
                </c:pt>
                <c:pt idx="147">
                  <c:v>116.63313572062674</c:v>
                </c:pt>
                <c:pt idx="148">
                  <c:v>117.63920152373413</c:v>
                </c:pt>
                <c:pt idx="149">
                  <c:v>117.50507773957449</c:v>
                </c:pt>
                <c:pt idx="150">
                  <c:v>116.23076436814779</c:v>
                </c:pt>
                <c:pt idx="151">
                  <c:v>115.29176045712022</c:v>
                </c:pt>
                <c:pt idx="152">
                  <c:v>113.01151870449617</c:v>
                </c:pt>
                <c:pt idx="153">
                  <c:v>114.01744708569355</c:v>
                </c:pt>
                <c:pt idx="154">
                  <c:v>115.42602166318987</c:v>
                </c:pt>
                <c:pt idx="155">
                  <c:v>113.07858059657599</c:v>
                </c:pt>
                <c:pt idx="156">
                  <c:v>113.41389005697513</c:v>
                </c:pt>
                <c:pt idx="157">
                  <c:v>112.10494636422852</c:v>
                </c:pt>
                <c:pt idx="158">
                  <c:v>112.24140632085818</c:v>
                </c:pt>
                <c:pt idx="159">
                  <c:v>111.90018771832906</c:v>
                </c:pt>
                <c:pt idx="160">
                  <c:v>112.03664767495869</c:v>
                </c:pt>
                <c:pt idx="161">
                  <c:v>112.24140632085818</c:v>
                </c:pt>
                <c:pt idx="162">
                  <c:v>104.66767259504786</c:v>
                </c:pt>
                <c:pt idx="163">
                  <c:v>100.98311634413744</c:v>
                </c:pt>
                <c:pt idx="164">
                  <c:v>99.140838218682219</c:v>
                </c:pt>
                <c:pt idx="165">
                  <c:v>96.889180223338087</c:v>
                </c:pt>
                <c:pt idx="166">
                  <c:v>95.865799259570736</c:v>
                </c:pt>
                <c:pt idx="167">
                  <c:v>100.64203516351833</c:v>
                </c:pt>
                <c:pt idx="168">
                  <c:v>101.73371481655546</c:v>
                </c:pt>
                <c:pt idx="169">
                  <c:v>104.39475268178857</c:v>
                </c:pt>
                <c:pt idx="170">
                  <c:v>102.62063582369319</c:v>
                </c:pt>
                <c:pt idx="171">
                  <c:v>102.41601459970371</c:v>
                </c:pt>
                <c:pt idx="172">
                  <c:v>100.57373647424851</c:v>
                </c:pt>
                <c:pt idx="173">
                  <c:v>101.32433494666655</c:v>
                </c:pt>
                <c:pt idx="174">
                  <c:v>99.550218088571157</c:v>
                </c:pt>
                <c:pt idx="175">
                  <c:v>100.50557520688868</c:v>
                </c:pt>
                <c:pt idx="176">
                  <c:v>98.526837124803819</c:v>
                </c:pt>
                <c:pt idx="177">
                  <c:v>96.616260310078786</c:v>
                </c:pt>
                <c:pt idx="178">
                  <c:v>98.526837124803819</c:v>
                </c:pt>
                <c:pt idx="179">
                  <c:v>97.503318739126485</c:v>
                </c:pt>
                <c:pt idx="180">
                  <c:v>99.345596864581694</c:v>
                </c:pt>
                <c:pt idx="181">
                  <c:v>99.959597958460094</c:v>
                </c:pt>
                <c:pt idx="182">
                  <c:v>100.98311634413744</c:v>
                </c:pt>
                <c:pt idx="183">
                  <c:v>99.072676951322407</c:v>
                </c:pt>
                <c:pt idx="184">
                  <c:v>100.57373647424851</c:v>
                </c:pt>
                <c:pt idx="185">
                  <c:v>98.66329708143347</c:v>
                </c:pt>
                <c:pt idx="186">
                  <c:v>99.140838218682219</c:v>
                </c:pt>
                <c:pt idx="187">
                  <c:v>98.79975703806312</c:v>
                </c:pt>
                <c:pt idx="188">
                  <c:v>101.11957630076706</c:v>
                </c:pt>
                <c:pt idx="189">
                  <c:v>103.98537281189964</c:v>
                </c:pt>
                <c:pt idx="190">
                  <c:v>103.84891285526999</c:v>
                </c:pt>
                <c:pt idx="191">
                  <c:v>103.09831438285192</c:v>
                </c:pt>
                <c:pt idx="192">
                  <c:v>103.37123429611124</c:v>
                </c:pt>
                <c:pt idx="193">
                  <c:v>105.00875377566696</c:v>
                </c:pt>
                <c:pt idx="194">
                  <c:v>104.94059250830713</c:v>
                </c:pt>
                <c:pt idx="195">
                  <c:v>107.26041177101111</c:v>
                </c:pt>
                <c:pt idx="196">
                  <c:v>106.57811198786288</c:v>
                </c:pt>
                <c:pt idx="197">
                  <c:v>106.37349076387341</c:v>
                </c:pt>
                <c:pt idx="198">
                  <c:v>106.30519207460361</c:v>
                </c:pt>
                <c:pt idx="199">
                  <c:v>106.64641067713269</c:v>
                </c:pt>
                <c:pt idx="200">
                  <c:v>108.69331002657738</c:v>
                </c:pt>
                <c:pt idx="201">
                  <c:v>108.14747020005882</c:v>
                </c:pt>
                <c:pt idx="202">
                  <c:v>107.19225050365128</c:v>
                </c:pt>
                <c:pt idx="203">
                  <c:v>106.50995072050307</c:v>
                </c:pt>
                <c:pt idx="204">
                  <c:v>106.10057085061413</c:v>
                </c:pt>
                <c:pt idx="205">
                  <c:v>99.823138001830443</c:v>
                </c:pt>
                <c:pt idx="206">
                  <c:v>101.1878749900369</c:v>
                </c:pt>
                <c:pt idx="207">
                  <c:v>101.66541612728568</c:v>
                </c:pt>
                <c:pt idx="208">
                  <c:v>99.413758131941506</c:v>
                </c:pt>
                <c:pt idx="209">
                  <c:v>99.140838218682219</c:v>
                </c:pt>
                <c:pt idx="210">
                  <c:v>99.004378262052583</c:v>
                </c:pt>
                <c:pt idx="211">
                  <c:v>96.070420483560198</c:v>
                </c:pt>
                <c:pt idx="212">
                  <c:v>100.16435660435957</c:v>
                </c:pt>
                <c:pt idx="213">
                  <c:v>99.004378262052583</c:v>
                </c:pt>
                <c:pt idx="214">
                  <c:v>99.618516777840981</c:v>
                </c:pt>
                <c:pt idx="215">
                  <c:v>99.27729817531187</c:v>
                </c:pt>
                <c:pt idx="216">
                  <c:v>102.55247455633337</c:v>
                </c:pt>
                <c:pt idx="217">
                  <c:v>101.80187608391532</c:v>
                </c:pt>
                <c:pt idx="218">
                  <c:v>101.46079490329618</c:v>
                </c:pt>
                <c:pt idx="219">
                  <c:v>101.25603625739672</c:v>
                </c:pt>
                <c:pt idx="220">
                  <c:v>101.87017477318511</c:v>
                </c:pt>
                <c:pt idx="221">
                  <c:v>103.03001569358213</c:v>
                </c:pt>
                <c:pt idx="222">
                  <c:v>104.05353407925946</c:v>
                </c:pt>
                <c:pt idx="223">
                  <c:v>103.64415420937053</c:v>
                </c:pt>
                <c:pt idx="224">
                  <c:v>103.71245289864035</c:v>
                </c:pt>
                <c:pt idx="225">
                  <c:v>105.48643233482574</c:v>
                </c:pt>
                <c:pt idx="226">
                  <c:v>106.50198024972309</c:v>
                </c:pt>
                <c:pt idx="227">
                  <c:v>105.95229260972449</c:v>
                </c:pt>
                <c:pt idx="228">
                  <c:v>105.67744878972525</c:v>
                </c:pt>
                <c:pt idx="229">
                  <c:v>105.74615974472505</c:v>
                </c:pt>
                <c:pt idx="230">
                  <c:v>103.47869822973095</c:v>
                </c:pt>
                <c:pt idx="231">
                  <c:v>103.13514345473183</c:v>
                </c:pt>
                <c:pt idx="232">
                  <c:v>103.68483109473041</c:v>
                </c:pt>
                <c:pt idx="233">
                  <c:v>104.50936255472827</c:v>
                </c:pt>
                <c:pt idx="234">
                  <c:v>105.81487069972486</c:v>
                </c:pt>
                <c:pt idx="235">
                  <c:v>106.29584738472361</c:v>
                </c:pt>
                <c:pt idx="236">
                  <c:v>105.47131592472576</c:v>
                </c:pt>
                <c:pt idx="237">
                  <c:v>106.29584738472361</c:v>
                </c:pt>
                <c:pt idx="238">
                  <c:v>104.78420637472756</c:v>
                </c:pt>
                <c:pt idx="239">
                  <c:v>103.54740918473075</c:v>
                </c:pt>
                <c:pt idx="240">
                  <c:v>104.16580777972915</c:v>
                </c:pt>
                <c:pt idx="241">
                  <c:v>101.34865862473647</c:v>
                </c:pt>
                <c:pt idx="242">
                  <c:v>101.76092435473541</c:v>
                </c:pt>
                <c:pt idx="243">
                  <c:v>101.55479148973596</c:v>
                </c:pt>
                <c:pt idx="244">
                  <c:v>101.14252575973701</c:v>
                </c:pt>
                <c:pt idx="245">
                  <c:v>95.095961719752736</c:v>
                </c:pt>
                <c:pt idx="246">
                  <c:v>94.752406944753645</c:v>
                </c:pt>
                <c:pt idx="247">
                  <c:v>94.54627407975417</c:v>
                </c:pt>
                <c:pt idx="248">
                  <c:v>94.54627407975417</c:v>
                </c:pt>
                <c:pt idx="249">
                  <c:v>95.164672674752566</c:v>
                </c:pt>
                <c:pt idx="250">
                  <c:v>97.913110874745414</c:v>
                </c:pt>
                <c:pt idx="251">
                  <c:v>98.8063532897431</c:v>
                </c:pt>
                <c:pt idx="252">
                  <c:v>100.38670525473898</c:v>
                </c:pt>
                <c:pt idx="253">
                  <c:v>99.974439524740049</c:v>
                </c:pt>
                <c:pt idx="254">
                  <c:v>99.562173794741142</c:v>
                </c:pt>
                <c:pt idx="255">
                  <c:v>100.73026002973808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27-4ED1-8DCF-02576AAB3455}"/>
            </c:ext>
          </c:extLst>
        </c:ser>
        <c:ser>
          <c:idx val="4"/>
          <c:order val="4"/>
          <c:tx>
            <c:strRef>
              <c:f>Stats!$F$16</c:f>
              <c:strCache>
                <c:ptCount val="1"/>
                <c:pt idx="0">
                  <c:v>0388.HK</c:v>
                </c:pt>
              </c:strCache>
            </c:strRef>
          </c:tx>
          <c:spPr>
            <a:ln w="15120">
              <a:solidFill>
                <a:srgbClr val="46AAC4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Stats!$F$17:$F$272</c:f>
              <c:numCache>
                <c:formatCode>0.0</c:formatCode>
                <c:ptCount val="256"/>
                <c:pt idx="0">
                  <c:v>100</c:v>
                </c:pt>
                <c:pt idx="1">
                  <c:v>99.778357092573046</c:v>
                </c:pt>
                <c:pt idx="2">
                  <c:v>99.37943652469788</c:v>
                </c:pt>
                <c:pt idx="3">
                  <c:v>98.625891888126262</c:v>
                </c:pt>
                <c:pt idx="4">
                  <c:v>101.24112695060425</c:v>
                </c:pt>
                <c:pt idx="5">
                  <c:v>98.537230141968791</c:v>
                </c:pt>
                <c:pt idx="6">
                  <c:v>95.921972163557427</c:v>
                </c:pt>
                <c:pt idx="7">
                  <c:v>93.08509419365248</c:v>
                </c:pt>
                <c:pt idx="8">
                  <c:v>94.813803458289343</c:v>
                </c:pt>
                <c:pt idx="9">
                  <c:v>94.060281737651081</c:v>
                </c:pt>
                <c:pt idx="10">
                  <c:v>91.755305496890784</c:v>
                </c:pt>
                <c:pt idx="11">
                  <c:v>94.193239982987222</c:v>
                </c:pt>
                <c:pt idx="12">
                  <c:v>95.124108111873767</c:v>
                </c:pt>
                <c:pt idx="13">
                  <c:v>93.617018838730502</c:v>
                </c:pt>
                <c:pt idx="14">
                  <c:v>93.484037677460989</c:v>
                </c:pt>
                <c:pt idx="15">
                  <c:v>94.193239982987222</c:v>
                </c:pt>
                <c:pt idx="16">
                  <c:v>96.232276817141866</c:v>
                </c:pt>
                <c:pt idx="17">
                  <c:v>95.833333333333343</c:v>
                </c:pt>
                <c:pt idx="18">
                  <c:v>95.833333333333343</c:v>
                </c:pt>
                <c:pt idx="19">
                  <c:v>93.882981161269512</c:v>
                </c:pt>
                <c:pt idx="20">
                  <c:v>95.035446365716297</c:v>
                </c:pt>
                <c:pt idx="21">
                  <c:v>94.326244060190078</c:v>
                </c:pt>
                <c:pt idx="22">
                  <c:v>93.882981161269512</c:v>
                </c:pt>
                <c:pt idx="23">
                  <c:v>95.966314494602855</c:v>
                </c:pt>
                <c:pt idx="24">
                  <c:v>94.991126950604254</c:v>
                </c:pt>
                <c:pt idx="25">
                  <c:v>96.631197385017018</c:v>
                </c:pt>
                <c:pt idx="26">
                  <c:v>96.498216223747519</c:v>
                </c:pt>
                <c:pt idx="27">
                  <c:v>96.941479122668071</c:v>
                </c:pt>
                <c:pt idx="28">
                  <c:v>96.76417854628653</c:v>
                </c:pt>
                <c:pt idx="29">
                  <c:v>94.237582314032622</c:v>
                </c:pt>
                <c:pt idx="30">
                  <c:v>93.572699423618459</c:v>
                </c:pt>
                <c:pt idx="31">
                  <c:v>92.375868972192904</c:v>
                </c:pt>
                <c:pt idx="32">
                  <c:v>92.287230141968791</c:v>
                </c:pt>
                <c:pt idx="33">
                  <c:v>92.553192464507802</c:v>
                </c:pt>
                <c:pt idx="34">
                  <c:v>90.691479122668071</c:v>
                </c:pt>
                <c:pt idx="35">
                  <c:v>92.021267819429781</c:v>
                </c:pt>
                <c:pt idx="36">
                  <c:v>92.065587234541837</c:v>
                </c:pt>
                <c:pt idx="37">
                  <c:v>91.578004920509215</c:v>
                </c:pt>
                <c:pt idx="38">
                  <c:v>91.267723182858163</c:v>
                </c:pt>
                <c:pt idx="39">
                  <c:v>91.090422606476594</c:v>
                </c:pt>
                <c:pt idx="40">
                  <c:v>91.445023759239703</c:v>
                </c:pt>
                <c:pt idx="41">
                  <c:v>90.913122030095039</c:v>
                </c:pt>
                <c:pt idx="42">
                  <c:v>89.583333333333343</c:v>
                </c:pt>
                <c:pt idx="43">
                  <c:v>90.07091564736595</c:v>
                </c:pt>
                <c:pt idx="44">
                  <c:v>90.292535638859562</c:v>
                </c:pt>
                <c:pt idx="45">
                  <c:v>89.671972163557442</c:v>
                </c:pt>
                <c:pt idx="46">
                  <c:v>88.918427526985809</c:v>
                </c:pt>
                <c:pt idx="47">
                  <c:v>89.273028679748919</c:v>
                </c:pt>
                <c:pt idx="48">
                  <c:v>88.829765780828353</c:v>
                </c:pt>
                <c:pt idx="49">
                  <c:v>89.051408688255307</c:v>
                </c:pt>
                <c:pt idx="50">
                  <c:v>89.494671587175873</c:v>
                </c:pt>
                <c:pt idx="51">
                  <c:v>87.765962322539011</c:v>
                </c:pt>
                <c:pt idx="52">
                  <c:v>88.297864051683689</c:v>
                </c:pt>
                <c:pt idx="53">
                  <c:v>89.051408688255307</c:v>
                </c:pt>
                <c:pt idx="54">
                  <c:v>90.203896808635449</c:v>
                </c:pt>
                <c:pt idx="55">
                  <c:v>90.203896808635449</c:v>
                </c:pt>
                <c:pt idx="56">
                  <c:v>90.336877969904975</c:v>
                </c:pt>
                <c:pt idx="57">
                  <c:v>91.046080275431194</c:v>
                </c:pt>
                <c:pt idx="58">
                  <c:v>90.469859131174474</c:v>
                </c:pt>
                <c:pt idx="59">
                  <c:v>90.558497961398572</c:v>
                </c:pt>
                <c:pt idx="60">
                  <c:v>90.381197385017018</c:v>
                </c:pt>
                <c:pt idx="61">
                  <c:v>92.154248980699279</c:v>
                </c:pt>
                <c:pt idx="62">
                  <c:v>93.12943652469788</c:v>
                </c:pt>
                <c:pt idx="63">
                  <c:v>95.833333333333343</c:v>
                </c:pt>
                <c:pt idx="64">
                  <c:v>95.345728103367364</c:v>
                </c:pt>
                <c:pt idx="65">
                  <c:v>94.237582314032622</c:v>
                </c:pt>
                <c:pt idx="66">
                  <c:v>94.592183466795746</c:v>
                </c:pt>
                <c:pt idx="67">
                  <c:v>94.45922522145959</c:v>
                </c:pt>
                <c:pt idx="68">
                  <c:v>95.70035217206383</c:v>
                </c:pt>
                <c:pt idx="69">
                  <c:v>96.365235062478007</c:v>
                </c:pt>
                <c:pt idx="70">
                  <c:v>97.207441445207095</c:v>
                </c:pt>
                <c:pt idx="71">
                  <c:v>97.163099114161682</c:v>
                </c:pt>
                <c:pt idx="72">
                  <c:v>95.70035217206383</c:v>
                </c:pt>
                <c:pt idx="73">
                  <c:v>94.636525797841145</c:v>
                </c:pt>
                <c:pt idx="74">
                  <c:v>94.725164628065244</c:v>
                </c:pt>
                <c:pt idx="75">
                  <c:v>94.503544636571633</c:v>
                </c:pt>
                <c:pt idx="76">
                  <c:v>93.528357092573046</c:v>
                </c:pt>
                <c:pt idx="77">
                  <c:v>93.75</c:v>
                </c:pt>
                <c:pt idx="78">
                  <c:v>95.39004751847942</c:v>
                </c:pt>
                <c:pt idx="79">
                  <c:v>97.340422606476594</c:v>
                </c:pt>
                <c:pt idx="80">
                  <c:v>98.448568395811336</c:v>
                </c:pt>
                <c:pt idx="81">
                  <c:v>95.788991002287943</c:v>
                </c:pt>
                <c:pt idx="82">
                  <c:v>94.015962322539011</c:v>
                </c:pt>
                <c:pt idx="83">
                  <c:v>93.528357092573046</c:v>
                </c:pt>
                <c:pt idx="84">
                  <c:v>93.12943652469788</c:v>
                </c:pt>
                <c:pt idx="85">
                  <c:v>91.843967243048226</c:v>
                </c:pt>
                <c:pt idx="86">
                  <c:v>90.336877969904975</c:v>
                </c:pt>
                <c:pt idx="87">
                  <c:v>92.774812456001413</c:v>
                </c:pt>
                <c:pt idx="88">
                  <c:v>92.46453071835036</c:v>
                </c:pt>
                <c:pt idx="89">
                  <c:v>92.641831294731901</c:v>
                </c:pt>
                <c:pt idx="90">
                  <c:v>91.755305496890784</c:v>
                </c:pt>
                <c:pt idx="91">
                  <c:v>89.80495332482694</c:v>
                </c:pt>
                <c:pt idx="92">
                  <c:v>90.602817376510629</c:v>
                </c:pt>
                <c:pt idx="93">
                  <c:v>90.381197385017018</c:v>
                </c:pt>
                <c:pt idx="94">
                  <c:v>92.597511879619859</c:v>
                </c:pt>
                <c:pt idx="95">
                  <c:v>91.666666666666671</c:v>
                </c:pt>
                <c:pt idx="96">
                  <c:v>91.356384929015604</c:v>
                </c:pt>
                <c:pt idx="97">
                  <c:v>92.065587234541837</c:v>
                </c:pt>
                <c:pt idx="98">
                  <c:v>92.863474202158883</c:v>
                </c:pt>
                <c:pt idx="99">
                  <c:v>91.090422606476594</c:v>
                </c:pt>
                <c:pt idx="100">
                  <c:v>90.735798537780127</c:v>
                </c:pt>
                <c:pt idx="101">
                  <c:v>89.716314494602841</c:v>
                </c:pt>
                <c:pt idx="102">
                  <c:v>90.292535638859562</c:v>
                </c:pt>
                <c:pt idx="103">
                  <c:v>91.976948404317739</c:v>
                </c:pt>
                <c:pt idx="104">
                  <c:v>90.203896808635449</c:v>
                </c:pt>
                <c:pt idx="105">
                  <c:v>92.331549557080848</c:v>
                </c:pt>
                <c:pt idx="106">
                  <c:v>92.628769212718538</c:v>
                </c:pt>
                <c:pt idx="107">
                  <c:v>91.502978154699051</c:v>
                </c:pt>
                <c:pt idx="108">
                  <c:v>90.377210012612935</c:v>
                </c:pt>
                <c:pt idx="109">
                  <c:v>91.457948345652937</c:v>
                </c:pt>
                <c:pt idx="110">
                  <c:v>91.052680064237961</c:v>
                </c:pt>
                <c:pt idx="111">
                  <c:v>90.692418675935699</c:v>
                </c:pt>
                <c:pt idx="112">
                  <c:v>89.746769770034035</c:v>
                </c:pt>
                <c:pt idx="113">
                  <c:v>89.161382252434592</c:v>
                </c:pt>
                <c:pt idx="114">
                  <c:v>86.144293382611764</c:v>
                </c:pt>
                <c:pt idx="115">
                  <c:v>88.170680621553444</c:v>
                </c:pt>
                <c:pt idx="116">
                  <c:v>89.611680342895696</c:v>
                </c:pt>
                <c:pt idx="117">
                  <c:v>87.945531576322907</c:v>
                </c:pt>
                <c:pt idx="118">
                  <c:v>87.900501767276779</c:v>
                </c:pt>
                <c:pt idx="119">
                  <c:v>86.099263573565636</c:v>
                </c:pt>
                <c:pt idx="120">
                  <c:v>87.495233485861789</c:v>
                </c:pt>
                <c:pt idx="121">
                  <c:v>90.152060967382369</c:v>
                </c:pt>
                <c:pt idx="122">
                  <c:v>89.161382252434592</c:v>
                </c:pt>
                <c:pt idx="123">
                  <c:v>92.853918257949076</c:v>
                </c:pt>
                <c:pt idx="124">
                  <c:v>91.908269352047398</c:v>
                </c:pt>
                <c:pt idx="125">
                  <c:v>91.953299161093511</c:v>
                </c:pt>
                <c:pt idx="126">
                  <c:v>91.367888727560725</c:v>
                </c:pt>
                <c:pt idx="127">
                  <c:v>91.683120306816861</c:v>
                </c:pt>
                <c:pt idx="128">
                  <c:v>93.214156730317967</c:v>
                </c:pt>
                <c:pt idx="129">
                  <c:v>92.583716487739053</c:v>
                </c:pt>
                <c:pt idx="130">
                  <c:v>91.998328970139625</c:v>
                </c:pt>
                <c:pt idx="131">
                  <c:v>92.673799021764637</c:v>
                </c:pt>
                <c:pt idx="132">
                  <c:v>93.934656590989093</c:v>
                </c:pt>
                <c:pt idx="133">
                  <c:v>93.799567163850767</c:v>
                </c:pt>
                <c:pt idx="134">
                  <c:v>92.808888448902977</c:v>
                </c:pt>
                <c:pt idx="135">
                  <c:v>92.673799021764637</c:v>
                </c:pt>
                <c:pt idx="136">
                  <c:v>92.763858639856863</c:v>
                </c:pt>
                <c:pt idx="137">
                  <c:v>91.773179924909073</c:v>
                </c:pt>
                <c:pt idx="138">
                  <c:v>94.520067024521893</c:v>
                </c:pt>
                <c:pt idx="139">
                  <c:v>92.853918257949076</c:v>
                </c:pt>
                <c:pt idx="140">
                  <c:v>93.439305775548519</c:v>
                </c:pt>
                <c:pt idx="141">
                  <c:v>94.159805636219644</c:v>
                </c:pt>
                <c:pt idx="142">
                  <c:v>94.835275687844671</c:v>
                </c:pt>
                <c:pt idx="143">
                  <c:v>96.141163066115226</c:v>
                </c:pt>
                <c:pt idx="144">
                  <c:v>95.510745739469684</c:v>
                </c:pt>
                <c:pt idx="145">
                  <c:v>95.780924593746334</c:v>
                </c:pt>
                <c:pt idx="146">
                  <c:v>95.420686121377457</c:v>
                </c:pt>
                <c:pt idx="147">
                  <c:v>95.420686121377457</c:v>
                </c:pt>
                <c:pt idx="148">
                  <c:v>95.37565631233133</c:v>
                </c:pt>
                <c:pt idx="149">
                  <c:v>93.754537354804654</c:v>
                </c:pt>
                <c:pt idx="150">
                  <c:v>92.313537633462403</c:v>
                </c:pt>
                <c:pt idx="151">
                  <c:v>92.313537633462403</c:v>
                </c:pt>
                <c:pt idx="152">
                  <c:v>92.583716487739053</c:v>
                </c:pt>
                <c:pt idx="153">
                  <c:v>91.728127199929617</c:v>
                </c:pt>
                <c:pt idx="154">
                  <c:v>92.13341839727795</c:v>
                </c:pt>
                <c:pt idx="155">
                  <c:v>91.322858918514612</c:v>
                </c:pt>
                <c:pt idx="156">
                  <c:v>90.557329248797373</c:v>
                </c:pt>
                <c:pt idx="157">
                  <c:v>89.206412061480705</c:v>
                </c:pt>
                <c:pt idx="158">
                  <c:v>90.0169486243107</c:v>
                </c:pt>
                <c:pt idx="159">
                  <c:v>90.107031158336284</c:v>
                </c:pt>
                <c:pt idx="160">
                  <c:v>92.403597251554615</c:v>
                </c:pt>
                <c:pt idx="161">
                  <c:v>92.178448206324077</c:v>
                </c:pt>
                <c:pt idx="162">
                  <c:v>90.242120585474609</c:v>
                </c:pt>
                <c:pt idx="163">
                  <c:v>89.251441870526818</c:v>
                </c:pt>
                <c:pt idx="164">
                  <c:v>87.089942288513441</c:v>
                </c:pt>
                <c:pt idx="165">
                  <c:v>86.459502045934528</c:v>
                </c:pt>
                <c:pt idx="166">
                  <c:v>86.234353000703976</c:v>
                </c:pt>
                <c:pt idx="167">
                  <c:v>84.207965761762296</c:v>
                </c:pt>
                <c:pt idx="168">
                  <c:v>85.69399529215066</c:v>
                </c:pt>
                <c:pt idx="169">
                  <c:v>87.089942288513441</c:v>
                </c:pt>
                <c:pt idx="170">
                  <c:v>86.909823052328989</c:v>
                </c:pt>
                <c:pt idx="171">
                  <c:v>86.324412618796202</c:v>
                </c:pt>
                <c:pt idx="172">
                  <c:v>84.388084997946734</c:v>
                </c:pt>
                <c:pt idx="173">
                  <c:v>85.018525240525648</c:v>
                </c:pt>
                <c:pt idx="174">
                  <c:v>83.532495710137283</c:v>
                </c:pt>
                <c:pt idx="175">
                  <c:v>83.577525519183396</c:v>
                </c:pt>
                <c:pt idx="176">
                  <c:v>82.541816995189492</c:v>
                </c:pt>
                <c:pt idx="177">
                  <c:v>81.551138280241702</c:v>
                </c:pt>
                <c:pt idx="178">
                  <c:v>82.631876613281705</c:v>
                </c:pt>
                <c:pt idx="179">
                  <c:v>81.731257516426155</c:v>
                </c:pt>
                <c:pt idx="180">
                  <c:v>82.766966040420044</c:v>
                </c:pt>
                <c:pt idx="181">
                  <c:v>84.433114806992847</c:v>
                </c:pt>
                <c:pt idx="182">
                  <c:v>84.748323470315626</c:v>
                </c:pt>
                <c:pt idx="183">
                  <c:v>84.613234043177286</c:v>
                </c:pt>
                <c:pt idx="184">
                  <c:v>85.739002185263416</c:v>
                </c:pt>
                <c:pt idx="185">
                  <c:v>85.648942567171176</c:v>
                </c:pt>
                <c:pt idx="186">
                  <c:v>86.684674007098437</c:v>
                </c:pt>
                <c:pt idx="187">
                  <c:v>87.27006152469788</c:v>
                </c:pt>
                <c:pt idx="188">
                  <c:v>87.585293103954015</c:v>
                </c:pt>
                <c:pt idx="189">
                  <c:v>88.575971818901806</c:v>
                </c:pt>
                <c:pt idx="190">
                  <c:v>89.206412061480705</c:v>
                </c:pt>
                <c:pt idx="191">
                  <c:v>88.035591194415119</c:v>
                </c:pt>
                <c:pt idx="192">
                  <c:v>89.47659091575737</c:v>
                </c:pt>
                <c:pt idx="193">
                  <c:v>89.971918815264587</c:v>
                </c:pt>
                <c:pt idx="194">
                  <c:v>90.197090776428496</c:v>
                </c:pt>
                <c:pt idx="195">
                  <c:v>91.457948345652937</c:v>
                </c:pt>
                <c:pt idx="196">
                  <c:v>89.836829388126262</c:v>
                </c:pt>
                <c:pt idx="197">
                  <c:v>90.152060967382369</c:v>
                </c:pt>
                <c:pt idx="198">
                  <c:v>90.962620446145721</c:v>
                </c:pt>
                <c:pt idx="199">
                  <c:v>91.818186818021815</c:v>
                </c:pt>
                <c:pt idx="200">
                  <c:v>91.683120306816861</c:v>
                </c:pt>
                <c:pt idx="201">
                  <c:v>91.998328970139625</c:v>
                </c:pt>
                <c:pt idx="202">
                  <c:v>92.088388588231837</c:v>
                </c:pt>
                <c:pt idx="203">
                  <c:v>91.863239543001313</c:v>
                </c:pt>
                <c:pt idx="204">
                  <c:v>93.349246157456307</c:v>
                </c:pt>
                <c:pt idx="205">
                  <c:v>92.313537633462403</c:v>
                </c:pt>
                <c:pt idx="206">
                  <c:v>92.673799021764637</c:v>
                </c:pt>
                <c:pt idx="207">
                  <c:v>93.844596972896866</c:v>
                </c:pt>
                <c:pt idx="208">
                  <c:v>91.277829109468499</c:v>
                </c:pt>
                <c:pt idx="209">
                  <c:v>91.548007963745164</c:v>
                </c:pt>
                <c:pt idx="210">
                  <c:v>91.908269352047398</c:v>
                </c:pt>
                <c:pt idx="211">
                  <c:v>91.502978154699051</c:v>
                </c:pt>
                <c:pt idx="212">
                  <c:v>91.457948345652937</c:v>
                </c:pt>
                <c:pt idx="213">
                  <c:v>91.187769491376287</c:v>
                </c:pt>
                <c:pt idx="214">
                  <c:v>93.349246157456307</c:v>
                </c:pt>
                <c:pt idx="215">
                  <c:v>94.069746018127432</c:v>
                </c:pt>
                <c:pt idx="216">
                  <c:v>94.790245878798558</c:v>
                </c:pt>
                <c:pt idx="217">
                  <c:v>94.069746018127432</c:v>
                </c:pt>
                <c:pt idx="218">
                  <c:v>94.069746018127432</c:v>
                </c:pt>
                <c:pt idx="219">
                  <c:v>94.745216069752445</c:v>
                </c:pt>
                <c:pt idx="220">
                  <c:v>95.060424733075223</c:v>
                </c:pt>
                <c:pt idx="221">
                  <c:v>95.465715930423571</c:v>
                </c:pt>
                <c:pt idx="222">
                  <c:v>95.735894784700221</c:v>
                </c:pt>
                <c:pt idx="223">
                  <c:v>92.947025695177771</c:v>
                </c:pt>
                <c:pt idx="224">
                  <c:v>92.672034494896167</c:v>
                </c:pt>
                <c:pt idx="225">
                  <c:v>92.442875161328175</c:v>
                </c:pt>
                <c:pt idx="226">
                  <c:v>93.680335562595346</c:v>
                </c:pt>
                <c:pt idx="227">
                  <c:v>92.580370761468984</c:v>
                </c:pt>
                <c:pt idx="228">
                  <c:v>92.122052094332986</c:v>
                </c:pt>
                <c:pt idx="229">
                  <c:v>91.755397160624199</c:v>
                </c:pt>
                <c:pt idx="230">
                  <c:v>90.976255426493026</c:v>
                </c:pt>
                <c:pt idx="231">
                  <c:v>89.967954358793861</c:v>
                </c:pt>
                <c:pt idx="232">
                  <c:v>91.067919159920223</c:v>
                </c:pt>
                <c:pt idx="233">
                  <c:v>90.242945559075451</c:v>
                </c:pt>
                <c:pt idx="234">
                  <c:v>90.655432359497851</c:v>
                </c:pt>
                <c:pt idx="235">
                  <c:v>89.051317024521893</c:v>
                </c:pt>
                <c:pt idx="236">
                  <c:v>88.913821424381084</c:v>
                </c:pt>
                <c:pt idx="237">
                  <c:v>89.647131291798672</c:v>
                </c:pt>
                <c:pt idx="238">
                  <c:v>91.067919159920223</c:v>
                </c:pt>
                <c:pt idx="239">
                  <c:v>90.701264226211435</c:v>
                </c:pt>
                <c:pt idx="240">
                  <c:v>90.15128182564824</c:v>
                </c:pt>
                <c:pt idx="241">
                  <c:v>89.00548515780828</c:v>
                </c:pt>
                <c:pt idx="242">
                  <c:v>89.051317024521893</c:v>
                </c:pt>
                <c:pt idx="243">
                  <c:v>88.638830224099507</c:v>
                </c:pt>
                <c:pt idx="244">
                  <c:v>88.867989557667499</c:v>
                </c:pt>
                <c:pt idx="245">
                  <c:v>86.118077554851595</c:v>
                </c:pt>
                <c:pt idx="246">
                  <c:v>86.622228088701164</c:v>
                </c:pt>
                <c:pt idx="247">
                  <c:v>87.080546755837148</c:v>
                </c:pt>
                <c:pt idx="248">
                  <c:v>86.851387422269156</c:v>
                </c:pt>
                <c:pt idx="249">
                  <c:v>85.934750087997188</c:v>
                </c:pt>
                <c:pt idx="250">
                  <c:v>86.576396221987579</c:v>
                </c:pt>
                <c:pt idx="251">
                  <c:v>86.026413821424384</c:v>
                </c:pt>
                <c:pt idx="252">
                  <c:v>86.988883022409951</c:v>
                </c:pt>
                <c:pt idx="253">
                  <c:v>85.613927021001999</c:v>
                </c:pt>
                <c:pt idx="254">
                  <c:v>85.109776487152416</c:v>
                </c:pt>
                <c:pt idx="255">
                  <c:v>85.843086354569991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27-4ED1-8DCF-02576AAB3455}"/>
            </c:ext>
          </c:extLst>
        </c:ser>
        <c:ser>
          <c:idx val="5"/>
          <c:order val="5"/>
          <c:tx>
            <c:strRef>
              <c:f>Stats!$G$16</c:f>
              <c:strCache>
                <c:ptCount val="1"/>
                <c:pt idx="0">
                  <c:v>^HSI</c:v>
                </c:pt>
              </c:strCache>
            </c:strRef>
          </c:tx>
          <c:spPr>
            <a:ln w="15120">
              <a:solidFill>
                <a:srgbClr val="F5924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Stats!$A$17:$A$272</c:f>
              <c:numCache>
                <c:formatCode>yyyy\-mm\-dd</c:formatCode>
                <c:ptCount val="256"/>
                <c:pt idx="0">
                  <c:v>45932</c:v>
                </c:pt>
                <c:pt idx="1">
                  <c:v>45933</c:v>
                </c:pt>
                <c:pt idx="2">
                  <c:v>45936</c:v>
                </c:pt>
                <c:pt idx="3">
                  <c:v>45938</c:v>
                </c:pt>
                <c:pt idx="4">
                  <c:v>45939</c:v>
                </c:pt>
                <c:pt idx="5">
                  <c:v>45940</c:v>
                </c:pt>
                <c:pt idx="6">
                  <c:v>45943</c:v>
                </c:pt>
                <c:pt idx="7">
                  <c:v>45944</c:v>
                </c:pt>
                <c:pt idx="8">
                  <c:v>45945</c:v>
                </c:pt>
                <c:pt idx="9">
                  <c:v>45946</c:v>
                </c:pt>
                <c:pt idx="10">
                  <c:v>45947</c:v>
                </c:pt>
                <c:pt idx="11">
                  <c:v>45950</c:v>
                </c:pt>
                <c:pt idx="12">
                  <c:v>45951</c:v>
                </c:pt>
                <c:pt idx="13">
                  <c:v>45952</c:v>
                </c:pt>
                <c:pt idx="14">
                  <c:v>45953</c:v>
                </c:pt>
                <c:pt idx="15">
                  <c:v>45954</c:v>
                </c:pt>
                <c:pt idx="16">
                  <c:v>45957</c:v>
                </c:pt>
                <c:pt idx="17">
                  <c:v>45958</c:v>
                </c:pt>
                <c:pt idx="18">
                  <c:v>45960</c:v>
                </c:pt>
                <c:pt idx="19">
                  <c:v>45961</c:v>
                </c:pt>
                <c:pt idx="20">
                  <c:v>45964</c:v>
                </c:pt>
                <c:pt idx="21">
                  <c:v>45965</c:v>
                </c:pt>
                <c:pt idx="22">
                  <c:v>45966</c:v>
                </c:pt>
                <c:pt idx="23">
                  <c:v>45967</c:v>
                </c:pt>
                <c:pt idx="24">
                  <c:v>45968</c:v>
                </c:pt>
                <c:pt idx="25">
                  <c:v>45971</c:v>
                </c:pt>
                <c:pt idx="26">
                  <c:v>45972</c:v>
                </c:pt>
                <c:pt idx="27">
                  <c:v>45973</c:v>
                </c:pt>
                <c:pt idx="28">
                  <c:v>45974</c:v>
                </c:pt>
                <c:pt idx="29">
                  <c:v>45975</c:v>
                </c:pt>
                <c:pt idx="30">
                  <c:v>45978</c:v>
                </c:pt>
                <c:pt idx="31">
                  <c:v>45979</c:v>
                </c:pt>
                <c:pt idx="32">
                  <c:v>45980</c:v>
                </c:pt>
                <c:pt idx="33">
                  <c:v>45981</c:v>
                </c:pt>
                <c:pt idx="34">
                  <c:v>45982</c:v>
                </c:pt>
                <c:pt idx="35">
                  <c:v>45985</c:v>
                </c:pt>
                <c:pt idx="36">
                  <c:v>45986</c:v>
                </c:pt>
                <c:pt idx="37">
                  <c:v>45987</c:v>
                </c:pt>
                <c:pt idx="38">
                  <c:v>45988</c:v>
                </c:pt>
                <c:pt idx="39">
                  <c:v>45989</c:v>
                </c:pt>
                <c:pt idx="40">
                  <c:v>45992</c:v>
                </c:pt>
                <c:pt idx="41">
                  <c:v>45993</c:v>
                </c:pt>
                <c:pt idx="42">
                  <c:v>45994</c:v>
                </c:pt>
                <c:pt idx="43">
                  <c:v>45995</c:v>
                </c:pt>
                <c:pt idx="44">
                  <c:v>45996</c:v>
                </c:pt>
                <c:pt idx="45">
                  <c:v>45999</c:v>
                </c:pt>
                <c:pt idx="46">
                  <c:v>46000</c:v>
                </c:pt>
                <c:pt idx="47">
                  <c:v>46001</c:v>
                </c:pt>
                <c:pt idx="48">
                  <c:v>46002</c:v>
                </c:pt>
                <c:pt idx="49">
                  <c:v>46003</c:v>
                </c:pt>
                <c:pt idx="50">
                  <c:v>46006</c:v>
                </c:pt>
                <c:pt idx="51">
                  <c:v>46007</c:v>
                </c:pt>
                <c:pt idx="52">
                  <c:v>46008</c:v>
                </c:pt>
                <c:pt idx="53">
                  <c:v>46009</c:v>
                </c:pt>
                <c:pt idx="54">
                  <c:v>46010</c:v>
                </c:pt>
                <c:pt idx="55">
                  <c:v>46013</c:v>
                </c:pt>
                <c:pt idx="56">
                  <c:v>46014</c:v>
                </c:pt>
                <c:pt idx="57">
                  <c:v>46015</c:v>
                </c:pt>
                <c:pt idx="58">
                  <c:v>46020</c:v>
                </c:pt>
                <c:pt idx="59">
                  <c:v>46021</c:v>
                </c:pt>
                <c:pt idx="60">
                  <c:v>46022</c:v>
                </c:pt>
                <c:pt idx="61">
                  <c:v>46024</c:v>
                </c:pt>
                <c:pt idx="62">
                  <c:v>46027</c:v>
                </c:pt>
                <c:pt idx="63">
                  <c:v>46028</c:v>
                </c:pt>
                <c:pt idx="64">
                  <c:v>46029</c:v>
                </c:pt>
                <c:pt idx="65">
                  <c:v>46030</c:v>
                </c:pt>
                <c:pt idx="66">
                  <c:v>46031</c:v>
                </c:pt>
                <c:pt idx="67">
                  <c:v>46034</c:v>
                </c:pt>
                <c:pt idx="68">
                  <c:v>46035</c:v>
                </c:pt>
                <c:pt idx="69">
                  <c:v>46036</c:v>
                </c:pt>
                <c:pt idx="70">
                  <c:v>46037</c:v>
                </c:pt>
                <c:pt idx="71">
                  <c:v>46038</c:v>
                </c:pt>
                <c:pt idx="72">
                  <c:v>46041</c:v>
                </c:pt>
                <c:pt idx="73">
                  <c:v>46042</c:v>
                </c:pt>
                <c:pt idx="74">
                  <c:v>46043</c:v>
                </c:pt>
                <c:pt idx="75">
                  <c:v>46044</c:v>
                </c:pt>
                <c:pt idx="76">
                  <c:v>46045</c:v>
                </c:pt>
                <c:pt idx="77">
                  <c:v>46048</c:v>
                </c:pt>
                <c:pt idx="78">
                  <c:v>46049</c:v>
                </c:pt>
                <c:pt idx="79">
                  <c:v>46050</c:v>
                </c:pt>
                <c:pt idx="80">
                  <c:v>46051</c:v>
                </c:pt>
                <c:pt idx="81">
                  <c:v>46052</c:v>
                </c:pt>
                <c:pt idx="82">
                  <c:v>46055</c:v>
                </c:pt>
                <c:pt idx="83">
                  <c:v>46056</c:v>
                </c:pt>
                <c:pt idx="84">
                  <c:v>46057</c:v>
                </c:pt>
                <c:pt idx="85">
                  <c:v>46058</c:v>
                </c:pt>
                <c:pt idx="86">
                  <c:v>46059</c:v>
                </c:pt>
                <c:pt idx="87">
                  <c:v>46062</c:v>
                </c:pt>
                <c:pt idx="88">
                  <c:v>46063</c:v>
                </c:pt>
                <c:pt idx="89">
                  <c:v>46064</c:v>
                </c:pt>
                <c:pt idx="90">
                  <c:v>46065</c:v>
                </c:pt>
                <c:pt idx="91">
                  <c:v>46066</c:v>
                </c:pt>
                <c:pt idx="92">
                  <c:v>46069</c:v>
                </c:pt>
                <c:pt idx="93">
                  <c:v>46073</c:v>
                </c:pt>
                <c:pt idx="94">
                  <c:v>46076</c:v>
                </c:pt>
                <c:pt idx="95">
                  <c:v>46077</c:v>
                </c:pt>
                <c:pt idx="96">
                  <c:v>46078</c:v>
                </c:pt>
                <c:pt idx="97">
                  <c:v>46079</c:v>
                </c:pt>
                <c:pt idx="98">
                  <c:v>46080</c:v>
                </c:pt>
                <c:pt idx="99">
                  <c:v>46083</c:v>
                </c:pt>
                <c:pt idx="100">
                  <c:v>46084</c:v>
                </c:pt>
                <c:pt idx="101">
                  <c:v>46085</c:v>
                </c:pt>
                <c:pt idx="102">
                  <c:v>46086</c:v>
                </c:pt>
                <c:pt idx="103">
                  <c:v>46087</c:v>
                </c:pt>
                <c:pt idx="104">
                  <c:v>46090</c:v>
                </c:pt>
                <c:pt idx="105">
                  <c:v>46091</c:v>
                </c:pt>
                <c:pt idx="106">
                  <c:v>46092</c:v>
                </c:pt>
                <c:pt idx="107">
                  <c:v>46093</c:v>
                </c:pt>
                <c:pt idx="108">
                  <c:v>46094</c:v>
                </c:pt>
                <c:pt idx="109">
                  <c:v>46097</c:v>
                </c:pt>
                <c:pt idx="110">
                  <c:v>46098</c:v>
                </c:pt>
                <c:pt idx="111">
                  <c:v>46099</c:v>
                </c:pt>
                <c:pt idx="112">
                  <c:v>46100</c:v>
                </c:pt>
                <c:pt idx="113">
                  <c:v>46101</c:v>
                </c:pt>
                <c:pt idx="114">
                  <c:v>46104</c:v>
                </c:pt>
                <c:pt idx="115">
                  <c:v>46105</c:v>
                </c:pt>
                <c:pt idx="116">
                  <c:v>46106</c:v>
                </c:pt>
                <c:pt idx="117">
                  <c:v>46107</c:v>
                </c:pt>
                <c:pt idx="118">
                  <c:v>46108</c:v>
                </c:pt>
                <c:pt idx="119">
                  <c:v>46111</c:v>
                </c:pt>
                <c:pt idx="120">
                  <c:v>46112</c:v>
                </c:pt>
                <c:pt idx="121">
                  <c:v>46113</c:v>
                </c:pt>
                <c:pt idx="122">
                  <c:v>46114</c:v>
                </c:pt>
                <c:pt idx="123">
                  <c:v>46120</c:v>
                </c:pt>
                <c:pt idx="124">
                  <c:v>46121</c:v>
                </c:pt>
                <c:pt idx="125">
                  <c:v>46122</c:v>
                </c:pt>
                <c:pt idx="126">
                  <c:v>46125</c:v>
                </c:pt>
                <c:pt idx="127">
                  <c:v>46126</c:v>
                </c:pt>
                <c:pt idx="128">
                  <c:v>46127</c:v>
                </c:pt>
                <c:pt idx="129">
                  <c:v>46128</c:v>
                </c:pt>
                <c:pt idx="130">
                  <c:v>46129</c:v>
                </c:pt>
                <c:pt idx="131">
                  <c:v>46132</c:v>
                </c:pt>
                <c:pt idx="132">
                  <c:v>46133</c:v>
                </c:pt>
                <c:pt idx="133">
                  <c:v>46134</c:v>
                </c:pt>
                <c:pt idx="134">
                  <c:v>46135</c:v>
                </c:pt>
                <c:pt idx="135">
                  <c:v>46136</c:v>
                </c:pt>
                <c:pt idx="136">
                  <c:v>46139</c:v>
                </c:pt>
                <c:pt idx="137">
                  <c:v>46140</c:v>
                </c:pt>
                <c:pt idx="138">
                  <c:v>46141</c:v>
                </c:pt>
                <c:pt idx="139">
                  <c:v>46142</c:v>
                </c:pt>
                <c:pt idx="140">
                  <c:v>46146</c:v>
                </c:pt>
                <c:pt idx="141">
                  <c:v>46147</c:v>
                </c:pt>
                <c:pt idx="142">
                  <c:v>46148</c:v>
                </c:pt>
                <c:pt idx="143">
                  <c:v>46149</c:v>
                </c:pt>
                <c:pt idx="144">
                  <c:v>46150</c:v>
                </c:pt>
                <c:pt idx="145">
                  <c:v>46153</c:v>
                </c:pt>
                <c:pt idx="146">
                  <c:v>46154</c:v>
                </c:pt>
                <c:pt idx="147">
                  <c:v>46155</c:v>
                </c:pt>
                <c:pt idx="148">
                  <c:v>46156</c:v>
                </c:pt>
                <c:pt idx="149">
                  <c:v>46157</c:v>
                </c:pt>
                <c:pt idx="150">
                  <c:v>46160</c:v>
                </c:pt>
                <c:pt idx="151">
                  <c:v>46161</c:v>
                </c:pt>
                <c:pt idx="152">
                  <c:v>46162</c:v>
                </c:pt>
                <c:pt idx="153">
                  <c:v>46163</c:v>
                </c:pt>
                <c:pt idx="154">
                  <c:v>46164</c:v>
                </c:pt>
                <c:pt idx="155">
                  <c:v>46168</c:v>
                </c:pt>
                <c:pt idx="156">
                  <c:v>46169</c:v>
                </c:pt>
                <c:pt idx="157">
                  <c:v>46170</c:v>
                </c:pt>
                <c:pt idx="158">
                  <c:v>46171</c:v>
                </c:pt>
                <c:pt idx="159">
                  <c:v>46174</c:v>
                </c:pt>
                <c:pt idx="160">
                  <c:v>46175</c:v>
                </c:pt>
                <c:pt idx="161">
                  <c:v>46176</c:v>
                </c:pt>
                <c:pt idx="162">
                  <c:v>46177</c:v>
                </c:pt>
                <c:pt idx="163">
                  <c:v>46178</c:v>
                </c:pt>
                <c:pt idx="164">
                  <c:v>46181</c:v>
                </c:pt>
                <c:pt idx="165">
                  <c:v>46182</c:v>
                </c:pt>
                <c:pt idx="166">
                  <c:v>46183</c:v>
                </c:pt>
                <c:pt idx="167">
                  <c:v>46184</c:v>
                </c:pt>
                <c:pt idx="168">
                  <c:v>46185</c:v>
                </c:pt>
                <c:pt idx="169">
                  <c:v>46188</c:v>
                </c:pt>
                <c:pt idx="170">
                  <c:v>46189</c:v>
                </c:pt>
                <c:pt idx="171">
                  <c:v>46190</c:v>
                </c:pt>
                <c:pt idx="172">
                  <c:v>46191</c:v>
                </c:pt>
                <c:pt idx="173">
                  <c:v>46195</c:v>
                </c:pt>
                <c:pt idx="174">
                  <c:v>46196</c:v>
                </c:pt>
                <c:pt idx="175">
                  <c:v>46197</c:v>
                </c:pt>
                <c:pt idx="176">
                  <c:v>46198</c:v>
                </c:pt>
                <c:pt idx="177">
                  <c:v>46199</c:v>
                </c:pt>
                <c:pt idx="178">
                  <c:v>46202</c:v>
                </c:pt>
                <c:pt idx="179">
                  <c:v>46203</c:v>
                </c:pt>
                <c:pt idx="180">
                  <c:v>46205</c:v>
                </c:pt>
                <c:pt idx="181">
                  <c:v>46206</c:v>
                </c:pt>
                <c:pt idx="182">
                  <c:v>46209</c:v>
                </c:pt>
                <c:pt idx="183">
                  <c:v>46210</c:v>
                </c:pt>
                <c:pt idx="184">
                  <c:v>46211</c:v>
                </c:pt>
                <c:pt idx="185">
                  <c:v>46212</c:v>
                </c:pt>
                <c:pt idx="186">
                  <c:v>46213</c:v>
                </c:pt>
                <c:pt idx="187">
                  <c:v>46216</c:v>
                </c:pt>
                <c:pt idx="188">
                  <c:v>46217</c:v>
                </c:pt>
                <c:pt idx="189">
                  <c:v>46218</c:v>
                </c:pt>
                <c:pt idx="190">
                  <c:v>46219</c:v>
                </c:pt>
                <c:pt idx="191">
                  <c:v>46220</c:v>
                </c:pt>
                <c:pt idx="192">
                  <c:v>46223</c:v>
                </c:pt>
                <c:pt idx="193">
                  <c:v>46224</c:v>
                </c:pt>
                <c:pt idx="194">
                  <c:v>46225</c:v>
                </c:pt>
                <c:pt idx="195">
                  <c:v>46226</c:v>
                </c:pt>
                <c:pt idx="196">
                  <c:v>46227</c:v>
                </c:pt>
                <c:pt idx="197">
                  <c:v>46230</c:v>
                </c:pt>
                <c:pt idx="198">
                  <c:v>46231</c:v>
                </c:pt>
                <c:pt idx="199">
                  <c:v>46232</c:v>
                </c:pt>
                <c:pt idx="200">
                  <c:v>46233</c:v>
                </c:pt>
                <c:pt idx="201">
                  <c:v>46234</c:v>
                </c:pt>
                <c:pt idx="202">
                  <c:v>46237</c:v>
                </c:pt>
                <c:pt idx="203">
                  <c:v>46238</c:v>
                </c:pt>
                <c:pt idx="204">
                  <c:v>46239</c:v>
                </c:pt>
                <c:pt idx="205">
                  <c:v>46240</c:v>
                </c:pt>
                <c:pt idx="206">
                  <c:v>46241</c:v>
                </c:pt>
                <c:pt idx="207">
                  <c:v>46244</c:v>
                </c:pt>
                <c:pt idx="208">
                  <c:v>46245</c:v>
                </c:pt>
                <c:pt idx="209">
                  <c:v>46246</c:v>
                </c:pt>
                <c:pt idx="210">
                  <c:v>46247</c:v>
                </c:pt>
                <c:pt idx="211">
                  <c:v>46248</c:v>
                </c:pt>
                <c:pt idx="212">
                  <c:v>46251</c:v>
                </c:pt>
                <c:pt idx="213">
                  <c:v>46252</c:v>
                </c:pt>
                <c:pt idx="214">
                  <c:v>46253</c:v>
                </c:pt>
                <c:pt idx="215">
                  <c:v>46254</c:v>
                </c:pt>
                <c:pt idx="216">
                  <c:v>46255</c:v>
                </c:pt>
                <c:pt idx="217">
                  <c:v>46258</c:v>
                </c:pt>
                <c:pt idx="218">
                  <c:v>46259</c:v>
                </c:pt>
                <c:pt idx="219">
                  <c:v>46260</c:v>
                </c:pt>
                <c:pt idx="220">
                  <c:v>46261</c:v>
                </c:pt>
                <c:pt idx="221">
                  <c:v>46262</c:v>
                </c:pt>
                <c:pt idx="222">
                  <c:v>46265</c:v>
                </c:pt>
                <c:pt idx="223">
                  <c:v>46266</c:v>
                </c:pt>
                <c:pt idx="224">
                  <c:v>46267</c:v>
                </c:pt>
                <c:pt idx="225">
                  <c:v>46268</c:v>
                </c:pt>
                <c:pt idx="226">
                  <c:v>46269</c:v>
                </c:pt>
                <c:pt idx="227">
                  <c:v>46272</c:v>
                </c:pt>
                <c:pt idx="228">
                  <c:v>46273</c:v>
                </c:pt>
                <c:pt idx="229">
                  <c:v>46274</c:v>
                </c:pt>
                <c:pt idx="230">
                  <c:v>46275</c:v>
                </c:pt>
                <c:pt idx="231">
                  <c:v>46276</c:v>
                </c:pt>
                <c:pt idx="232">
                  <c:v>46279</c:v>
                </c:pt>
                <c:pt idx="233">
                  <c:v>46280</c:v>
                </c:pt>
                <c:pt idx="234">
                  <c:v>46281</c:v>
                </c:pt>
                <c:pt idx="235">
                  <c:v>46282</c:v>
                </c:pt>
                <c:pt idx="236">
                  <c:v>46283</c:v>
                </c:pt>
                <c:pt idx="237">
                  <c:v>46286</c:v>
                </c:pt>
                <c:pt idx="238">
                  <c:v>46287</c:v>
                </c:pt>
                <c:pt idx="239">
                  <c:v>46288</c:v>
                </c:pt>
                <c:pt idx="240">
                  <c:v>46289</c:v>
                </c:pt>
                <c:pt idx="241">
                  <c:v>46290</c:v>
                </c:pt>
                <c:pt idx="242">
                  <c:v>46293</c:v>
                </c:pt>
                <c:pt idx="243">
                  <c:v>46294</c:v>
                </c:pt>
                <c:pt idx="244">
                  <c:v>46295</c:v>
                </c:pt>
                <c:pt idx="245">
                  <c:v>46297</c:v>
                </c:pt>
                <c:pt idx="246">
                  <c:v>46300</c:v>
                </c:pt>
                <c:pt idx="247">
                  <c:v>46301</c:v>
                </c:pt>
                <c:pt idx="248">
                  <c:v>46302</c:v>
                </c:pt>
                <c:pt idx="249">
                  <c:v>46303</c:v>
                </c:pt>
                <c:pt idx="250">
                  <c:v>46304</c:v>
                </c:pt>
                <c:pt idx="251">
                  <c:v>46307</c:v>
                </c:pt>
                <c:pt idx="252">
                  <c:v>46308</c:v>
                </c:pt>
                <c:pt idx="253">
                  <c:v>46309</c:v>
                </c:pt>
                <c:pt idx="254">
                  <c:v>46310</c:v>
                </c:pt>
                <c:pt idx="255">
                  <c:v>46311</c:v>
                </c:pt>
              </c:numCache>
            </c:numRef>
          </c:cat>
          <c:val>
            <c:numRef>
              <c:f>Stats!$G$17:$G$272</c:f>
              <c:numCache>
                <c:formatCode>0.0</c:formatCode>
                <c:ptCount val="256"/>
                <c:pt idx="0">
                  <c:v>100</c:v>
                </c:pt>
                <c:pt idx="1">
                  <c:v>99.464218998479765</c:v>
                </c:pt>
                <c:pt idx="2">
                  <c:v>98.793021722839185</c:v>
                </c:pt>
                <c:pt idx="3">
                  <c:v>98.322804989699335</c:v>
                </c:pt>
                <c:pt idx="4">
                  <c:v>98.041092949236997</c:v>
                </c:pt>
                <c:pt idx="5">
                  <c:v>96.34699875664046</c:v>
                </c:pt>
                <c:pt idx="6">
                  <c:v>94.878027999665235</c:v>
                </c:pt>
                <c:pt idx="7">
                  <c:v>93.235747998036189</c:v>
                </c:pt>
                <c:pt idx="8">
                  <c:v>94.955423857845076</c:v>
                </c:pt>
                <c:pt idx="9">
                  <c:v>94.874470643549913</c:v>
                </c:pt>
                <c:pt idx="10">
                  <c:v>92.523873654364635</c:v>
                </c:pt>
                <c:pt idx="11">
                  <c:v>94.765702473882627</c:v>
                </c:pt>
                <c:pt idx="12">
                  <c:v>95.384018754841733</c:v>
                </c:pt>
                <c:pt idx="13">
                  <c:v>94.48329596655735</c:v>
                </c:pt>
                <c:pt idx="14">
                  <c:v>95.165709523362636</c:v>
                </c:pt>
                <c:pt idx="15">
                  <c:v>95.869960856366106</c:v>
                </c:pt>
                <c:pt idx="16">
                  <c:v>96.872444112284455</c:v>
                </c:pt>
                <c:pt idx="17">
                  <c:v>96.551565240172238</c:v>
                </c:pt>
                <c:pt idx="18">
                  <c:v>96.319033913697396</c:v>
                </c:pt>
                <c:pt idx="19">
                  <c:v>94.940951095126778</c:v>
                </c:pt>
                <c:pt idx="20">
                  <c:v>95.863397319946472</c:v>
                </c:pt>
                <c:pt idx="21">
                  <c:v>95.108612620084173</c:v>
                </c:pt>
                <c:pt idx="22">
                  <c:v>95.046348077104255</c:v>
                </c:pt>
                <c:pt idx="23">
                  <c:v>97.063747561390599</c:v>
                </c:pt>
                <c:pt idx="24">
                  <c:v>96.169295130902981</c:v>
                </c:pt>
                <c:pt idx="25">
                  <c:v>97.661685729220125</c:v>
                </c:pt>
                <c:pt idx="26">
                  <c:v>97.835209727215215</c:v>
                </c:pt>
                <c:pt idx="27">
                  <c:v>98.664613150752146</c:v>
                </c:pt>
                <c:pt idx="28">
                  <c:v>99.215418090801677</c:v>
                </c:pt>
                <c:pt idx="29">
                  <c:v>97.380968663709169</c:v>
                </c:pt>
                <c:pt idx="30">
                  <c:v>96.691333384475897</c:v>
                </c:pt>
                <c:pt idx="31">
                  <c:v>95.026628516456313</c:v>
                </c:pt>
                <c:pt idx="32">
                  <c:v>94.66243140339428</c:v>
                </c:pt>
                <c:pt idx="33">
                  <c:v>94.680461522227901</c:v>
                </c:pt>
                <c:pt idx="34">
                  <c:v>92.424632324047721</c:v>
                </c:pt>
                <c:pt idx="35">
                  <c:v>94.244100689984535</c:v>
                </c:pt>
                <c:pt idx="36">
                  <c:v>94.896609294309869</c:v>
                </c:pt>
                <c:pt idx="37">
                  <c:v>95.019485219309942</c:v>
                </c:pt>
                <c:pt idx="38">
                  <c:v>95.084899233646098</c:v>
                </c:pt>
                <c:pt idx="39">
                  <c:v>94.765924190216182</c:v>
                </c:pt>
                <c:pt idx="40">
                  <c:v>95.404940714316737</c:v>
                </c:pt>
                <c:pt idx="41">
                  <c:v>95.631388217893615</c:v>
                </c:pt>
                <c:pt idx="42">
                  <c:v>94.406193653473665</c:v>
                </c:pt>
                <c:pt idx="43">
                  <c:v>95.04814452911593</c:v>
                </c:pt>
                <c:pt idx="44">
                  <c:v>95.594848266704716</c:v>
                </c:pt>
                <c:pt idx="45">
                  <c:v>94.423157335066577</c:v>
                </c:pt>
                <c:pt idx="46">
                  <c:v>93.209658398859702</c:v>
                </c:pt>
                <c:pt idx="47">
                  <c:v>93.600131279523751</c:v>
                </c:pt>
                <c:pt idx="48">
                  <c:v>93.562496306178403</c:v>
                </c:pt>
                <c:pt idx="49">
                  <c:v>95.197990688580987</c:v>
                </c:pt>
                <c:pt idx="50">
                  <c:v>93.923000101538761</c:v>
                </c:pt>
                <c:pt idx="51">
                  <c:v>92.48103512693649</c:v>
                </c:pt>
                <c:pt idx="52">
                  <c:v>93.336270518935066</c:v>
                </c:pt>
                <c:pt idx="53">
                  <c:v>93.443836289775277</c:v>
                </c:pt>
                <c:pt idx="54">
                  <c:v>94.148925014220353</c:v>
                </c:pt>
                <c:pt idx="55">
                  <c:v>94.556590622276431</c:v>
                </c:pt>
                <c:pt idx="56">
                  <c:v>94.455338086606574</c:v>
                </c:pt>
                <c:pt idx="57">
                  <c:v>94.619478169829961</c:v>
                </c:pt>
                <c:pt idx="58">
                  <c:v>93.946269688836452</c:v>
                </c:pt>
                <c:pt idx="59">
                  <c:v>94.75019882183166</c:v>
                </c:pt>
                <c:pt idx="60">
                  <c:v>93.929076961444423</c:v>
                </c:pt>
                <c:pt idx="61">
                  <c:v>96.523457106177261</c:v>
                </c:pt>
                <c:pt idx="62">
                  <c:v>96.55559498034367</c:v>
                </c:pt>
                <c:pt idx="63">
                  <c:v>97.886658910797223</c:v>
                </c:pt>
                <c:pt idx="64">
                  <c:v>96.964978615129809</c:v>
                </c:pt>
                <c:pt idx="65">
                  <c:v>95.83023551943964</c:v>
                </c:pt>
                <c:pt idx="66">
                  <c:v>96.132497548999226</c:v>
                </c:pt>
                <c:pt idx="67">
                  <c:v>97.512970872766118</c:v>
                </c:pt>
                <c:pt idx="68">
                  <c:v>98.392470827013767</c:v>
                </c:pt>
                <c:pt idx="69">
                  <c:v>98.947090753893477</c:v>
                </c:pt>
                <c:pt idx="70">
                  <c:v>98.667869632305738</c:v>
                </c:pt>
                <c:pt idx="71">
                  <c:v>98.379608347881614</c:v>
                </c:pt>
                <c:pt idx="72">
                  <c:v>97.349596718695011</c:v>
                </c:pt>
                <c:pt idx="73">
                  <c:v>97.069645582336321</c:v>
                </c:pt>
                <c:pt idx="74">
                  <c:v>97.427142830919081</c:v>
                </c:pt>
                <c:pt idx="75">
                  <c:v>97.591690798901524</c:v>
                </c:pt>
                <c:pt idx="76">
                  <c:v>98.029805572256251</c:v>
                </c:pt>
                <c:pt idx="77">
                  <c:v>98.088476844739532</c:v>
                </c:pt>
                <c:pt idx="78">
                  <c:v>99.413020116147038</c:v>
                </c:pt>
                <c:pt idx="79">
                  <c:v>101.97819014173615</c:v>
                </c:pt>
                <c:pt idx="80">
                  <c:v>102.49557565056402</c:v>
                </c:pt>
                <c:pt idx="81">
                  <c:v>100.36643773068738</c:v>
                </c:pt>
                <c:pt idx="82">
                  <c:v>98.125310341024601</c:v>
                </c:pt>
                <c:pt idx="83">
                  <c:v>98.342259590166847</c:v>
                </c:pt>
                <c:pt idx="84">
                  <c:v>98.388254918416791</c:v>
                </c:pt>
                <c:pt idx="85">
                  <c:v>98.527221219186899</c:v>
                </c:pt>
                <c:pt idx="86">
                  <c:v>97.335116626511152</c:v>
                </c:pt>
                <c:pt idx="87">
                  <c:v>99.047320096169472</c:v>
                </c:pt>
                <c:pt idx="88">
                  <c:v>99.618982496396995</c:v>
                </c:pt>
                <c:pt idx="89">
                  <c:v>99.924000038538324</c:v>
                </c:pt>
                <c:pt idx="90">
                  <c:v>99.067032327351853</c:v>
                </c:pt>
                <c:pt idx="91">
                  <c:v>97.361392394113167</c:v>
                </c:pt>
                <c:pt idx="92">
                  <c:v>97.870132065352394</c:v>
                </c:pt>
                <c:pt idx="93">
                  <c:v>96.797868265983425</c:v>
                </c:pt>
                <c:pt idx="94">
                  <c:v>99.247964216200444</c:v>
                </c:pt>
                <c:pt idx="95">
                  <c:v>97.446418592426625</c:v>
                </c:pt>
                <c:pt idx="96">
                  <c:v>98.089214188976086</c:v>
                </c:pt>
                <c:pt idx="97">
                  <c:v>96.679387088540253</c:v>
                </c:pt>
                <c:pt idx="98">
                  <c:v>97.593809747398367</c:v>
                </c:pt>
                <c:pt idx="99">
                  <c:v>95.502385226148704</c:v>
                </c:pt>
                <c:pt idx="100">
                  <c:v>94.433127973557305</c:v>
                </c:pt>
                <c:pt idx="101">
                  <c:v>92.532599016654714</c:v>
                </c:pt>
                <c:pt idx="102">
                  <c:v>92.795944149340414</c:v>
                </c:pt>
                <c:pt idx="103">
                  <c:v>94.393581842064094</c:v>
                </c:pt>
                <c:pt idx="104">
                  <c:v>93.115219700858773</c:v>
                </c:pt>
                <c:pt idx="105">
                  <c:v>95.136098115978825</c:v>
                </c:pt>
                <c:pt idx="106">
                  <c:v>94.912034154605934</c:v>
                </c:pt>
                <c:pt idx="107">
                  <c:v>94.245052787562315</c:v>
                </c:pt>
                <c:pt idx="108">
                  <c:v>93.324617768095578</c:v>
                </c:pt>
                <c:pt idx="109">
                  <c:v>94.674778254623433</c:v>
                </c:pt>
                <c:pt idx="110">
                  <c:v>94.801283364501472</c:v>
                </c:pt>
                <c:pt idx="111">
                  <c:v>95.376209575748149</c:v>
                </c:pt>
                <c:pt idx="112">
                  <c:v>93.452811953314637</c:v>
                </c:pt>
                <c:pt idx="113">
                  <c:v>92.634624444469111</c:v>
                </c:pt>
                <c:pt idx="114">
                  <c:v>89.355239776851349</c:v>
                </c:pt>
                <c:pt idx="115">
                  <c:v>91.851803072901163</c:v>
                </c:pt>
                <c:pt idx="116">
                  <c:v>92.849483696503526</c:v>
                </c:pt>
                <c:pt idx="117">
                  <c:v>91.09217286334929</c:v>
                </c:pt>
                <c:pt idx="118">
                  <c:v>91.441976005447927</c:v>
                </c:pt>
                <c:pt idx="119">
                  <c:v>90.705028293001448</c:v>
                </c:pt>
                <c:pt idx="120">
                  <c:v>90.841911559655998</c:v>
                </c:pt>
                <c:pt idx="121">
                  <c:v>92.695858464589605</c:v>
                </c:pt>
                <c:pt idx="122">
                  <c:v>92.045368395082789</c:v>
                </c:pt>
                <c:pt idx="123">
                  <c:v>94.890997488994728</c:v>
                </c:pt>
                <c:pt idx="124">
                  <c:v>94.375666062893387</c:v>
                </c:pt>
                <c:pt idx="125">
                  <c:v>94.892901684150317</c:v>
                </c:pt>
                <c:pt idx="126">
                  <c:v>94.040156844553081</c:v>
                </c:pt>
                <c:pt idx="127">
                  <c:v>94.815140452111706</c:v>
                </c:pt>
                <c:pt idx="128">
                  <c:v>95.089995411058254</c:v>
                </c:pt>
                <c:pt idx="129">
                  <c:v>96.727909250046125</c:v>
                </c:pt>
                <c:pt idx="130">
                  <c:v>95.870619408847745</c:v>
                </c:pt>
                <c:pt idx="131">
                  <c:v>96.6062786012467</c:v>
                </c:pt>
                <c:pt idx="132">
                  <c:v>97.069538205665694</c:v>
                </c:pt>
                <c:pt idx="133">
                  <c:v>95.881284147728152</c:v>
                </c:pt>
                <c:pt idx="134">
                  <c:v>94.972280162767348</c:v>
                </c:pt>
                <c:pt idx="135">
                  <c:v>95.202685944226346</c:v>
                </c:pt>
                <c:pt idx="136">
                  <c:v>95.010581018059909</c:v>
                </c:pt>
                <c:pt idx="137">
                  <c:v>94.109529136771343</c:v>
                </c:pt>
                <c:pt idx="138">
                  <c:v>95.692915416637007</c:v>
                </c:pt>
                <c:pt idx="139">
                  <c:v>94.464092033812392</c:v>
                </c:pt>
                <c:pt idx="140">
                  <c:v>95.634430312579241</c:v>
                </c:pt>
                <c:pt idx="141">
                  <c:v>94.911482978794936</c:v>
                </c:pt>
                <c:pt idx="142">
                  <c:v>96.066496444470744</c:v>
                </c:pt>
                <c:pt idx="143">
                  <c:v>97.578198718676745</c:v>
                </c:pt>
                <c:pt idx="144">
                  <c:v>96.725897678219894</c:v>
                </c:pt>
                <c:pt idx="145">
                  <c:v>96.774011588493423</c:v>
                </c:pt>
                <c:pt idx="146">
                  <c:v>96.558050351310257</c:v>
                </c:pt>
                <c:pt idx="147">
                  <c:v>96.706579405812036</c:v>
                </c:pt>
                <c:pt idx="148">
                  <c:v>96.708776779590494</c:v>
                </c:pt>
                <c:pt idx="149">
                  <c:v>95.146469676236364</c:v>
                </c:pt>
                <c:pt idx="150">
                  <c:v>94.092672831849072</c:v>
                </c:pt>
                <c:pt idx="151">
                  <c:v>94.542225236228774</c:v>
                </c:pt>
                <c:pt idx="152">
                  <c:v>94.004497162179362</c:v>
                </c:pt>
                <c:pt idx="153">
                  <c:v>93.034810332909046</c:v>
                </c:pt>
                <c:pt idx="154">
                  <c:v>93.839255093807239</c:v>
                </c:pt>
                <c:pt idx="155">
                  <c:v>93.815140785602395</c:v>
                </c:pt>
                <c:pt idx="156">
                  <c:v>92.821196723548596</c:v>
                </c:pt>
                <c:pt idx="157">
                  <c:v>91.640895135756566</c:v>
                </c:pt>
                <c:pt idx="158">
                  <c:v>92.286732460518337</c:v>
                </c:pt>
                <c:pt idx="159">
                  <c:v>93.077541850139838</c:v>
                </c:pt>
                <c:pt idx="160">
                  <c:v>95.423486094580056</c:v>
                </c:pt>
                <c:pt idx="161">
                  <c:v>93.938868394501924</c:v>
                </c:pt>
                <c:pt idx="162">
                  <c:v>92.546964402702372</c:v>
                </c:pt>
                <c:pt idx="163">
                  <c:v>91.478873634556749</c:v>
                </c:pt>
                <c:pt idx="164">
                  <c:v>90.361538019599877</c:v>
                </c:pt>
                <c:pt idx="165">
                  <c:v>90.027460612359036</c:v>
                </c:pt>
                <c:pt idx="166">
                  <c:v>89.448654548511868</c:v>
                </c:pt>
                <c:pt idx="167">
                  <c:v>88.867164800845543</c:v>
                </c:pt>
                <c:pt idx="168">
                  <c:v>90.585230010595012</c:v>
                </c:pt>
                <c:pt idx="169">
                  <c:v>91.041746873161117</c:v>
                </c:pt>
                <c:pt idx="170">
                  <c:v>89.763778690730305</c:v>
                </c:pt>
                <c:pt idx="171">
                  <c:v>89.097570582304513</c:v>
                </c:pt>
                <c:pt idx="172">
                  <c:v>87.678037437085095</c:v>
                </c:pt>
                <c:pt idx="173">
                  <c:v>87.105272685235562</c:v>
                </c:pt>
                <c:pt idx="174">
                  <c:v>85.521227852888288</c:v>
                </c:pt>
                <c:pt idx="175">
                  <c:v>85.799382537235317</c:v>
                </c:pt>
                <c:pt idx="176">
                  <c:v>84.570709408454917</c:v>
                </c:pt>
                <c:pt idx="177">
                  <c:v>83.086306461718053</c:v>
                </c:pt>
                <c:pt idx="178">
                  <c:v>84.386628048250074</c:v>
                </c:pt>
                <c:pt idx="179">
                  <c:v>83.852822337701454</c:v>
                </c:pt>
                <c:pt idx="180">
                  <c:v>84.490521756838731</c:v>
                </c:pt>
                <c:pt idx="181">
                  <c:v>85.571617928695147</c:v>
                </c:pt>
                <c:pt idx="182">
                  <c:v>86.547503286999614</c:v>
                </c:pt>
                <c:pt idx="183">
                  <c:v>86.10982534979297</c:v>
                </c:pt>
                <c:pt idx="184">
                  <c:v>88.684557762640452</c:v>
                </c:pt>
                <c:pt idx="185">
                  <c:v>88.064187398954843</c:v>
                </c:pt>
                <c:pt idx="186">
                  <c:v>88.595351570111333</c:v>
                </c:pt>
                <c:pt idx="187">
                  <c:v>88.736816119221615</c:v>
                </c:pt>
                <c:pt idx="188">
                  <c:v>89.202273097419067</c:v>
                </c:pt>
                <c:pt idx="189">
                  <c:v>90.449634897514713</c:v>
                </c:pt>
                <c:pt idx="190">
                  <c:v>91.649834884914625</c:v>
                </c:pt>
                <c:pt idx="191">
                  <c:v>90.0140469574159</c:v>
                </c:pt>
                <c:pt idx="192">
                  <c:v>92.142562605665461</c:v>
                </c:pt>
                <c:pt idx="193">
                  <c:v>92.103123850842877</c:v>
                </c:pt>
                <c:pt idx="194">
                  <c:v>91.224947964550779</c:v>
                </c:pt>
                <c:pt idx="195">
                  <c:v>92.390883799821879</c:v>
                </c:pt>
                <c:pt idx="196">
                  <c:v>91.483569256675395</c:v>
                </c:pt>
                <c:pt idx="197">
                  <c:v>92.377577888022628</c:v>
                </c:pt>
                <c:pt idx="198">
                  <c:v>92.757500369469199</c:v>
                </c:pt>
                <c:pt idx="199">
                  <c:v>94.579130194803156</c:v>
                </c:pt>
                <c:pt idx="200">
                  <c:v>94.765888642308155</c:v>
                </c:pt>
                <c:pt idx="201">
                  <c:v>94.859518167309943</c:v>
                </c:pt>
                <c:pt idx="202">
                  <c:v>95.31750238888354</c:v>
                </c:pt>
                <c:pt idx="203">
                  <c:v>94.744043170171082</c:v>
                </c:pt>
                <c:pt idx="204">
                  <c:v>94.974556328300693</c:v>
                </c:pt>
                <c:pt idx="205">
                  <c:v>93.561651585271235</c:v>
                </c:pt>
                <c:pt idx="206">
                  <c:v>94.066468526536383</c:v>
                </c:pt>
                <c:pt idx="207">
                  <c:v>95.053970721299052</c:v>
                </c:pt>
                <c:pt idx="208">
                  <c:v>94.010731605594813</c:v>
                </c:pt>
                <c:pt idx="209">
                  <c:v>93.2314247127686</c:v>
                </c:pt>
                <c:pt idx="210">
                  <c:v>93.071422112860574</c:v>
                </c:pt>
                <c:pt idx="211">
                  <c:v>92.04654220899414</c:v>
                </c:pt>
                <c:pt idx="212">
                  <c:v>93.279288321792833</c:v>
                </c:pt>
                <c:pt idx="213">
                  <c:v>93.344959966843845</c:v>
                </c:pt>
                <c:pt idx="214">
                  <c:v>93.432620008610584</c:v>
                </c:pt>
                <c:pt idx="215">
                  <c:v>94.178099585456053</c:v>
                </c:pt>
                <c:pt idx="216">
                  <c:v>95.317724105217096</c:v>
                </c:pt>
                <c:pt idx="217">
                  <c:v>93.51419622747936</c:v>
                </c:pt>
                <c:pt idx="218">
                  <c:v>93.491363109856479</c:v>
                </c:pt>
                <c:pt idx="219">
                  <c:v>94.011282781405839</c:v>
                </c:pt>
                <c:pt idx="220">
                  <c:v>93.691606308120669</c:v>
                </c:pt>
                <c:pt idx="221">
                  <c:v>93.761415436487042</c:v>
                </c:pt>
                <c:pt idx="222">
                  <c:v>93.696187224103113</c:v>
                </c:pt>
                <c:pt idx="223">
                  <c:v>92.82669382272752</c:v>
                </c:pt>
                <c:pt idx="224">
                  <c:v>92.758824437424764</c:v>
                </c:pt>
                <c:pt idx="225">
                  <c:v>92.400045631786753</c:v>
                </c:pt>
                <c:pt idx="226">
                  <c:v>94.003580978982853</c:v>
                </c:pt>
                <c:pt idx="227">
                  <c:v>93.132290759122313</c:v>
                </c:pt>
                <c:pt idx="228">
                  <c:v>92.780698494477562</c:v>
                </c:pt>
                <c:pt idx="229">
                  <c:v>92.625977873933934</c:v>
                </c:pt>
                <c:pt idx="230">
                  <c:v>91.451466930416998</c:v>
                </c:pt>
                <c:pt idx="231">
                  <c:v>90.906008835502178</c:v>
                </c:pt>
                <c:pt idx="232">
                  <c:v>91.316344201392823</c:v>
                </c:pt>
                <c:pt idx="233">
                  <c:v>90.398843899941056</c:v>
                </c:pt>
                <c:pt idx="234">
                  <c:v>90.569397265539848</c:v>
                </c:pt>
                <c:pt idx="235">
                  <c:v>90.168144939859189</c:v>
                </c:pt>
                <c:pt idx="236">
                  <c:v>90.704992378620133</c:v>
                </c:pt>
                <c:pt idx="237">
                  <c:v>91.774843684396117</c:v>
                </c:pt>
                <c:pt idx="238">
                  <c:v>91.939899950815985</c:v>
                </c:pt>
                <c:pt idx="239">
                  <c:v>91.010410476054986</c:v>
                </c:pt>
                <c:pt idx="240">
                  <c:v>90.742928226527226</c:v>
                </c:pt>
                <c:pt idx="241">
                  <c:v>89.822929676735285</c:v>
                </c:pt>
                <c:pt idx="242">
                  <c:v>90.308213592251292</c:v>
                </c:pt>
                <c:pt idx="243">
                  <c:v>89.872332107056323</c:v>
                </c:pt>
                <c:pt idx="244">
                  <c:v>90.201055706170166</c:v>
                </c:pt>
                <c:pt idx="245">
                  <c:v>87.852033819136295</c:v>
                </c:pt>
                <c:pt idx="246">
                  <c:v>88.101421450533422</c:v>
                </c:pt>
                <c:pt idx="247">
                  <c:v>88.981766125688225</c:v>
                </c:pt>
                <c:pt idx="248">
                  <c:v>88.431834491461586</c:v>
                </c:pt>
                <c:pt idx="249">
                  <c:v>87.168561154555888</c:v>
                </c:pt>
                <c:pt idx="250">
                  <c:v>88.72812667131285</c:v>
                </c:pt>
                <c:pt idx="251">
                  <c:v>88.947459462659069</c:v>
                </c:pt>
                <c:pt idx="252">
                  <c:v>89.218728480574555</c:v>
                </c:pt>
                <c:pt idx="253">
                  <c:v>89.104935595784468</c:v>
                </c:pt>
                <c:pt idx="254">
                  <c:v>88.183441468542583</c:v>
                </c:pt>
                <c:pt idx="255">
                  <c:v>88.638269255767639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27-4ED1-8DCF-02576AAB3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40164260"/>
        <c:axId val="76313580"/>
      </c:lineChart>
      <c:dateAx>
        <c:axId val="40164260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76313580"/>
        <c:crosses val="autoZero"/>
        <c:auto val="1"/>
        <c:lblOffset val="100"/>
        <c:baseTimeUnit val="days"/>
      </c:dateAx>
      <c:valAx>
        <c:axId val="7631358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sz="1000" b="1" strike="noStrike" spc="-1">
                    <a:solidFill>
                      <a:srgbClr val="000000"/>
                    </a:solidFill>
                    <a:latin typeface="Calibri"/>
                  </a:rPr>
                  <a:t>Index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zh-CN"/>
          </a:p>
        </c:txPr>
        <c:crossAx val="40164260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14</xdr:row>
      <xdr:rowOff>131040</xdr:rowOff>
    </xdr:from>
    <xdr:to>
      <xdr:col>7</xdr:col>
      <xdr:colOff>903960</xdr:colOff>
      <xdr:row>30</xdr:row>
      <xdr:rowOff>142560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14</xdr:row>
      <xdr:rowOff>131040</xdr:rowOff>
    </xdr:from>
    <xdr:to>
      <xdr:col>14</xdr:col>
      <xdr:colOff>454320</xdr:colOff>
      <xdr:row>30</xdr:row>
      <xdr:rowOff>142560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131040</xdr:rowOff>
    </xdr:from>
    <xdr:to>
      <xdr:col>18</xdr:col>
      <xdr:colOff>164160</xdr:colOff>
      <xdr:row>30</xdr:row>
      <xdr:rowOff>132120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blData" displayName="tblData" ref="A1:F1281" totalsRowShown="0">
  <autoFilter ref="A1:F1281"/>
  <tableColumns count="6">
    <tableColumn id="1" name="Date"/>
    <tableColumn id="2" name="Ticker"/>
    <tableColumn id="3" name="Close"/>
    <tableColumn id="4" name="Volume"/>
    <tableColumn id="5" name="Month"/>
    <tableColumn id="6" name="Daily Retur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"/>
  <sheetViews>
    <sheetView showGridLines="0" tabSelected="1" zoomScaleNormal="100" workbookViewId="0"/>
  </sheetViews>
  <sheetFormatPr defaultColWidth="8.6640625" defaultRowHeight="14.4" x14ac:dyDescent="0.3"/>
  <cols>
    <col min="1" max="1" width="3" customWidth="1"/>
    <col min="2" max="2" width="140" customWidth="1"/>
  </cols>
  <sheetData>
    <row r="1" spans="1:2" ht="21" x14ac:dyDescent="0.4">
      <c r="A1" s="1"/>
      <c r="B1" s="2" t="s">
        <v>0</v>
      </c>
    </row>
    <row r="2" spans="1:2" x14ac:dyDescent="0.3">
      <c r="A2" s="1"/>
      <c r="B2" s="3" t="s">
        <v>1</v>
      </c>
    </row>
    <row r="3" spans="1:2" x14ac:dyDescent="0.3">
      <c r="A3" s="1"/>
      <c r="B3" s="3"/>
    </row>
    <row r="4" spans="1:2" x14ac:dyDescent="0.3">
      <c r="A4" s="1"/>
      <c r="B4" s="4" t="s">
        <v>2</v>
      </c>
    </row>
    <row r="5" spans="1:2" x14ac:dyDescent="0.3">
      <c r="A5" s="1"/>
      <c r="B5" s="3" t="s">
        <v>3</v>
      </c>
    </row>
    <row r="6" spans="1:2" x14ac:dyDescent="0.3">
      <c r="A6" s="1"/>
      <c r="B6" s="3" t="s">
        <v>4</v>
      </c>
    </row>
    <row r="7" spans="1:2" x14ac:dyDescent="0.3">
      <c r="A7" s="1"/>
      <c r="B7" s="3" t="s">
        <v>5</v>
      </c>
    </row>
    <row r="8" spans="1:2" x14ac:dyDescent="0.3">
      <c r="A8" s="1"/>
      <c r="B8" s="3" t="s">
        <v>6</v>
      </c>
    </row>
    <row r="9" spans="1:2" x14ac:dyDescent="0.3">
      <c r="A9" s="1"/>
      <c r="B9" s="3" t="s">
        <v>7</v>
      </c>
    </row>
    <row r="10" spans="1:2" x14ac:dyDescent="0.3">
      <c r="A10" s="1"/>
      <c r="B10" s="3" t="s">
        <v>8</v>
      </c>
    </row>
    <row r="11" spans="1:2" x14ac:dyDescent="0.3">
      <c r="A11" s="1"/>
      <c r="B11" s="3"/>
    </row>
    <row r="12" spans="1:2" x14ac:dyDescent="0.3">
      <c r="A12" s="1"/>
      <c r="B12" s="4" t="s">
        <v>9</v>
      </c>
    </row>
    <row r="13" spans="1:2" x14ac:dyDescent="0.3">
      <c r="A13" s="1"/>
      <c r="B13" s="3" t="s">
        <v>10</v>
      </c>
    </row>
    <row r="14" spans="1:2" x14ac:dyDescent="0.3">
      <c r="A14" s="1"/>
      <c r="B14" s="3"/>
    </row>
    <row r="15" spans="1:2" x14ac:dyDescent="0.3">
      <c r="A15" s="1"/>
      <c r="B15" s="4" t="s">
        <v>11</v>
      </c>
    </row>
    <row r="16" spans="1:2" x14ac:dyDescent="0.3">
      <c r="A16" s="1"/>
      <c r="B16" s="3" t="s">
        <v>12</v>
      </c>
    </row>
    <row r="17" spans="1:2" x14ac:dyDescent="0.3">
      <c r="A17" s="1"/>
      <c r="B17" s="3" t="s">
        <v>13</v>
      </c>
    </row>
    <row r="18" spans="1:2" x14ac:dyDescent="0.3">
      <c r="A18" s="1"/>
      <c r="B18" s="3" t="s">
        <v>14</v>
      </c>
    </row>
    <row r="19" spans="1:2" x14ac:dyDescent="0.3">
      <c r="A19" s="1"/>
      <c r="B19" s="3"/>
    </row>
    <row r="20" spans="1:2" x14ac:dyDescent="0.3">
      <c r="A20" s="1"/>
      <c r="B20" s="4" t="s">
        <v>15</v>
      </c>
    </row>
    <row r="21" spans="1:2" x14ac:dyDescent="0.3">
      <c r="A21" s="1"/>
      <c r="B21" s="3" t="s">
        <v>16</v>
      </c>
    </row>
    <row r="22" spans="1:2" x14ac:dyDescent="0.3">
      <c r="A22" s="1"/>
      <c r="B22" s="3"/>
    </row>
    <row r="23" spans="1:2" x14ac:dyDescent="0.3">
      <c r="A23" s="1"/>
      <c r="B23" s="4" t="s">
        <v>17</v>
      </c>
    </row>
    <row r="24" spans="1:2" x14ac:dyDescent="0.3">
      <c r="A24" s="1"/>
      <c r="B24" s="3" t="s">
        <v>18</v>
      </c>
    </row>
    <row r="25" spans="1:2" x14ac:dyDescent="0.3">
      <c r="A25" s="1"/>
      <c r="B25" s="3" t="s">
        <v>19</v>
      </c>
    </row>
    <row r="26" spans="1:2" x14ac:dyDescent="0.3">
      <c r="A26" s="1"/>
      <c r="B26" s="3"/>
    </row>
    <row r="27" spans="1:2" x14ac:dyDescent="0.3">
      <c r="A27" s="1"/>
      <c r="B27" s="4" t="s">
        <v>20</v>
      </c>
    </row>
    <row r="28" spans="1:2" x14ac:dyDescent="0.3">
      <c r="A28" s="1"/>
      <c r="B28" s="3" t="s">
        <v>21</v>
      </c>
    </row>
    <row r="29" spans="1:2" x14ac:dyDescent="0.3">
      <c r="A29" s="1"/>
      <c r="B29" s="3"/>
    </row>
    <row r="30" spans="1:2" x14ac:dyDescent="0.3">
      <c r="A30" s="1"/>
      <c r="B30" s="5" t="s">
        <v>22</v>
      </c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3"/>
  <sheetViews>
    <sheetView showGridLines="0" zoomScaleNormal="100" workbookViewId="0"/>
  </sheetViews>
  <sheetFormatPr defaultColWidth="8.6640625" defaultRowHeight="14.4" x14ac:dyDescent="0.3"/>
  <cols>
    <col min="1" max="1" width="2" customWidth="1"/>
    <col min="2" max="2" width="20" customWidth="1"/>
    <col min="3" max="3" width="12" customWidth="1"/>
    <col min="4" max="4" width="3" customWidth="1"/>
    <col min="5" max="5" width="20" customWidth="1"/>
    <col min="6" max="6" width="16" customWidth="1"/>
    <col min="7" max="7" width="3" customWidth="1"/>
    <col min="8" max="8" width="20" customWidth="1"/>
    <col min="9" max="9" width="14" customWidth="1"/>
  </cols>
  <sheetData>
    <row r="1" spans="1:9" x14ac:dyDescent="0.3">
      <c r="A1" s="1"/>
      <c r="B1" s="1"/>
      <c r="C1" s="1"/>
      <c r="D1" s="1"/>
      <c r="E1" s="1"/>
      <c r="F1" s="1"/>
      <c r="G1" s="1"/>
      <c r="H1" s="1"/>
      <c r="I1" s="1"/>
    </row>
    <row r="2" spans="1:9" ht="21" x14ac:dyDescent="0.4">
      <c r="A2" s="1"/>
      <c r="B2" s="2" t="s">
        <v>23</v>
      </c>
      <c r="C2" s="1"/>
      <c r="D2" s="1"/>
      <c r="E2" s="1"/>
      <c r="F2" s="1"/>
      <c r="G2" s="1"/>
      <c r="H2" s="1"/>
      <c r="I2" s="1"/>
    </row>
    <row r="3" spans="1:9" x14ac:dyDescent="0.3">
      <c r="A3" s="1"/>
      <c r="B3" s="5" t="s">
        <v>24</v>
      </c>
      <c r="C3" s="1"/>
      <c r="D3" s="1"/>
      <c r="E3" s="1"/>
      <c r="F3" s="1"/>
      <c r="G3" s="1"/>
      <c r="H3" s="1"/>
      <c r="I3" s="1"/>
    </row>
    <row r="4" spans="1:9" x14ac:dyDescent="0.3">
      <c r="A4" s="1"/>
      <c r="B4" s="4" t="s">
        <v>25</v>
      </c>
      <c r="C4" s="6" t="s">
        <v>26</v>
      </c>
      <c r="D4" s="1"/>
      <c r="E4" s="4" t="s">
        <v>27</v>
      </c>
      <c r="F4" s="1"/>
      <c r="G4" s="1"/>
      <c r="H4" s="4" t="s">
        <v>28</v>
      </c>
      <c r="I4" s="1"/>
    </row>
    <row r="5" spans="1:9" x14ac:dyDescent="0.3">
      <c r="A5" s="1"/>
      <c r="B5" s="4" t="s">
        <v>29</v>
      </c>
      <c r="C5" s="7">
        <v>0.03</v>
      </c>
      <c r="D5" s="1"/>
      <c r="E5" s="8" t="s">
        <v>30</v>
      </c>
      <c r="F5" s="9" t="str">
        <f>INDEX(Stats!$B$5:$B$10,MATCH($C$4,Stats!$A$5:$A$10,0))</f>
        <v>Tencent</v>
      </c>
      <c r="G5" s="1"/>
      <c r="H5" s="8" t="s">
        <v>31</v>
      </c>
      <c r="I5" s="10" t="str">
        <f ca="1">IF(Calc!D257&gt;Calc!E257,"BULLISH","BEARISH")</f>
        <v>BEARISH</v>
      </c>
    </row>
    <row r="6" spans="1:9" x14ac:dyDescent="0.3">
      <c r="A6" s="1"/>
      <c r="B6" s="4" t="s">
        <v>32</v>
      </c>
      <c r="C6" s="11">
        <v>20</v>
      </c>
      <c r="D6" s="1"/>
      <c r="E6" s="8" t="s">
        <v>33</v>
      </c>
      <c r="F6" s="12">
        <f>INDEX(Stats!$D$5:$D$10,MATCH($C$4,Stats!$A$5:$A$10,0))</f>
        <v>417.8</v>
      </c>
      <c r="G6" s="1"/>
      <c r="H6" s="8" t="s">
        <v>34</v>
      </c>
      <c r="I6" s="13">
        <f>Calc!H257/100-1</f>
        <v>-0.37521393838185879</v>
      </c>
    </row>
    <row r="7" spans="1:9" x14ac:dyDescent="0.3">
      <c r="A7" s="1"/>
      <c r="B7" s="4" t="s">
        <v>35</v>
      </c>
      <c r="C7" s="11">
        <v>50</v>
      </c>
      <c r="D7" s="1"/>
      <c r="E7" s="8" t="s">
        <v>36</v>
      </c>
      <c r="F7" s="14">
        <f>INDEX(Stats!$E$5:$E$10,MATCH($C$4,Stats!$A$5:$A$10,0))</f>
        <v>-0.3752139383818579</v>
      </c>
      <c r="G7" s="1"/>
      <c r="H7" s="8" t="s">
        <v>37</v>
      </c>
      <c r="I7" s="13">
        <f ca="1">Calc!I257/100-1</f>
        <v>-8.5732149136255376E-2</v>
      </c>
    </row>
    <row r="8" spans="1:9" x14ac:dyDescent="0.3">
      <c r="A8" s="1"/>
      <c r="B8" s="15" t="s">
        <v>38</v>
      </c>
      <c r="C8" s="15">
        <f>MATCH(C4,Prices!$B$1:$G$1,0)</f>
        <v>1</v>
      </c>
      <c r="D8" s="1"/>
      <c r="E8" s="8" t="s">
        <v>39</v>
      </c>
      <c r="F8" s="14">
        <f>INDEX(Stats!$G$5:$G$10,MATCH($C$4,Stats!$A$5:$A$10,0))</f>
        <v>0.32911055276981221</v>
      </c>
      <c r="G8" s="1"/>
      <c r="H8" s="8" t="s">
        <v>40</v>
      </c>
      <c r="I8" s="13">
        <f ca="1">I7-I6</f>
        <v>0.28948178924560342</v>
      </c>
    </row>
    <row r="9" spans="1:9" x14ac:dyDescent="0.3">
      <c r="A9" s="1"/>
      <c r="B9" s="1"/>
      <c r="C9" s="1"/>
      <c r="D9" s="1"/>
      <c r="E9" s="8" t="s">
        <v>41</v>
      </c>
      <c r="F9" s="16">
        <f>INDEX(Stats!$H$5:$H$10,MATCH($C$4,Stats!$A$5:$A$10,0))</f>
        <v>-1.3393008003947573</v>
      </c>
      <c r="G9" s="1"/>
      <c r="H9" s="8" t="s">
        <v>42</v>
      </c>
      <c r="I9" s="17">
        <f ca="1">SUMPRODUCT(ABS(Calc!F3:F257-Calc!F2:F256))</f>
        <v>4</v>
      </c>
    </row>
    <row r="10" spans="1:9" x14ac:dyDescent="0.3">
      <c r="A10" s="1"/>
      <c r="B10" s="1"/>
      <c r="C10" s="1"/>
      <c r="D10" s="1"/>
      <c r="E10" s="8" t="s">
        <v>43</v>
      </c>
      <c r="F10" s="16">
        <f>INDEX(Stats!$I$5:$I$10,MATCH($C$4,Stats!$A$5:$A$10,0))</f>
        <v>1.3093998544514269</v>
      </c>
      <c r="G10" s="1"/>
      <c r="H10" s="8" t="s">
        <v>44</v>
      </c>
      <c r="I10" s="13">
        <f ca="1">AVERAGE(Calc!F3:F257)</f>
        <v>0.14117647058823529</v>
      </c>
    </row>
    <row r="11" spans="1:9" x14ac:dyDescent="0.3">
      <c r="A11" s="1"/>
      <c r="B11" s="1"/>
      <c r="C11" s="1"/>
      <c r="D11" s="1"/>
      <c r="E11" s="8" t="s">
        <v>45</v>
      </c>
      <c r="F11" s="14">
        <f>INDEX(Stats!$K$5:$K$10,MATCH($C$4,Stats!$A$5:$A$10,0))</f>
        <v>-0.38569270240559395</v>
      </c>
      <c r="G11" s="1"/>
      <c r="H11" s="1"/>
      <c r="I11" s="1"/>
    </row>
    <row r="12" spans="1:9" x14ac:dyDescent="0.3">
      <c r="A12" s="1"/>
      <c r="B12" s="1"/>
      <c r="C12" s="1"/>
      <c r="D12" s="1"/>
      <c r="E12" s="8" t="s">
        <v>46</v>
      </c>
      <c r="F12" s="14">
        <f>INDEX(Stats!$N$5:$N$10,MATCH($C$4,Stats!$A$5:$A$10,0))</f>
        <v>-0.37613614746003199</v>
      </c>
      <c r="G12" s="1"/>
      <c r="H12" s="1"/>
      <c r="I12" s="1"/>
    </row>
    <row r="13" spans="1:9" x14ac:dyDescent="0.3">
      <c r="A13" s="1"/>
      <c r="B13" s="1"/>
      <c r="C13" s="1"/>
      <c r="D13" s="1"/>
      <c r="E13" s="8" t="s">
        <v>47</v>
      </c>
      <c r="F13" s="18">
        <f>INDEX(Stats!$O$5:$O$10,MATCH($C$4,Stats!$A$5:$A$10,0))</f>
        <v>6</v>
      </c>
      <c r="G13" s="1"/>
      <c r="H13" s="1"/>
      <c r="I13" s="1"/>
    </row>
  </sheetData>
  <phoneticPr fontId="12" type="noConversion"/>
  <conditionalFormatting sqref="I5">
    <cfRule type="expression" dxfId="2" priority="2">
      <formula>$I$5="BULLISH"</formula>
    </cfRule>
    <cfRule type="expression" dxfId="1" priority="3">
      <formula>$I$5="BEARISH"</formula>
    </cfRule>
  </conditionalFormatting>
  <conditionalFormatting sqref="I8">
    <cfRule type="expression" dxfId="0" priority="4">
      <formula>$I$8&lt;0</formula>
    </cfRule>
  </conditionalFormatting>
  <dataValidations count="2">
    <dataValidation type="list" sqref="C4">
      <formula1>"0700.HK,9988.HK,0005.HK,1299.HK,0388.HK,^HSI"</formula1>
      <formula2>0</formula2>
    </dataValidation>
    <dataValidation type="whole" sqref="C6:C7">
      <formula1>2</formula1>
      <formula2>200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2"/>
  <sheetViews>
    <sheetView zoomScaleNormal="100" workbookViewId="0"/>
  </sheetViews>
  <sheetFormatPr defaultColWidth="8.6640625" defaultRowHeight="14.4" x14ac:dyDescent="0.3"/>
  <cols>
    <col min="1" max="1" width="11" customWidth="1"/>
    <col min="2" max="2" width="17" customWidth="1"/>
    <col min="3" max="15" width="12" customWidth="1"/>
  </cols>
  <sheetData>
    <row r="1" spans="1:15" ht="21" x14ac:dyDescent="0.4">
      <c r="A1" s="2" t="s">
        <v>48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19" t="s">
        <v>49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30" customHeight="1" x14ac:dyDescent="0.3">
      <c r="A4" s="20" t="s">
        <v>25</v>
      </c>
      <c r="B4" s="20" t="s">
        <v>50</v>
      </c>
      <c r="C4" s="20" t="s">
        <v>51</v>
      </c>
      <c r="D4" s="20" t="s">
        <v>52</v>
      </c>
      <c r="E4" s="20" t="s">
        <v>36</v>
      </c>
      <c r="F4" s="20" t="s">
        <v>53</v>
      </c>
      <c r="G4" s="20" t="s">
        <v>39</v>
      </c>
      <c r="H4" s="20" t="s">
        <v>54</v>
      </c>
      <c r="I4" s="20" t="s">
        <v>43</v>
      </c>
      <c r="J4" s="20" t="s">
        <v>55</v>
      </c>
      <c r="K4" s="20" t="s">
        <v>45</v>
      </c>
      <c r="L4" s="20" t="s">
        <v>56</v>
      </c>
      <c r="M4" s="20" t="s">
        <v>57</v>
      </c>
      <c r="N4" s="20" t="s">
        <v>58</v>
      </c>
      <c r="O4" s="20" t="s">
        <v>59</v>
      </c>
    </row>
    <row r="5" spans="1:15" x14ac:dyDescent="0.3">
      <c r="A5" s="21" t="s">
        <v>26</v>
      </c>
      <c r="B5" s="21" t="s">
        <v>60</v>
      </c>
      <c r="C5" s="22">
        <f>INDEX(Prices!$B$2:$G$257,1,MATCH($A5,Prices!$B$1:$G$1,0))</f>
        <v>668.70889999999997</v>
      </c>
      <c r="D5" s="22">
        <f>INDEX(Prices!$B$2:$G$257,ROWS(Prices!$B$2:$G$257),MATCH($A5,Prices!$B$1:$G$1,0))</f>
        <v>417.8</v>
      </c>
      <c r="E5" s="23">
        <f t="shared" ref="E5:E10" si="0">D5/C5-1</f>
        <v>-0.3752139383818579</v>
      </c>
      <c r="F5" s="23">
        <f>AVERAGE(INDEX(Returns!$B$3:$G$257,0,MATCH($A5,Prices!$B$1:$G$1,0)))*252</f>
        <v>-0.41077802674297054</v>
      </c>
      <c r="G5" s="23">
        <f>STDEV(INDEX(Returns!$B$3:$G$257,0,MATCH($A5,Prices!$B$1:$G$1,0)))*SQRT(252)</f>
        <v>0.32911055276981221</v>
      </c>
      <c r="H5" s="24">
        <f>IFERROR((F5-Dashboard!$C$5)/G5,0)</f>
        <v>-1.3393008003947573</v>
      </c>
      <c r="I5" s="24">
        <f>SLOPE(INDEX(Returns!$B$3:$G$257,0,MATCH($A5,Prices!$B$1:$G$1,0)),INDEX(Returns!$B$3:$G$257,0,6))</f>
        <v>1.3093998544514269</v>
      </c>
      <c r="J5" s="24">
        <f>CORREL(INDEX(Returns!$B$3:$G$257,0,MATCH($A5,Prices!$B$1:$G$1,0)),INDEX(Returns!$B$3:$G$257,0,6))</f>
        <v>0.73815199314800739</v>
      </c>
      <c r="K5" s="23">
        <f>MIN(INDEX(Drawdown!$B$2:$G$257,0,MATCH($A5,Prices!$B$1:$G$1,0)))</f>
        <v>-0.38569270240559395</v>
      </c>
      <c r="L5" s="22">
        <f>MAX(INDEX(Prices!$B$2:$G$257,0,MATCH($A5,Prices!$B$1:$G$1,0)))</f>
        <v>669.69740000000002</v>
      </c>
      <c r="M5" s="22">
        <f>MIN(INDEX(Prices!$B$2:$G$257,0,MATCH($A5,Prices!$B$1:$G$1,0)))</f>
        <v>411.4</v>
      </c>
      <c r="N5" s="23">
        <f t="shared" ref="N5:N10" si="1">D5/L5-1</f>
        <v>-0.37613614746003199</v>
      </c>
      <c r="O5" s="25">
        <f t="shared" ref="O5:O10" si="2">RANK(H5,$H$5:$H$10,0)</f>
        <v>6</v>
      </c>
    </row>
    <row r="6" spans="1:15" x14ac:dyDescent="0.3">
      <c r="A6" s="21" t="s">
        <v>61</v>
      </c>
      <c r="B6" s="21" t="s">
        <v>62</v>
      </c>
      <c r="C6" s="22">
        <f>INDEX(Prices!$B$2:$G$257,1,MATCH($A6,Prices!$B$1:$G$1,0))</f>
        <v>182.8948</v>
      </c>
      <c r="D6" s="22">
        <f>INDEX(Prices!$B$2:$G$257,ROWS(Prices!$B$2:$G$257),MATCH($A6,Prices!$B$1:$G$1,0))</f>
        <v>108.8</v>
      </c>
      <c r="E6" s="23">
        <f t="shared" si="0"/>
        <v>-0.40512250758359458</v>
      </c>
      <c r="F6" s="23">
        <f>AVERAGE(INDEX(Returns!$B$3:$G$257,0,MATCH($A6,Prices!$B$1:$G$1,0)))*252</f>
        <v>-0.41757395463913616</v>
      </c>
      <c r="G6" s="23">
        <f>STDEV(INDEX(Returns!$B$3:$G$257,0,MATCH($A6,Prices!$B$1:$G$1,0)))*SQRT(252)</f>
        <v>0.43830377674842952</v>
      </c>
      <c r="H6" s="24">
        <f>IFERROR((F6-Dashboard!$C$5)/G6,0)</f>
        <v>-1.0211501209491687</v>
      </c>
      <c r="I6" s="24">
        <f>SLOPE(INDEX(Returns!$B$3:$G$257,0,MATCH($A6,Prices!$B$1:$G$1,0)),INDEX(Returns!$B$3:$G$257,0,6))</f>
        <v>1.8617850465461034</v>
      </c>
      <c r="J6" s="24">
        <f>CORREL(INDEX(Returns!$B$3:$G$257,0,MATCH($A6,Prices!$B$1:$G$1,0)),INDEX(Returns!$B$3:$G$257,0,6))</f>
        <v>0.78807879383021651</v>
      </c>
      <c r="K6" s="23">
        <f>MIN(INDEX(Drawdown!$B$2:$G$257,0,MATCH($A6,Prices!$B$1:$G$1,0)))</f>
        <v>-0.51593493516502842</v>
      </c>
      <c r="L6" s="22">
        <f>MAX(INDEX(Prices!$B$2:$G$257,0,MATCH($A6,Prices!$B$1:$G$1,0)))</f>
        <v>184.89250000000001</v>
      </c>
      <c r="M6" s="22">
        <f>MIN(INDEX(Prices!$B$2:$G$257,0,MATCH($A6,Prices!$B$1:$G$1,0)))</f>
        <v>89.5</v>
      </c>
      <c r="N6" s="23">
        <f t="shared" si="1"/>
        <v>-0.41154995470340883</v>
      </c>
      <c r="O6" s="25">
        <f t="shared" si="2"/>
        <v>5</v>
      </c>
    </row>
    <row r="7" spans="1:15" x14ac:dyDescent="0.3">
      <c r="A7" s="21" t="s">
        <v>63</v>
      </c>
      <c r="B7" s="21" t="s">
        <v>64</v>
      </c>
      <c r="C7" s="22">
        <f>INDEX(Prices!$B$2:$G$257,1,MATCH($A7,Prices!$B$1:$G$1,0))</f>
        <v>105.97799999999999</v>
      </c>
      <c r="D7" s="22">
        <f>INDEX(Prices!$B$2:$G$257,ROWS(Prices!$B$2:$G$257),MATCH($A7,Prices!$B$1:$G$1,0))</f>
        <v>149.69999999999999</v>
      </c>
      <c r="E7" s="23">
        <f t="shared" si="0"/>
        <v>0.41255732321802641</v>
      </c>
      <c r="F7" s="23">
        <f>AVERAGE(INDEX(Returns!$B$3:$G$257,0,MATCH($A7,Prices!$B$1:$G$1,0)))*252</f>
        <v>0.38089347820474173</v>
      </c>
      <c r="G7" s="23">
        <f>STDEV(INDEX(Returns!$B$3:$G$257,0,MATCH($A7,Prices!$B$1:$G$1,0)))*SQRT(252)</f>
        <v>0.28040288509980554</v>
      </c>
      <c r="H7" s="24">
        <f>IFERROR((F7-Dashboard!$C$5)/G7,0)</f>
        <v>1.2513903987822594</v>
      </c>
      <c r="I7" s="24">
        <f>SLOPE(INDEX(Returns!$B$3:$G$257,0,MATCH($A7,Prices!$B$1:$G$1,0)),INDEX(Returns!$B$3:$G$257,0,6))</f>
        <v>0.90770635289387969</v>
      </c>
      <c r="J7" s="24">
        <f>CORREL(INDEX(Returns!$B$3:$G$257,0,MATCH($A7,Prices!$B$1:$G$1,0)),INDEX(Returns!$B$3:$G$257,0,6))</f>
        <v>0.60059016153839251</v>
      </c>
      <c r="K7" s="23">
        <f>MIN(INDEX(Drawdown!$B$2:$G$257,0,MATCH($A7,Prices!$B$1:$G$1,0)))</f>
        <v>-0.17084115521430554</v>
      </c>
      <c r="L7" s="22">
        <f>MAX(INDEX(Prices!$B$2:$G$257,0,MATCH($A7,Prices!$B$1:$G$1,0)))</f>
        <v>167.6</v>
      </c>
      <c r="M7" s="22">
        <f>MIN(INDEX(Prices!$B$2:$G$257,0,MATCH($A7,Prices!$B$1:$G$1,0)))</f>
        <v>96.508899999999997</v>
      </c>
      <c r="N7" s="23">
        <f t="shared" si="1"/>
        <v>-0.10680190930787592</v>
      </c>
      <c r="O7" s="25">
        <f t="shared" si="2"/>
        <v>1</v>
      </c>
    </row>
    <row r="8" spans="1:15" x14ac:dyDescent="0.3">
      <c r="A8" s="21" t="s">
        <v>65</v>
      </c>
      <c r="B8" s="21" t="s">
        <v>66</v>
      </c>
      <c r="C8" s="22">
        <f>INDEX(Prices!$B$2:$G$257,1,MATCH($A8,Prices!$B$1:$G$1,0))</f>
        <v>72.768600000000006</v>
      </c>
      <c r="D8" s="22">
        <f>INDEX(Prices!$B$2:$G$257,ROWS(Prices!$B$2:$G$257),MATCH($A8,Prices!$B$1:$G$1,0))</f>
        <v>73.3</v>
      </c>
      <c r="E8" s="23">
        <f t="shared" si="0"/>
        <v>7.3026002973808346E-3</v>
      </c>
      <c r="F8" s="23">
        <f>AVERAGE(INDEX(Returns!$B$3:$G$257,0,MATCH($A8,Prices!$B$1:$G$1,0)))*252</f>
        <v>5.9213272788861022E-2</v>
      </c>
      <c r="G8" s="23">
        <f>STDEV(INDEX(Returns!$B$3:$G$257,0,MATCH($A8,Prices!$B$1:$G$1,0)))*SQRT(252)</f>
        <v>0.32272592570918335</v>
      </c>
      <c r="H8" s="24">
        <f>IFERROR((F8-Dashboard!$C$5)/G8,0)</f>
        <v>9.0520378010119515E-2</v>
      </c>
      <c r="I8" s="24">
        <f>SLOPE(INDEX(Returns!$B$3:$G$257,0,MATCH($A8,Prices!$B$1:$G$1,0)),INDEX(Returns!$B$3:$G$257,0,6))</f>
        <v>1.1323658577233155</v>
      </c>
      <c r="J8" s="24">
        <f>CORREL(INDEX(Returns!$B$3:$G$257,0,MATCH($A8,Prices!$B$1:$G$1,0)),INDEX(Returns!$B$3:$G$257,0,6))</f>
        <v>0.65098087175278252</v>
      </c>
      <c r="K8" s="23">
        <f>MIN(INDEX(Drawdown!$B$2:$G$257,0,MATCH($A8,Prices!$B$1:$G$1,0)))</f>
        <v>-0.2250227536924061</v>
      </c>
      <c r="L8" s="22">
        <f>MAX(INDEX(Prices!$B$2:$G$257,0,MATCH($A8,Prices!$B$1:$G$1,0)))</f>
        <v>88.776799999999994</v>
      </c>
      <c r="M8" s="22">
        <f>MIN(INDEX(Prices!$B$2:$G$257,0,MATCH($A8,Prices!$B$1:$G$1,0)))</f>
        <v>67.400099999999995</v>
      </c>
      <c r="N8" s="23">
        <f t="shared" si="1"/>
        <v>-0.17433383496589194</v>
      </c>
      <c r="O8" s="25">
        <f t="shared" si="2"/>
        <v>2</v>
      </c>
    </row>
    <row r="9" spans="1:15" x14ac:dyDescent="0.3">
      <c r="A9" s="21" t="s">
        <v>67</v>
      </c>
      <c r="B9" s="21" t="s">
        <v>68</v>
      </c>
      <c r="C9" s="22">
        <f>INDEX(Prices!$B$2:$G$257,1,MATCH($A9,Prices!$B$1:$G$1,0))</f>
        <v>436.37759999999997</v>
      </c>
      <c r="D9" s="22">
        <f>INDEX(Prices!$B$2:$G$257,ROWS(Prices!$B$2:$G$257),MATCH($A9,Prices!$B$1:$G$1,0))</f>
        <v>374.6</v>
      </c>
      <c r="E9" s="23">
        <f t="shared" si="0"/>
        <v>-0.14156913645430003</v>
      </c>
      <c r="F9" s="23">
        <f>AVERAGE(INDEX(Returns!$B$3:$G$257,0,MATCH($A9,Prices!$B$1:$G$1,0)))*252</f>
        <v>-0.1299989131033196</v>
      </c>
      <c r="G9" s="23">
        <f>STDEV(INDEX(Returns!$B$3:$G$257,0,MATCH($A9,Prices!$B$1:$G$1,0)))*SQRT(252)</f>
        <v>0.20441900468990182</v>
      </c>
      <c r="H9" s="24">
        <f>IFERROR((F9-Dashboard!$C$5)/G9,0)</f>
        <v>-0.78270077357060652</v>
      </c>
      <c r="I9" s="24">
        <f>SLOPE(INDEX(Returns!$B$3:$G$257,0,MATCH($A9,Prices!$B$1:$G$1,0)),INDEX(Returns!$B$3:$G$257,0,6))</f>
        <v>0.90314268953653287</v>
      </c>
      <c r="J9" s="24">
        <f>CORREL(INDEX(Returns!$B$3:$G$257,0,MATCH($A9,Prices!$B$1:$G$1,0)),INDEX(Returns!$B$3:$G$257,0,6))</f>
        <v>0.81969147420911859</v>
      </c>
      <c r="K9" s="23">
        <f>MIN(INDEX(Drawdown!$B$2:$G$257,0,MATCH($A9,Prices!$B$1:$G$1,0)))</f>
        <v>-0.194486067702203</v>
      </c>
      <c r="L9" s="22">
        <f>MAX(INDEX(Prices!$B$2:$G$257,0,MATCH($A9,Prices!$B$1:$G$1,0)))</f>
        <v>441.79360000000003</v>
      </c>
      <c r="M9" s="22">
        <f>MIN(INDEX(Prices!$B$2:$G$257,0,MATCH($A9,Prices!$B$1:$G$1,0)))</f>
        <v>355.87090000000001</v>
      </c>
      <c r="N9" s="23">
        <f t="shared" si="1"/>
        <v>-0.15209274195008715</v>
      </c>
      <c r="O9" s="25">
        <f t="shared" si="2"/>
        <v>4</v>
      </c>
    </row>
    <row r="10" spans="1:15" x14ac:dyDescent="0.3">
      <c r="A10" s="21" t="s">
        <v>69</v>
      </c>
      <c r="B10" s="21" t="s">
        <v>70</v>
      </c>
      <c r="C10" s="22">
        <f>INDEX(Prices!$B$2:$G$257,1,MATCH($A10,Prices!$B$1:$G$1,0))</f>
        <v>27287.1191</v>
      </c>
      <c r="D10" s="22">
        <f>INDEX(Prices!$B$2:$G$257,ROWS(Prices!$B$2:$G$257),MATCH($A10,Prices!$B$1:$G$1,0))</f>
        <v>24186.830099999999</v>
      </c>
      <c r="E10" s="23">
        <f t="shared" si="0"/>
        <v>-0.11361730744232357</v>
      </c>
      <c r="F10" s="23">
        <f>AVERAGE(INDEX(Returns!$B$3:$G$257,0,MATCH($A10,Prices!$B$1:$G$1,0)))*252</f>
        <v>-0.1020307560116693</v>
      </c>
      <c r="G10" s="23">
        <f>STDEV(INDEX(Returns!$B$3:$G$257,0,MATCH($A10,Prices!$B$1:$G$1,0)))*SQRT(252)</f>
        <v>0.18553050060850693</v>
      </c>
      <c r="H10" s="24">
        <f>IFERROR((F10-Dashboard!$C$5)/G10,0)</f>
        <v>-0.71163908671960674</v>
      </c>
      <c r="I10" s="24">
        <f>SLOPE(INDEX(Returns!$B$3:$G$257,0,MATCH($A10,Prices!$B$1:$G$1,0)),INDEX(Returns!$B$3:$G$257,0,6))</f>
        <v>1</v>
      </c>
      <c r="J10" s="24">
        <f>CORREL(INDEX(Returns!$B$3:$G$257,0,MATCH($A10,Prices!$B$1:$G$1,0)),INDEX(Returns!$B$3:$G$257,0,6))</f>
        <v>0.99999999999999978</v>
      </c>
      <c r="K10" s="23">
        <f>MIN(INDEX(Drawdown!$B$2:$G$257,0,MATCH($A10,Prices!$B$1:$G$1,0)))</f>
        <v>-0.18936689769924864</v>
      </c>
      <c r="L10" s="22">
        <f>MAX(INDEX(Prices!$B$2:$G$257,0,MATCH($A10,Prices!$B$1:$G$1,0)))</f>
        <v>27968.089800000002</v>
      </c>
      <c r="M10" s="22">
        <f>MIN(INDEX(Prices!$B$2:$G$257,0,MATCH($A10,Prices!$B$1:$G$1,0)))</f>
        <v>22671.859400000001</v>
      </c>
      <c r="N10" s="23">
        <f t="shared" si="1"/>
        <v>-0.13519906890459144</v>
      </c>
      <c r="O10" s="25">
        <f t="shared" si="2"/>
        <v>3</v>
      </c>
    </row>
    <row r="11" spans="1:1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9" t="s">
        <v>71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3">
      <c r="A15" s="4" t="s">
        <v>72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3">
      <c r="A16" s="20" t="s">
        <v>73</v>
      </c>
      <c r="B16" s="20" t="s">
        <v>26</v>
      </c>
      <c r="C16" s="20" t="s">
        <v>61</v>
      </c>
      <c r="D16" s="20" t="s">
        <v>63</v>
      </c>
      <c r="E16" s="20" t="s">
        <v>65</v>
      </c>
      <c r="F16" s="20" t="s">
        <v>67</v>
      </c>
      <c r="G16" s="20" t="s">
        <v>69</v>
      </c>
      <c r="H16" s="1"/>
      <c r="I16" s="1"/>
      <c r="J16" s="1"/>
      <c r="K16" s="1"/>
      <c r="L16" s="1"/>
      <c r="M16" s="1"/>
      <c r="N16" s="1"/>
      <c r="O16" s="1"/>
    </row>
    <row r="17" spans="1:15" x14ac:dyDescent="0.3">
      <c r="A17" s="26">
        <f>Prices!A2</f>
        <v>45932</v>
      </c>
      <c r="B17" s="27">
        <f>Prices!B2/Prices!B$2*100</f>
        <v>100</v>
      </c>
      <c r="C17" s="27">
        <f>Prices!C2/Prices!C$2*100</f>
        <v>100</v>
      </c>
      <c r="D17" s="27">
        <f>Prices!D2/Prices!D$2*100</f>
        <v>100</v>
      </c>
      <c r="E17" s="27">
        <f>Prices!E2/Prices!E$2*100</f>
        <v>100</v>
      </c>
      <c r="F17" s="27">
        <f>Prices!F2/Prices!F$2*100</f>
        <v>100</v>
      </c>
      <c r="G17" s="27">
        <f>Prices!G2/Prices!G$2*100</f>
        <v>100</v>
      </c>
      <c r="H17" s="1"/>
      <c r="I17" s="1"/>
      <c r="J17" s="1"/>
      <c r="K17" s="1"/>
      <c r="L17" s="1"/>
      <c r="M17" s="1"/>
      <c r="N17" s="1"/>
      <c r="O17" s="1"/>
    </row>
    <row r="18" spans="1:15" x14ac:dyDescent="0.3">
      <c r="A18" s="26">
        <f>Prices!A3</f>
        <v>45933</v>
      </c>
      <c r="B18" s="27">
        <f>Prices!B3/Prices!B$2*100</f>
        <v>99.556548447313929</v>
      </c>
      <c r="C18" s="27">
        <f>Prices!C3/Prices!C$2*100</f>
        <v>101.09226724871347</v>
      </c>
      <c r="D18" s="27">
        <f>Prices!D3/Prices!D$2*100</f>
        <v>99.187755949347974</v>
      </c>
      <c r="E18" s="27">
        <f>Prices!E3/Prices!E$2*100</f>
        <v>99.597628647521049</v>
      </c>
      <c r="F18" s="27">
        <f>Prices!F3/Prices!F$2*100</f>
        <v>99.778357092573046</v>
      </c>
      <c r="G18" s="27">
        <f>Prices!G3/Prices!G$2*100</f>
        <v>99.464218998479765</v>
      </c>
      <c r="H18" s="1"/>
      <c r="I18" s="1"/>
      <c r="J18" s="1"/>
      <c r="K18" s="1"/>
      <c r="L18" s="1"/>
      <c r="M18" s="1"/>
      <c r="N18" s="1"/>
      <c r="O18" s="1"/>
    </row>
    <row r="19" spans="1:15" x14ac:dyDescent="0.3">
      <c r="A19" s="26">
        <f>Prices!A4</f>
        <v>45936</v>
      </c>
      <c r="B19" s="27">
        <f>Prices!B4/Prices!B$2*100</f>
        <v>100.14782216895873</v>
      </c>
      <c r="C19" s="27">
        <f>Prices!C4/Prices!C$2*100</f>
        <v>98.580003368056381</v>
      </c>
      <c r="D19" s="27">
        <f>Prices!D4/Prices!D$2*100</f>
        <v>100.0903017607428</v>
      </c>
      <c r="E19" s="27">
        <f>Prices!E4/Prices!E$2*100</f>
        <v>100.87194201894772</v>
      </c>
      <c r="F19" s="27">
        <f>Prices!F4/Prices!F$2*100</f>
        <v>99.37943652469788</v>
      </c>
      <c r="G19" s="27">
        <f>Prices!G4/Prices!G$2*100</f>
        <v>98.793021722839185</v>
      </c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26">
        <f>Prices!A5</f>
        <v>45938</v>
      </c>
      <c r="B20" s="27">
        <f>Prices!B5/Prices!B$2*100</f>
        <v>99.778274223656965</v>
      </c>
      <c r="C20" s="27">
        <f>Prices!C5/Prices!C$2*100</f>
        <v>96.996142044497716</v>
      </c>
      <c r="D20" s="27">
        <f>Prices!D5/Prices!D$2*100</f>
        <v>99.819490837721034</v>
      </c>
      <c r="E20" s="27">
        <f>Prices!E5/Prices!E$2*100</f>
        <v>100.13426120606962</v>
      </c>
      <c r="F20" s="27">
        <f>Prices!F5/Prices!F$2*100</f>
        <v>98.625891888126262</v>
      </c>
      <c r="G20" s="27">
        <f>Prices!G5/Prices!G$2*100</f>
        <v>98.322804989699335</v>
      </c>
      <c r="H20" s="1"/>
      <c r="I20" s="1"/>
      <c r="J20" s="1"/>
      <c r="K20" s="1"/>
      <c r="L20" s="1"/>
      <c r="M20" s="1"/>
      <c r="N20" s="1"/>
      <c r="O20" s="1"/>
    </row>
    <row r="21" spans="1:15" x14ac:dyDescent="0.3">
      <c r="A21" s="26">
        <f>Prices!A6</f>
        <v>45939</v>
      </c>
      <c r="B21" s="27">
        <f>Prices!B6/Prices!B$2*100</f>
        <v>99.852192785231367</v>
      </c>
      <c r="C21" s="27">
        <f>Prices!C6/Prices!C$2*100</f>
        <v>94.647742855455704</v>
      </c>
      <c r="D21" s="27">
        <f>Prices!D6/Prices!D$2*100</f>
        <v>93.862877200928509</v>
      </c>
      <c r="E21" s="27">
        <f>Prices!E6/Prices!E$2*100</f>
        <v>99.396442971281573</v>
      </c>
      <c r="F21" s="27">
        <f>Prices!F6/Prices!F$2*100</f>
        <v>101.24112695060425</v>
      </c>
      <c r="G21" s="27">
        <f>Prices!G6/Prices!G$2*100</f>
        <v>98.041092949236997</v>
      </c>
      <c r="H21" s="1"/>
      <c r="I21" s="1"/>
      <c r="J21" s="1"/>
      <c r="K21" s="1"/>
      <c r="L21" s="1"/>
      <c r="M21" s="1"/>
      <c r="N21" s="1"/>
      <c r="O21" s="1"/>
    </row>
    <row r="22" spans="1:15" x14ac:dyDescent="0.3">
      <c r="A22" s="26">
        <f>Prices!A7</f>
        <v>45940</v>
      </c>
      <c r="B22" s="27">
        <f>Prices!B7/Prices!B$2*100</f>
        <v>96.304505592792324</v>
      </c>
      <c r="C22" s="27">
        <f>Prices!C7/Prices!C$2*100</f>
        <v>90.333131395753171</v>
      </c>
      <c r="D22" s="27">
        <f>Prices!D7/Prices!D$2*100</f>
        <v>93.411557115627772</v>
      </c>
      <c r="E22" s="27">
        <f>Prices!E7/Prices!E$2*100</f>
        <v>99.128195402962277</v>
      </c>
      <c r="F22" s="27">
        <f>Prices!F7/Prices!F$2*100</f>
        <v>98.537230141968791</v>
      </c>
      <c r="G22" s="27">
        <f>Prices!G7/Prices!G$2*100</f>
        <v>96.34699875664046</v>
      </c>
      <c r="H22" s="1"/>
      <c r="I22" s="1"/>
      <c r="J22" s="1"/>
      <c r="K22" s="1"/>
      <c r="L22" s="1"/>
      <c r="M22" s="1"/>
      <c r="N22" s="1"/>
      <c r="O22" s="1"/>
    </row>
    <row r="23" spans="1:15" x14ac:dyDescent="0.3">
      <c r="A23" s="26">
        <f>Prices!A8</f>
        <v>45943</v>
      </c>
      <c r="B23" s="27">
        <f>Prices!B8/Prices!B$2*100</f>
        <v>94.456765866283533</v>
      </c>
      <c r="C23" s="27">
        <f>Prices!C8/Prices!C$2*100</f>
        <v>88.803946312306309</v>
      </c>
      <c r="D23" s="27">
        <f>Prices!D8/Prices!D$2*100</f>
        <v>92.599313064975746</v>
      </c>
      <c r="E23" s="27">
        <f>Prices!E8/Prices!E$2*100</f>
        <v>96.244121777799748</v>
      </c>
      <c r="F23" s="27">
        <f>Prices!F8/Prices!F$2*100</f>
        <v>95.921972163557427</v>
      </c>
      <c r="G23" s="27">
        <f>Prices!G8/Prices!G$2*100</f>
        <v>94.878027999665235</v>
      </c>
      <c r="H23" s="1"/>
      <c r="I23" s="1"/>
      <c r="J23" s="1"/>
      <c r="K23" s="1"/>
      <c r="L23" s="1"/>
      <c r="M23" s="1"/>
      <c r="N23" s="1"/>
      <c r="O23" s="1"/>
    </row>
    <row r="24" spans="1:15" x14ac:dyDescent="0.3">
      <c r="A24" s="26">
        <f>Prices!A9</f>
        <v>45944</v>
      </c>
      <c r="B24" s="27">
        <f>Prices!B9/Prices!B$2*100</f>
        <v>91.796011687596817</v>
      </c>
      <c r="C24" s="27">
        <f>Prices!C9/Prices!C$2*100</f>
        <v>84.980874251208888</v>
      </c>
      <c r="D24" s="27">
        <f>Prices!D9/Prices!D$2*100</f>
        <v>91.967483817396072</v>
      </c>
      <c r="E24" s="27">
        <f>Prices!E9/Prices!E$2*100</f>
        <v>94.030941917255504</v>
      </c>
      <c r="F24" s="27">
        <f>Prices!F9/Prices!F$2*100</f>
        <v>93.08509419365248</v>
      </c>
      <c r="G24" s="27">
        <f>Prices!G9/Prices!G$2*100</f>
        <v>93.235747998036189</v>
      </c>
      <c r="H24" s="1"/>
      <c r="I24" s="1"/>
      <c r="J24" s="1"/>
      <c r="K24" s="1"/>
      <c r="L24" s="1"/>
      <c r="M24" s="1"/>
      <c r="N24" s="1"/>
      <c r="O24" s="1"/>
    </row>
    <row r="25" spans="1:15" x14ac:dyDescent="0.3">
      <c r="A25" s="26">
        <f>Prices!A10</f>
        <v>45945</v>
      </c>
      <c r="B25" s="27">
        <f>Prices!B10/Prices!B$2*100</f>
        <v>92.682929747159051</v>
      </c>
      <c r="C25" s="27">
        <f>Prices!C10/Prices!C$2*100</f>
        <v>88.257785349829518</v>
      </c>
      <c r="D25" s="27">
        <f>Prices!D10/Prices!D$2*100</f>
        <v>93.411557115627772</v>
      </c>
      <c r="E25" s="27">
        <f>Prices!E10/Prices!E$2*100</f>
        <v>95.238193396602369</v>
      </c>
      <c r="F25" s="27">
        <f>Prices!F10/Prices!F$2*100</f>
        <v>94.813803458289343</v>
      </c>
      <c r="G25" s="27">
        <f>Prices!G10/Prices!G$2*100</f>
        <v>94.955423857845076</v>
      </c>
      <c r="H25" s="1"/>
      <c r="I25" s="1"/>
      <c r="J25" s="1"/>
      <c r="K25" s="1"/>
      <c r="L25" s="1"/>
      <c r="M25" s="1"/>
      <c r="N25" s="1"/>
      <c r="O25" s="1"/>
    </row>
    <row r="26" spans="1:15" x14ac:dyDescent="0.3">
      <c r="A26" s="26">
        <f>Prices!A11</f>
        <v>45946</v>
      </c>
      <c r="B26" s="27">
        <f>Prices!B11/Prices!B$2*100</f>
        <v>91.648189518638077</v>
      </c>
      <c r="C26" s="27">
        <f>Prices!C11/Prices!C$2*100</f>
        <v>88.039299094342752</v>
      </c>
      <c r="D26" s="27">
        <f>Prices!D11/Prices!D$2*100</f>
        <v>92.870029628790888</v>
      </c>
      <c r="E26" s="27">
        <f>Prices!E11/Prices!E$2*100</f>
        <v>94.701560838053766</v>
      </c>
      <c r="F26" s="27">
        <f>Prices!F11/Prices!F$2*100</f>
        <v>94.060281737651081</v>
      </c>
      <c r="G26" s="27">
        <f>Prices!G11/Prices!G$2*100</f>
        <v>94.874470643549913</v>
      </c>
      <c r="H26" s="1"/>
      <c r="I26" s="1"/>
      <c r="J26" s="1"/>
      <c r="K26" s="1"/>
      <c r="L26" s="1"/>
      <c r="M26" s="1"/>
      <c r="N26" s="1"/>
      <c r="O26" s="1"/>
    </row>
    <row r="27" spans="1:15" x14ac:dyDescent="0.3">
      <c r="A27" s="26">
        <f>Prices!A12</f>
        <v>45947</v>
      </c>
      <c r="B27" s="27">
        <f>Prices!B12/Prices!B$2*100</f>
        <v>89.874353399513609</v>
      </c>
      <c r="C27" s="27">
        <f>Prices!C12/Prices!C$2*100</f>
        <v>84.325470160988729</v>
      </c>
      <c r="D27" s="27">
        <f>Prices!D12/Prices!D$2*100</f>
        <v>91.06503236520787</v>
      </c>
      <c r="E27" s="27">
        <f>Prices!E12/Prices!E$2*100</f>
        <v>92.622504761669163</v>
      </c>
      <c r="F27" s="27">
        <f>Prices!F12/Prices!F$2*100</f>
        <v>91.755305496890784</v>
      </c>
      <c r="G27" s="27">
        <f>Prices!G12/Prices!G$2*100</f>
        <v>92.523873654364635</v>
      </c>
      <c r="H27" s="1"/>
      <c r="I27" s="1"/>
      <c r="J27" s="1"/>
      <c r="K27" s="1"/>
      <c r="L27" s="1"/>
      <c r="M27" s="1"/>
      <c r="N27" s="1"/>
      <c r="O27" s="1"/>
    </row>
    <row r="28" spans="1:15" x14ac:dyDescent="0.3">
      <c r="A28" s="26">
        <f>Prices!A13</f>
        <v>45950</v>
      </c>
      <c r="B28" s="27">
        <f>Prices!B13/Prices!B$2*100</f>
        <v>92.756848308733439</v>
      </c>
      <c r="C28" s="27">
        <f>Prices!C13/Prices!C$2*100</f>
        <v>88.421595365204482</v>
      </c>
      <c r="D28" s="27">
        <f>Prices!D13/Prices!D$2*100</f>
        <v>92.147992979675024</v>
      </c>
      <c r="E28" s="27">
        <f>Prices!E13/Prices!E$2*100</f>
        <v>96.713692444268546</v>
      </c>
      <c r="F28" s="27">
        <f>Prices!F13/Prices!F$2*100</f>
        <v>94.193239982987222</v>
      </c>
      <c r="G28" s="27">
        <f>Prices!G13/Prices!G$2*100</f>
        <v>94.765702473882627</v>
      </c>
      <c r="H28" s="1"/>
      <c r="I28" s="1"/>
      <c r="J28" s="1"/>
      <c r="K28" s="1"/>
      <c r="L28" s="1"/>
      <c r="M28" s="1"/>
      <c r="N28" s="1"/>
      <c r="O28" s="1"/>
    </row>
    <row r="29" spans="1:15" x14ac:dyDescent="0.3">
      <c r="A29" s="26">
        <f>Prices!A14</f>
        <v>45951</v>
      </c>
      <c r="B29" s="27">
        <f>Prices!B14/Prices!B$2*100</f>
        <v>93.200299861419523</v>
      </c>
      <c r="C29" s="27">
        <f>Prices!C14/Prices!C$2*100</f>
        <v>90.16926670413811</v>
      </c>
      <c r="D29" s="27">
        <f>Prices!D14/Prices!D$2*100</f>
        <v>92.418803902696794</v>
      </c>
      <c r="E29" s="27">
        <f>Prices!E14/Prices!E$2*100</f>
        <v>97.786820139455756</v>
      </c>
      <c r="F29" s="27">
        <f>Prices!F14/Prices!F$2*100</f>
        <v>95.124108111873767</v>
      </c>
      <c r="G29" s="27">
        <f>Prices!G14/Prices!G$2*100</f>
        <v>95.384018754841733</v>
      </c>
      <c r="H29" s="1"/>
      <c r="I29" s="1"/>
      <c r="J29" s="1"/>
      <c r="K29" s="1"/>
      <c r="L29" s="1"/>
      <c r="M29" s="1"/>
      <c r="N29" s="1"/>
      <c r="O29" s="1"/>
    </row>
    <row r="30" spans="1:15" x14ac:dyDescent="0.3">
      <c r="A30" s="26">
        <f>Prices!A15</f>
        <v>45952</v>
      </c>
      <c r="B30" s="27">
        <f>Prices!B15/Prices!B$2*100</f>
        <v>92.165559632898564</v>
      </c>
      <c r="C30" s="27">
        <f>Prices!C15/Prices!C$2*100</f>
        <v>88.421595365204482</v>
      </c>
      <c r="D30" s="27">
        <f>Prices!D15/Prices!D$2*100</f>
        <v>92.509011304232956</v>
      </c>
      <c r="E30" s="27">
        <f>Prices!E15/Prices!E$2*100</f>
        <v>94.634498945973931</v>
      </c>
      <c r="F30" s="27">
        <f>Prices!F15/Prices!F$2*100</f>
        <v>93.617018838730502</v>
      </c>
      <c r="G30" s="27">
        <f>Prices!G15/Prices!G$2*100</f>
        <v>94.48329596655735</v>
      </c>
      <c r="H30" s="1"/>
      <c r="I30" s="1"/>
      <c r="J30" s="1"/>
      <c r="K30" s="1"/>
      <c r="L30" s="1"/>
      <c r="M30" s="1"/>
      <c r="N30" s="1"/>
      <c r="O30" s="1"/>
    </row>
    <row r="31" spans="1:15" x14ac:dyDescent="0.3">
      <c r="A31" s="26">
        <f>Prices!A16</f>
        <v>45953</v>
      </c>
      <c r="B31" s="27">
        <f>Prices!B16/Prices!B$2*100</f>
        <v>93.56984780672127</v>
      </c>
      <c r="C31" s="27">
        <f>Prices!C16/Prices!C$2*100</f>
        <v>89.896213561019778</v>
      </c>
      <c r="D31" s="27">
        <f>Prices!D16/Prices!D$2*100</f>
        <v>92.689520466511937</v>
      </c>
      <c r="E31" s="27">
        <f>Prices!E16/Prices!E$2*100</f>
        <v>95.104069612442714</v>
      </c>
      <c r="F31" s="27">
        <f>Prices!F16/Prices!F$2*100</f>
        <v>93.484037677460989</v>
      </c>
      <c r="G31" s="27">
        <f>Prices!G16/Prices!G$2*100</f>
        <v>95.165709523362636</v>
      </c>
      <c r="H31" s="1"/>
      <c r="I31" s="1"/>
      <c r="J31" s="1"/>
      <c r="K31" s="1"/>
      <c r="L31" s="1"/>
      <c r="M31" s="1"/>
      <c r="N31" s="1"/>
      <c r="O31" s="1"/>
    </row>
    <row r="32" spans="1:15" x14ac:dyDescent="0.3">
      <c r="A32" s="26">
        <f>Prices!A17</f>
        <v>45954</v>
      </c>
      <c r="B32" s="27">
        <f>Prices!B17/Prices!B$2*100</f>
        <v>94.235040089940483</v>
      </c>
      <c r="C32" s="27">
        <f>Prices!C17/Prices!C$2*100</f>
        <v>91.916992719311864</v>
      </c>
      <c r="D32" s="27">
        <f>Prices!D17/Prices!D$2*100</f>
        <v>93.050538791069854</v>
      </c>
      <c r="E32" s="27">
        <f>Prices!E17/Prices!E$2*100</f>
        <v>95.305255288682204</v>
      </c>
      <c r="F32" s="27">
        <f>Prices!F17/Prices!F$2*100</f>
        <v>94.193239982987222</v>
      </c>
      <c r="G32" s="27">
        <f>Prices!G17/Prices!G$2*100</f>
        <v>95.869960856366106</v>
      </c>
      <c r="H32" s="1"/>
      <c r="I32" s="1"/>
      <c r="J32" s="1"/>
      <c r="K32" s="1"/>
      <c r="L32" s="1"/>
      <c r="M32" s="1"/>
      <c r="N32" s="1"/>
      <c r="O32" s="1"/>
    </row>
    <row r="33" spans="1:15" x14ac:dyDescent="0.3">
      <c r="A33" s="26">
        <f>Prices!A18</f>
        <v>45957</v>
      </c>
      <c r="B33" s="27">
        <f>Prices!B18/Prices!B$2*100</f>
        <v>96.969697876011523</v>
      </c>
      <c r="C33" s="27">
        <f>Prices!C18/Prices!C$2*100</f>
        <v>94.811552870830653</v>
      </c>
      <c r="D33" s="27">
        <f>Prices!D18/Prices!D$2*100</f>
        <v>92.057785578138876</v>
      </c>
      <c r="E33" s="27">
        <f>Prices!E18/Prices!E$2*100</f>
        <v>96.780754336348366</v>
      </c>
      <c r="F33" s="27">
        <f>Prices!F18/Prices!F$2*100</f>
        <v>96.232276817141866</v>
      </c>
      <c r="G33" s="27">
        <f>Prices!G18/Prices!G$2*100</f>
        <v>96.872444112284455</v>
      </c>
      <c r="H33" s="1"/>
      <c r="I33" s="1"/>
      <c r="J33" s="1"/>
      <c r="K33" s="1"/>
      <c r="L33" s="1"/>
      <c r="M33" s="1"/>
      <c r="N33" s="1"/>
      <c r="O33" s="1"/>
    </row>
    <row r="34" spans="1:15" x14ac:dyDescent="0.3">
      <c r="A34" s="26">
        <f>Prices!A19</f>
        <v>45958</v>
      </c>
      <c r="B34" s="27">
        <f>Prices!B19/Prices!B$2*100</f>
        <v>95.343683925845752</v>
      </c>
      <c r="C34" s="27">
        <f>Prices!C19/Prices!C$2*100</f>
        <v>93.391556238887048</v>
      </c>
      <c r="D34" s="27">
        <f>Prices!D19/Prices!D$2*100</f>
        <v>96.119194549812235</v>
      </c>
      <c r="E34" s="27">
        <f>Prices!E19/Prices!E$2*100</f>
        <v>100.06719931398982</v>
      </c>
      <c r="F34" s="27">
        <f>Prices!F19/Prices!F$2*100</f>
        <v>95.833333333333343</v>
      </c>
      <c r="G34" s="27">
        <f>Prices!G19/Prices!G$2*100</f>
        <v>96.551565240172238</v>
      </c>
      <c r="H34" s="1"/>
      <c r="I34" s="1"/>
      <c r="J34" s="1"/>
      <c r="K34" s="1"/>
      <c r="L34" s="1"/>
      <c r="M34" s="1"/>
      <c r="N34" s="1"/>
      <c r="O34" s="1"/>
    </row>
    <row r="35" spans="1:15" x14ac:dyDescent="0.3">
      <c r="A35" s="26">
        <f>Prices!A20</f>
        <v>45960</v>
      </c>
      <c r="B35" s="27">
        <f>Prices!B20/Prices!B$2*100</f>
        <v>96.230601985408001</v>
      </c>
      <c r="C35" s="27">
        <f>Prices!C20/Prices!C$2*100</f>
        <v>93.992338765235544</v>
      </c>
      <c r="D35" s="27">
        <f>Prices!D20/Prices!D$2*100</f>
        <v>97.472966087301131</v>
      </c>
      <c r="E35" s="27">
        <f>Prices!E20/Prices!E$2*100</f>
        <v>98.189191491934707</v>
      </c>
      <c r="F35" s="27">
        <f>Prices!F20/Prices!F$2*100</f>
        <v>95.833333333333343</v>
      </c>
      <c r="G35" s="27">
        <f>Prices!G20/Prices!G$2*100</f>
        <v>96.319033913697396</v>
      </c>
      <c r="H35" s="1"/>
      <c r="I35" s="1"/>
      <c r="J35" s="1"/>
      <c r="K35" s="1"/>
      <c r="L35" s="1"/>
      <c r="M35" s="1"/>
      <c r="N35" s="1"/>
      <c r="O35" s="1"/>
    </row>
    <row r="36" spans="1:15" x14ac:dyDescent="0.3">
      <c r="A36" s="26">
        <f>Prices!A21</f>
        <v>45961</v>
      </c>
      <c r="B36" s="27">
        <f>Prices!B21/Prices!B$2*100</f>
        <v>92.978574085076488</v>
      </c>
      <c r="C36" s="27">
        <f>Prices!C21/Prices!C$2*100</f>
        <v>90.16926670413811</v>
      </c>
      <c r="D36" s="27">
        <f>Prices!D21/Prices!D$2*100</f>
        <v>97.563173488837307</v>
      </c>
      <c r="E36" s="27">
        <f>Prices!E21/Prices!E$2*100</f>
        <v>101.20725147934684</v>
      </c>
      <c r="F36" s="27">
        <f>Prices!F21/Prices!F$2*100</f>
        <v>93.882981161269512</v>
      </c>
      <c r="G36" s="27">
        <f>Prices!G21/Prices!G$2*100</f>
        <v>94.940951095126778</v>
      </c>
      <c r="H36" s="1"/>
      <c r="I36" s="1"/>
      <c r="J36" s="1"/>
      <c r="K36" s="1"/>
      <c r="L36" s="1"/>
      <c r="M36" s="1"/>
      <c r="N36" s="1"/>
      <c r="O36" s="1"/>
    </row>
    <row r="37" spans="1:15" x14ac:dyDescent="0.3">
      <c r="A37" s="26">
        <f>Prices!A22</f>
        <v>45964</v>
      </c>
      <c r="B37" s="27">
        <f>Prices!B22/Prices!B$2*100</f>
        <v>92.830751916117777</v>
      </c>
      <c r="C37" s="27">
        <f>Prices!C22/Prices!C$2*100</f>
        <v>89.131621019296333</v>
      </c>
      <c r="D37" s="27">
        <f>Prices!D22/Prices!D$2*100</f>
        <v>97.743682651116274</v>
      </c>
      <c r="E37" s="27">
        <f>Prices!E22/Prices!E$2*100</f>
        <v>107.24350887608114</v>
      </c>
      <c r="F37" s="27">
        <f>Prices!F22/Prices!F$2*100</f>
        <v>95.035446365716297</v>
      </c>
      <c r="G37" s="27">
        <f>Prices!G22/Prices!G$2*100</f>
        <v>95.863397319946472</v>
      </c>
      <c r="H37" s="1"/>
      <c r="I37" s="1"/>
      <c r="J37" s="1"/>
      <c r="K37" s="1"/>
      <c r="L37" s="1"/>
      <c r="M37" s="1"/>
      <c r="N37" s="1"/>
      <c r="O37" s="1"/>
    </row>
    <row r="38" spans="1:15" x14ac:dyDescent="0.3">
      <c r="A38" s="26">
        <f>Prices!A23</f>
        <v>45965</v>
      </c>
      <c r="B38" s="27">
        <f>Prices!B23/Prices!B$2*100</f>
        <v>92.978574085076488</v>
      </c>
      <c r="C38" s="27">
        <f>Prices!C23/Prices!C$2*100</f>
        <v>86.837788717885914</v>
      </c>
      <c r="D38" s="27">
        <f>Prices!D23/Prices!D$2*100</f>
        <v>97.472966087301131</v>
      </c>
      <c r="E38" s="27">
        <f>Prices!E23/Prices!E$2*100</f>
        <v>106.8411375236022</v>
      </c>
      <c r="F38" s="27">
        <f>Prices!F23/Prices!F$2*100</f>
        <v>94.326244060190078</v>
      </c>
      <c r="G38" s="27">
        <f>Prices!G23/Prices!G$2*100</f>
        <v>95.108612620084173</v>
      </c>
      <c r="H38" s="1"/>
      <c r="I38" s="1"/>
      <c r="J38" s="1"/>
      <c r="K38" s="1"/>
      <c r="L38" s="1"/>
      <c r="M38" s="1"/>
      <c r="N38" s="1"/>
      <c r="O38" s="1"/>
    </row>
    <row r="39" spans="1:15" x14ac:dyDescent="0.3">
      <c r="A39" s="26">
        <f>Prices!A24</f>
        <v>45966</v>
      </c>
      <c r="B39" s="27">
        <f>Prices!B24/Prices!B$2*100</f>
        <v>92.978574085076488</v>
      </c>
      <c r="C39" s="27">
        <f>Prices!C24/Prices!C$2*100</f>
        <v>86.56468089852747</v>
      </c>
      <c r="D39" s="27">
        <f>Prices!D24/Prices!D$2*100</f>
        <v>97.653475249580111</v>
      </c>
      <c r="E39" s="27">
        <f>Prices!E24/Prices!E$2*100</f>
        <v>106.77407563152236</v>
      </c>
      <c r="F39" s="27">
        <f>Prices!F24/Prices!F$2*100</f>
        <v>93.882981161269512</v>
      </c>
      <c r="G39" s="27">
        <f>Prices!G24/Prices!G$2*100</f>
        <v>95.046348077104255</v>
      </c>
      <c r="H39" s="1"/>
      <c r="I39" s="1"/>
      <c r="J39" s="1"/>
      <c r="K39" s="1"/>
      <c r="L39" s="1"/>
      <c r="M39" s="1"/>
      <c r="N39" s="1"/>
      <c r="O39" s="1"/>
    </row>
    <row r="40" spans="1:15" x14ac:dyDescent="0.3">
      <c r="A40" s="26">
        <f>Prices!A25</f>
        <v>45967</v>
      </c>
      <c r="B40" s="27">
        <f>Prices!B25/Prices!B$2*100</f>
        <v>95.195861756887041</v>
      </c>
      <c r="C40" s="27">
        <f>Prices!C25/Prices!C$2*100</f>
        <v>90.114699816506544</v>
      </c>
      <c r="D40" s="27">
        <f>Prices!D25/Prices!D$2*100</f>
        <v>100.63305591726586</v>
      </c>
      <c r="E40" s="27">
        <f>Prices!E25/Prices!E$2*100</f>
        <v>108.92019359998679</v>
      </c>
      <c r="F40" s="27">
        <f>Prices!F25/Prices!F$2*100</f>
        <v>95.966314494602855</v>
      </c>
      <c r="G40" s="27">
        <f>Prices!G25/Prices!G$2*100</f>
        <v>97.063747561390599</v>
      </c>
      <c r="H40" s="1"/>
      <c r="I40" s="1"/>
      <c r="J40" s="1"/>
      <c r="K40" s="1"/>
      <c r="L40" s="1"/>
      <c r="M40" s="1"/>
      <c r="N40" s="1"/>
      <c r="O40" s="1"/>
    </row>
    <row r="41" spans="1:15" x14ac:dyDescent="0.3">
      <c r="A41" s="26">
        <f>Prices!A26</f>
        <v>45968</v>
      </c>
      <c r="B41" s="27">
        <f>Prices!B26/Prices!B$2*100</f>
        <v>93.71766997568001</v>
      </c>
      <c r="C41" s="27">
        <f>Prices!C26/Prices!C$2*100</f>
        <v>87.438571244234396</v>
      </c>
      <c r="D41" s="27">
        <f>Prices!D26/Prices!D$2*100</f>
        <v>99.996791786974654</v>
      </c>
      <c r="E41" s="27">
        <f>Prices!E26/Prices!E$2*100</f>
        <v>109.32270237437575</v>
      </c>
      <c r="F41" s="27">
        <f>Prices!F26/Prices!F$2*100</f>
        <v>94.991126950604254</v>
      </c>
      <c r="G41" s="27">
        <f>Prices!G26/Prices!G$2*100</f>
        <v>96.169295130902981</v>
      </c>
      <c r="H41" s="1"/>
      <c r="I41" s="1"/>
      <c r="J41" s="1"/>
      <c r="K41" s="1"/>
      <c r="L41" s="1"/>
      <c r="M41" s="1"/>
      <c r="N41" s="1"/>
      <c r="O41" s="1"/>
    </row>
    <row r="42" spans="1:15" x14ac:dyDescent="0.3">
      <c r="A42" s="26">
        <f>Prices!A27</f>
        <v>45971</v>
      </c>
      <c r="B42" s="27">
        <f>Prices!B27/Prices!B$2*100</f>
        <v>96.008876209064965</v>
      </c>
      <c r="C42" s="27">
        <f>Prices!C27/Prices!C$2*100</f>
        <v>89.240809470799604</v>
      </c>
      <c r="D42" s="27">
        <f>Prices!D27/Prices!D$2*100</f>
        <v>100.45132008530074</v>
      </c>
      <c r="E42" s="27">
        <f>Prices!E27/Prices!E$2*100</f>
        <v>109.05445480605644</v>
      </c>
      <c r="F42" s="27">
        <f>Prices!F27/Prices!F$2*100</f>
        <v>96.631197385017018</v>
      </c>
      <c r="G42" s="27">
        <f>Prices!G27/Prices!G$2*100</f>
        <v>97.661685729220125</v>
      </c>
      <c r="H42" s="1"/>
      <c r="I42" s="1"/>
      <c r="J42" s="1"/>
      <c r="K42" s="1"/>
      <c r="L42" s="1"/>
      <c r="M42" s="1"/>
      <c r="N42" s="1"/>
      <c r="O42" s="1"/>
    </row>
    <row r="43" spans="1:15" x14ac:dyDescent="0.3">
      <c r="A43" s="26">
        <f>Prices!A28</f>
        <v>45972</v>
      </c>
      <c r="B43" s="27">
        <f>Prices!B28/Prices!B$2*100</f>
        <v>96.082779816449289</v>
      </c>
      <c r="C43" s="27">
        <f>Prices!C28/Prices!C$2*100</f>
        <v>87.602381259609359</v>
      </c>
      <c r="D43" s="27">
        <f>Prices!D28/Prices!D$2*100</f>
        <v>102.17847100341582</v>
      </c>
      <c r="E43" s="27">
        <f>Prices!E28/Prices!E$2*100</f>
        <v>110.46289196164278</v>
      </c>
      <c r="F43" s="27">
        <f>Prices!F28/Prices!F$2*100</f>
        <v>96.498216223747519</v>
      </c>
      <c r="G43" s="27">
        <f>Prices!G28/Prices!G$2*100</f>
        <v>97.835209727215215</v>
      </c>
      <c r="H43" s="1"/>
      <c r="I43" s="1"/>
      <c r="J43" s="1"/>
      <c r="K43" s="1"/>
      <c r="L43" s="1"/>
      <c r="M43" s="1"/>
      <c r="N43" s="1"/>
      <c r="O43" s="1"/>
    </row>
    <row r="44" spans="1:15" x14ac:dyDescent="0.3">
      <c r="A44" s="26">
        <f>Prices!A29</f>
        <v>45973</v>
      </c>
      <c r="B44" s="27">
        <f>Prices!B29/Prices!B$2*100</f>
        <v>97.117520044970234</v>
      </c>
      <c r="C44" s="27">
        <f>Prices!C29/Prices!C$2*100</f>
        <v>85.636278341429062</v>
      </c>
      <c r="D44" s="27">
        <f>Prices!D29/Prices!D$2*100</f>
        <v>103.17848987525713</v>
      </c>
      <c r="E44" s="27">
        <f>Prices!E29/Prices!E$2*100</f>
        <v>112.81019560634668</v>
      </c>
      <c r="F44" s="27">
        <f>Prices!F29/Prices!F$2*100</f>
        <v>96.941479122668071</v>
      </c>
      <c r="G44" s="27">
        <f>Prices!G29/Prices!G$2*100</f>
        <v>98.664613150752146</v>
      </c>
      <c r="H44" s="1"/>
      <c r="I44" s="1"/>
      <c r="J44" s="1"/>
      <c r="K44" s="1"/>
      <c r="L44" s="1"/>
      <c r="M44" s="1"/>
      <c r="N44" s="1"/>
      <c r="O44" s="1"/>
    </row>
    <row r="45" spans="1:15" x14ac:dyDescent="0.3">
      <c r="A45" s="26">
        <f>Prices!A30</f>
        <v>45974</v>
      </c>
      <c r="B45" s="27">
        <f>Prices!B30/Prices!B$2*100</f>
        <v>96.969697876011523</v>
      </c>
      <c r="C45" s="27">
        <f>Prices!C30/Prices!C$2*100</f>
        <v>88.476216929076173</v>
      </c>
      <c r="D45" s="27">
        <f>Prices!D30/Prices!D$2*100</f>
        <v>103.90571628073751</v>
      </c>
      <c r="E45" s="27">
        <f>Prices!E30/Prices!E$2*100</f>
        <v>112.87739492033653</v>
      </c>
      <c r="F45" s="27">
        <f>Prices!F30/Prices!F$2*100</f>
        <v>96.76417854628653</v>
      </c>
      <c r="G45" s="27">
        <f>Prices!G30/Prices!G$2*100</f>
        <v>99.215418090801677</v>
      </c>
      <c r="H45" s="1"/>
      <c r="I45" s="1"/>
      <c r="J45" s="1"/>
      <c r="K45" s="1"/>
      <c r="L45" s="1"/>
      <c r="M45" s="1"/>
      <c r="N45" s="1"/>
      <c r="O45" s="1"/>
    </row>
    <row r="46" spans="1:15" x14ac:dyDescent="0.3">
      <c r="A46" s="26">
        <f>Prices!A31</f>
        <v>45975</v>
      </c>
      <c r="B46" s="27">
        <f>Prices!B31/Prices!B$2*100</f>
        <v>94.752395250010892</v>
      </c>
      <c r="C46" s="27">
        <f>Prices!C31/Prices!C$2*100</f>
        <v>84.598577980347173</v>
      </c>
      <c r="D46" s="27">
        <f>Prices!D31/Prices!D$2*100</f>
        <v>102.63299930174188</v>
      </c>
      <c r="E46" s="27">
        <f>Prices!E31/Prices!E$2*100</f>
        <v>110.46289196164278</v>
      </c>
      <c r="F46" s="27">
        <f>Prices!F31/Prices!F$2*100</f>
        <v>94.237582314032622</v>
      </c>
      <c r="G46" s="27">
        <f>Prices!G31/Prices!G$2*100</f>
        <v>97.380968663709169</v>
      </c>
      <c r="H46" s="1"/>
      <c r="I46" s="1"/>
      <c r="J46" s="1"/>
      <c r="K46" s="1"/>
      <c r="L46" s="1"/>
      <c r="M46" s="1"/>
      <c r="N46" s="1"/>
      <c r="O46" s="1"/>
    </row>
    <row r="47" spans="1:15" x14ac:dyDescent="0.3">
      <c r="A47" s="26">
        <f>Prices!A32</f>
        <v>45978</v>
      </c>
      <c r="B47" s="27">
        <f>Prices!B32/Prices!B$2*100</f>
        <v>94.087217920981757</v>
      </c>
      <c r="C47" s="27">
        <f>Prices!C32/Prices!C$2*100</f>
        <v>84.598577980347173</v>
      </c>
      <c r="D47" s="27">
        <f>Prices!D32/Prices!D$2*100</f>
        <v>101.90577289626148</v>
      </c>
      <c r="E47" s="27">
        <f>Prices!E32/Prices!E$2*100</f>
        <v>109.05445480605644</v>
      </c>
      <c r="F47" s="27">
        <f>Prices!F32/Prices!F$2*100</f>
        <v>93.572699423618459</v>
      </c>
      <c r="G47" s="27">
        <f>Prices!G32/Prices!G$2*100</f>
        <v>96.691333384475897</v>
      </c>
      <c r="H47" s="1"/>
      <c r="I47" s="1"/>
      <c r="J47" s="1"/>
      <c r="K47" s="1"/>
      <c r="L47" s="1"/>
      <c r="M47" s="1"/>
      <c r="N47" s="1"/>
      <c r="O47" s="1"/>
    </row>
    <row r="48" spans="1:15" x14ac:dyDescent="0.3">
      <c r="A48" s="26">
        <f>Prices!A33</f>
        <v>45979</v>
      </c>
      <c r="B48" s="27">
        <f>Prices!B33/Prices!B$2*100</f>
        <v>92.165559632898564</v>
      </c>
      <c r="C48" s="27">
        <f>Prices!C33/Prices!C$2*100</f>
        <v>84.434713288732112</v>
      </c>
      <c r="D48" s="27">
        <f>Prices!D33/Prices!D$2*100</f>
        <v>99.633131404631158</v>
      </c>
      <c r="E48" s="27">
        <f>Prices!E33/Prices!E$2*100</f>
        <v>105.36563847593605</v>
      </c>
      <c r="F48" s="27">
        <f>Prices!F33/Prices!F$2*100</f>
        <v>92.375868972192904</v>
      </c>
      <c r="G48" s="27">
        <f>Prices!G33/Prices!G$2*100</f>
        <v>95.026628516456313</v>
      </c>
      <c r="H48" s="1"/>
      <c r="I48" s="1"/>
      <c r="J48" s="1"/>
      <c r="K48" s="1"/>
      <c r="L48" s="1"/>
      <c r="M48" s="1"/>
      <c r="N48" s="1"/>
      <c r="O48" s="1"/>
    </row>
    <row r="49" spans="1:15" x14ac:dyDescent="0.3">
      <c r="A49" s="26">
        <f>Prices!A34</f>
        <v>45980</v>
      </c>
      <c r="B49" s="27">
        <f>Prices!B34/Prices!B$2*100</f>
        <v>92.017737463939838</v>
      </c>
      <c r="C49" s="27">
        <f>Prices!C34/Prices!C$2*100</f>
        <v>85.417792085942295</v>
      </c>
      <c r="D49" s="27">
        <f>Prices!D34/Prices!D$2*100</f>
        <v>97.996848402498628</v>
      </c>
      <c r="E49" s="27">
        <f>Prices!E34/Prices!E$2*100</f>
        <v>104.56075834906812</v>
      </c>
      <c r="F49" s="27">
        <f>Prices!F34/Prices!F$2*100</f>
        <v>92.287230141968791</v>
      </c>
      <c r="G49" s="27">
        <f>Prices!G34/Prices!G$2*100</f>
        <v>94.66243140339428</v>
      </c>
      <c r="H49" s="1"/>
      <c r="I49" s="1"/>
      <c r="J49" s="1"/>
      <c r="K49" s="1"/>
      <c r="L49" s="1"/>
      <c r="M49" s="1"/>
      <c r="N49" s="1"/>
      <c r="O49" s="1"/>
    </row>
    <row r="50" spans="1:15" x14ac:dyDescent="0.3">
      <c r="A50" s="26">
        <f>Prices!A35</f>
        <v>45981</v>
      </c>
      <c r="B50" s="27">
        <f>Prices!B35/Prices!B$2*100</f>
        <v>91.796011687596817</v>
      </c>
      <c r="C50" s="27">
        <f>Prices!C35/Prices!C$2*100</f>
        <v>84.543956416475481</v>
      </c>
      <c r="D50" s="27">
        <f>Prices!D35/Prices!D$2*100</f>
        <v>97.815018211326887</v>
      </c>
      <c r="E50" s="27">
        <f>Prices!E35/Prices!E$2*100</f>
        <v>105.90213361257466</v>
      </c>
      <c r="F50" s="27">
        <f>Prices!F35/Prices!F$2*100</f>
        <v>92.553192464507802</v>
      </c>
      <c r="G50" s="27">
        <f>Prices!G35/Prices!G$2*100</f>
        <v>94.680461522227901</v>
      </c>
      <c r="H50" s="1"/>
      <c r="I50" s="1"/>
      <c r="J50" s="1"/>
      <c r="K50" s="1"/>
      <c r="L50" s="1"/>
      <c r="M50" s="1"/>
      <c r="N50" s="1"/>
      <c r="O50" s="1"/>
    </row>
    <row r="51" spans="1:15" x14ac:dyDescent="0.3">
      <c r="A51" s="26">
        <f>Prices!A36</f>
        <v>45982</v>
      </c>
      <c r="B51" s="27">
        <f>Prices!B36/Prices!B$2*100</f>
        <v>90.169997737431046</v>
      </c>
      <c r="C51" s="27">
        <f>Prices!C36/Prices!C$2*100</f>
        <v>80.611695903874789</v>
      </c>
      <c r="D51" s="27">
        <f>Prices!D36/Prices!D$2*100</f>
        <v>95.542376719696549</v>
      </c>
      <c r="E51" s="27">
        <f>Prices!E36/Prices!E$2*100</f>
        <v>103.01819740932214</v>
      </c>
      <c r="F51" s="27">
        <f>Prices!F36/Prices!F$2*100</f>
        <v>90.691479122668071</v>
      </c>
      <c r="G51" s="27">
        <f>Prices!G36/Prices!G$2*100</f>
        <v>92.424632324047721</v>
      </c>
      <c r="H51" s="1"/>
      <c r="I51" s="1"/>
      <c r="J51" s="1"/>
      <c r="K51" s="1"/>
      <c r="L51" s="1"/>
      <c r="M51" s="1"/>
      <c r="N51" s="1"/>
      <c r="O51" s="1"/>
    </row>
    <row r="52" spans="1:15" x14ac:dyDescent="0.3">
      <c r="A52" s="26">
        <f>Prices!A37</f>
        <v>45985</v>
      </c>
      <c r="B52" s="27">
        <f>Prices!B37/Prices!B$2*100</f>
        <v>92.31338180185729</v>
      </c>
      <c r="C52" s="27">
        <f>Prices!C37/Prices!C$2*100</f>
        <v>84.380091724860407</v>
      </c>
      <c r="D52" s="27">
        <f>Prices!D37/Prices!D$2*100</f>
        <v>97.542320104172575</v>
      </c>
      <c r="E52" s="27">
        <f>Prices!E37/Prices!E$2*100</f>
        <v>105.96919550465446</v>
      </c>
      <c r="F52" s="27">
        <f>Prices!F37/Prices!F$2*100</f>
        <v>92.021267819429781</v>
      </c>
      <c r="G52" s="27">
        <f>Prices!G37/Prices!G$2*100</f>
        <v>94.244100689984535</v>
      </c>
      <c r="H52" s="1"/>
      <c r="I52" s="1"/>
      <c r="J52" s="1"/>
      <c r="K52" s="1"/>
      <c r="L52" s="1"/>
      <c r="M52" s="1"/>
      <c r="N52" s="1"/>
      <c r="O52" s="1"/>
    </row>
    <row r="53" spans="1:15" x14ac:dyDescent="0.3">
      <c r="A53" s="26">
        <f>Prices!A38</f>
        <v>45986</v>
      </c>
      <c r="B53" s="27">
        <f>Prices!B38/Prices!B$2*100</f>
        <v>92.387285409241599</v>
      </c>
      <c r="C53" s="27">
        <f>Prices!C38/Prices!C$2*100</f>
        <v>86.182384627665726</v>
      </c>
      <c r="D53" s="27">
        <f>Prices!D38/Prices!D$2*100</f>
        <v>97.087791805846507</v>
      </c>
      <c r="E53" s="27">
        <f>Prices!E38/Prices!E$2*100</f>
        <v>106.30450496505361</v>
      </c>
      <c r="F53" s="27">
        <f>Prices!F38/Prices!F$2*100</f>
        <v>92.065587234541837</v>
      </c>
      <c r="G53" s="27">
        <f>Prices!G38/Prices!G$2*100</f>
        <v>94.896609294309869</v>
      </c>
      <c r="H53" s="1"/>
      <c r="I53" s="1"/>
      <c r="J53" s="1"/>
      <c r="K53" s="1"/>
      <c r="L53" s="1"/>
      <c r="M53" s="1"/>
      <c r="N53" s="1"/>
      <c r="O53" s="1"/>
    </row>
    <row r="54" spans="1:15" x14ac:dyDescent="0.3">
      <c r="A54" s="26">
        <f>Prices!A39</f>
        <v>45987</v>
      </c>
      <c r="B54" s="27">
        <f>Prices!B39/Prices!B$2*100</f>
        <v>91.574285911253767</v>
      </c>
      <c r="C54" s="27">
        <f>Prices!C39/Prices!C$2*100</f>
        <v>84.543956416475481</v>
      </c>
      <c r="D54" s="27">
        <f>Prices!D39/Prices!D$2*100</f>
        <v>97.815018211326887</v>
      </c>
      <c r="E54" s="27">
        <f>Prices!E39/Prices!E$2*100</f>
        <v>108.24957467918854</v>
      </c>
      <c r="F54" s="27">
        <f>Prices!F39/Prices!F$2*100</f>
        <v>91.578004920509215</v>
      </c>
      <c r="G54" s="27">
        <f>Prices!G39/Prices!G$2*100</f>
        <v>95.019485219309942</v>
      </c>
      <c r="H54" s="1"/>
      <c r="I54" s="1"/>
      <c r="J54" s="1"/>
      <c r="K54" s="1"/>
      <c r="L54" s="1"/>
      <c r="M54" s="1"/>
      <c r="N54" s="1"/>
      <c r="O54" s="1"/>
    </row>
    <row r="55" spans="1:15" x14ac:dyDescent="0.3">
      <c r="A55" s="26">
        <f>Prices!A40</f>
        <v>45988</v>
      </c>
      <c r="B55" s="27">
        <f>Prices!B40/Prices!B$2*100</f>
        <v>90.391723513774082</v>
      </c>
      <c r="C55" s="27">
        <f>Prices!C40/Prices!C$2*100</f>
        <v>82.250124115065049</v>
      </c>
      <c r="D55" s="27">
        <f>Prices!D40/Prices!D$2*100</f>
        <v>99.087735190322519</v>
      </c>
      <c r="E55" s="27">
        <f>Prices!E40/Prices!E$2*100</f>
        <v>110.06038318725385</v>
      </c>
      <c r="F55" s="27">
        <f>Prices!F40/Prices!F$2*100</f>
        <v>91.267723182858163</v>
      </c>
      <c r="G55" s="27">
        <f>Prices!G40/Prices!G$2*100</f>
        <v>95.084899233646098</v>
      </c>
      <c r="H55" s="1"/>
      <c r="I55" s="1"/>
      <c r="J55" s="1"/>
      <c r="K55" s="1"/>
      <c r="L55" s="1"/>
      <c r="M55" s="1"/>
      <c r="N55" s="1"/>
      <c r="O55" s="1"/>
    </row>
    <row r="56" spans="1:15" x14ac:dyDescent="0.3">
      <c r="A56" s="26">
        <f>Prices!A41</f>
        <v>45989</v>
      </c>
      <c r="B56" s="27">
        <f>Prices!B41/Prices!B$2*100</f>
        <v>90.391723513774082</v>
      </c>
      <c r="C56" s="27">
        <f>Prices!C41/Prices!C$2*100</f>
        <v>82.741663513670147</v>
      </c>
      <c r="D56" s="27">
        <f>Prices!D41/Prices!D$2*100</f>
        <v>99.360433297476845</v>
      </c>
      <c r="E56" s="27">
        <f>Prices!E41/Prices!E$2*100</f>
        <v>108.11545089502887</v>
      </c>
      <c r="F56" s="27">
        <f>Prices!F41/Prices!F$2*100</f>
        <v>91.090422606476594</v>
      </c>
      <c r="G56" s="27">
        <f>Prices!G41/Prices!G$2*100</f>
        <v>94.765924190216182</v>
      </c>
      <c r="H56" s="1"/>
      <c r="I56" s="1"/>
      <c r="J56" s="1"/>
      <c r="K56" s="1"/>
      <c r="L56" s="1"/>
      <c r="M56" s="1"/>
      <c r="N56" s="1"/>
      <c r="O56" s="1"/>
    </row>
    <row r="57" spans="1:15" x14ac:dyDescent="0.3">
      <c r="A57" s="26">
        <f>Prices!A42</f>
        <v>45992</v>
      </c>
      <c r="B57" s="27">
        <f>Prices!B42/Prices!B$2*100</f>
        <v>91.574285911253767</v>
      </c>
      <c r="C57" s="27">
        <f>Prices!C42/Prices!C$2*100</f>
        <v>84.598577980347173</v>
      </c>
      <c r="D57" s="27">
        <f>Prices!D42/Prices!D$2*100</f>
        <v>100.45132008530074</v>
      </c>
      <c r="E57" s="27">
        <f>Prices!E42/Prices!E$2*100</f>
        <v>107.98132711086923</v>
      </c>
      <c r="F57" s="27">
        <f>Prices!F42/Prices!F$2*100</f>
        <v>91.445023759239703</v>
      </c>
      <c r="G57" s="27">
        <f>Prices!G42/Prices!G$2*100</f>
        <v>95.404940714316737</v>
      </c>
      <c r="H57" s="1"/>
      <c r="I57" s="1"/>
      <c r="J57" s="1"/>
      <c r="K57" s="1"/>
      <c r="L57" s="1"/>
      <c r="M57" s="1"/>
      <c r="N57" s="1"/>
      <c r="O57" s="1"/>
    </row>
    <row r="58" spans="1:15" x14ac:dyDescent="0.3">
      <c r="A58" s="26">
        <f>Prices!A43</f>
        <v>45993</v>
      </c>
      <c r="B58" s="27">
        <f>Prices!B43/Prices!B$2*100</f>
        <v>91.204737965951992</v>
      </c>
      <c r="C58" s="27">
        <f>Prices!C43/Prices!C$2*100</f>
        <v>85.745466792932334</v>
      </c>
      <c r="D58" s="27">
        <f>Prices!D43/Prices!D$2*100</f>
        <v>100.90584838362679</v>
      </c>
      <c r="E58" s="27">
        <f>Prices!E43/Prices!E$2*100</f>
        <v>108.38369846334818</v>
      </c>
      <c r="F58" s="27">
        <f>Prices!F43/Prices!F$2*100</f>
        <v>90.913122030095039</v>
      </c>
      <c r="G58" s="27">
        <f>Prices!G43/Prices!G$2*100</f>
        <v>95.631388217893615</v>
      </c>
      <c r="H58" s="1"/>
      <c r="I58" s="1"/>
      <c r="J58" s="1"/>
      <c r="K58" s="1"/>
      <c r="L58" s="1"/>
      <c r="M58" s="1"/>
      <c r="N58" s="1"/>
      <c r="O58" s="1"/>
    </row>
    <row r="59" spans="1:15" x14ac:dyDescent="0.3">
      <c r="A59" s="26">
        <f>Prices!A44</f>
        <v>45994</v>
      </c>
      <c r="B59" s="27">
        <f>Prices!B44/Prices!B$2*100</f>
        <v>90.317819906389758</v>
      </c>
      <c r="C59" s="27">
        <f>Prices!C44/Prices!C$2*100</f>
        <v>83.888552326255308</v>
      </c>
      <c r="D59" s="27">
        <f>Prices!D44/Prices!D$2*100</f>
        <v>101.08758421559192</v>
      </c>
      <c r="E59" s="27">
        <f>Prices!E44/Prices!E$2*100</f>
        <v>106.70701373944253</v>
      </c>
      <c r="F59" s="27">
        <f>Prices!F44/Prices!F$2*100</f>
        <v>89.583333333333343</v>
      </c>
      <c r="G59" s="27">
        <f>Prices!G44/Prices!G$2*100</f>
        <v>94.406193653473665</v>
      </c>
      <c r="H59" s="1"/>
      <c r="I59" s="1"/>
      <c r="J59" s="1"/>
      <c r="K59" s="1"/>
      <c r="L59" s="1"/>
      <c r="M59" s="1"/>
      <c r="N59" s="1"/>
      <c r="O59" s="1"/>
    </row>
    <row r="60" spans="1:15" x14ac:dyDescent="0.3">
      <c r="A60" s="26">
        <f>Prices!A45</f>
        <v>45995</v>
      </c>
      <c r="B60" s="27">
        <f>Prices!B45/Prices!B$2*100</f>
        <v>90.465627121158406</v>
      </c>
      <c r="C60" s="27">
        <f>Prices!C45/Prices!C$2*100</f>
        <v>84.325470160988729</v>
      </c>
      <c r="D60" s="27">
        <f>Prices!D45/Prices!D$2*100</f>
        <v>101.36037668195289</v>
      </c>
      <c r="E60" s="27">
        <f>Prices!E45/Prices!E$2*100</f>
        <v>105.96919550465446</v>
      </c>
      <c r="F60" s="27">
        <f>Prices!F45/Prices!F$2*100</f>
        <v>90.07091564736595</v>
      </c>
      <c r="G60" s="27">
        <f>Prices!G45/Prices!G$2*100</f>
        <v>95.04814452911593</v>
      </c>
      <c r="H60" s="1"/>
      <c r="I60" s="1"/>
      <c r="J60" s="1"/>
      <c r="K60" s="1"/>
      <c r="L60" s="1"/>
      <c r="M60" s="1"/>
      <c r="N60" s="1"/>
      <c r="O60" s="1"/>
    </row>
    <row r="61" spans="1:15" x14ac:dyDescent="0.3">
      <c r="A61" s="26">
        <f>Prices!A46</f>
        <v>45996</v>
      </c>
      <c r="B61" s="27">
        <f>Prices!B46/Prices!B$2*100</f>
        <v>90.169997737431046</v>
      </c>
      <c r="C61" s="27">
        <f>Prices!C46/Prices!C$2*100</f>
        <v>84.653199544218865</v>
      </c>
      <c r="D61" s="27">
        <f>Prices!D46/Prices!D$2*100</f>
        <v>100.90584838362679</v>
      </c>
      <c r="E61" s="27">
        <f>Prices!E46/Prices!E$2*100</f>
        <v>105.03019159362692</v>
      </c>
      <c r="F61" s="27">
        <f>Prices!F46/Prices!F$2*100</f>
        <v>90.292535638859562</v>
      </c>
      <c r="G61" s="27">
        <f>Prices!G46/Prices!G$2*100</f>
        <v>95.594848266704716</v>
      </c>
      <c r="H61" s="1"/>
      <c r="I61" s="1"/>
      <c r="J61" s="1"/>
      <c r="K61" s="1"/>
      <c r="L61" s="1"/>
      <c r="M61" s="1"/>
      <c r="N61" s="1"/>
      <c r="O61" s="1"/>
    </row>
    <row r="62" spans="1:15" x14ac:dyDescent="0.3">
      <c r="A62" s="26">
        <f>Prices!A47</f>
        <v>45999</v>
      </c>
      <c r="B62" s="27">
        <f>Prices!B47/Prices!B$2*100</f>
        <v>89.430886892637446</v>
      </c>
      <c r="C62" s="27">
        <f>Prices!C47/Prices!C$2*100</f>
        <v>83.77936387475205</v>
      </c>
      <c r="D62" s="27">
        <f>Prices!D47/Prices!D$2*100</f>
        <v>99.17860310630509</v>
      </c>
      <c r="E62" s="27">
        <f>Prices!E47/Prices!E$2*100</f>
        <v>104.49369645698832</v>
      </c>
      <c r="F62" s="27">
        <f>Prices!F47/Prices!F$2*100</f>
        <v>89.671972163557442</v>
      </c>
      <c r="G62" s="27">
        <f>Prices!G47/Prices!G$2*100</f>
        <v>94.423157335066577</v>
      </c>
      <c r="H62" s="1"/>
      <c r="I62" s="1"/>
      <c r="J62" s="1"/>
      <c r="K62" s="1"/>
      <c r="L62" s="1"/>
      <c r="M62" s="1"/>
      <c r="N62" s="1"/>
      <c r="O62" s="1"/>
    </row>
    <row r="63" spans="1:15" x14ac:dyDescent="0.3">
      <c r="A63" s="26">
        <f>Prices!A48</f>
        <v>46000</v>
      </c>
      <c r="B63" s="27">
        <f>Prices!B48/Prices!B$2*100</f>
        <v>89.061353901525763</v>
      </c>
      <c r="C63" s="27">
        <f>Prices!C48/Prices!C$2*100</f>
        <v>82.413988806680123</v>
      </c>
      <c r="D63" s="27">
        <f>Prices!D48/Prices!D$2*100</f>
        <v>99.542263488648601</v>
      </c>
      <c r="E63" s="27">
        <f>Prices!E48/Prices!E$2*100</f>
        <v>103.62175443804058</v>
      </c>
      <c r="F63" s="27">
        <f>Prices!F48/Prices!F$2*100</f>
        <v>88.918427526985809</v>
      </c>
      <c r="G63" s="27">
        <f>Prices!G48/Prices!G$2*100</f>
        <v>93.209658398859702</v>
      </c>
      <c r="H63" s="1"/>
      <c r="I63" s="1"/>
      <c r="J63" s="1"/>
      <c r="K63" s="1"/>
      <c r="L63" s="1"/>
      <c r="M63" s="1"/>
      <c r="N63" s="1"/>
      <c r="O63" s="1"/>
    </row>
    <row r="64" spans="1:15" x14ac:dyDescent="0.3">
      <c r="A64" s="26">
        <f>Prices!A49</f>
        <v>46001</v>
      </c>
      <c r="B64" s="27">
        <f>Prices!B49/Prices!B$2*100</f>
        <v>89.135257508910087</v>
      </c>
      <c r="C64" s="27">
        <f>Prices!C49/Prices!C$2*100</f>
        <v>83.670120747008653</v>
      </c>
      <c r="D64" s="27">
        <f>Prices!D49/Prices!D$2*100</f>
        <v>101.542112513918</v>
      </c>
      <c r="E64" s="27">
        <f>Prices!E49/Prices!E$2*100</f>
        <v>103.9570638984397</v>
      </c>
      <c r="F64" s="27">
        <f>Prices!F49/Prices!F$2*100</f>
        <v>89.273028679748919</v>
      </c>
      <c r="G64" s="27">
        <f>Prices!G49/Prices!G$2*100</f>
        <v>93.600131279523751</v>
      </c>
      <c r="H64" s="1"/>
      <c r="I64" s="1"/>
      <c r="J64" s="1"/>
      <c r="K64" s="1"/>
      <c r="L64" s="1"/>
      <c r="M64" s="1"/>
      <c r="N64" s="1"/>
      <c r="O64" s="1"/>
    </row>
    <row r="65" spans="1:15" x14ac:dyDescent="0.3">
      <c r="A65" s="26">
        <f>Prices!A50</f>
        <v>46002</v>
      </c>
      <c r="B65" s="27">
        <f>Prices!B50/Prices!B$2*100</f>
        <v>88.913531732567051</v>
      </c>
      <c r="C65" s="27">
        <f>Prices!C50/Prices!C$2*100</f>
        <v>82.250124115065049</v>
      </c>
      <c r="D65" s="27">
        <f>Prices!D50/Prices!D$2*100</f>
        <v>103.6330181735832</v>
      </c>
      <c r="E65" s="27">
        <f>Prices!E50/Prices!E$2*100</f>
        <v>103.68881633012039</v>
      </c>
      <c r="F65" s="27">
        <f>Prices!F50/Prices!F$2*100</f>
        <v>88.829765780828353</v>
      </c>
      <c r="G65" s="27">
        <f>Prices!G50/Prices!G$2*100</f>
        <v>93.562496306178403</v>
      </c>
      <c r="H65" s="1"/>
      <c r="I65" s="1"/>
      <c r="J65" s="1"/>
      <c r="K65" s="1"/>
      <c r="L65" s="1"/>
      <c r="M65" s="1"/>
      <c r="N65" s="1"/>
      <c r="O65" s="1"/>
    </row>
    <row r="66" spans="1:15" x14ac:dyDescent="0.3">
      <c r="A66" s="26">
        <f>Prices!A51</f>
        <v>46003</v>
      </c>
      <c r="B66" s="27">
        <f>Prices!B51/Prices!B$2*100</f>
        <v>91.05691579699328</v>
      </c>
      <c r="C66" s="27">
        <f>Prices!C51/Prices!C$2*100</f>
        <v>84.161660145613766</v>
      </c>
      <c r="D66" s="27">
        <f>Prices!D51/Prices!D$2*100</f>
        <v>106.63288607069393</v>
      </c>
      <c r="E66" s="27">
        <f>Prices!E51/Prices!E$2*100</f>
        <v>105.96919550465446</v>
      </c>
      <c r="F66" s="27">
        <f>Prices!F51/Prices!F$2*100</f>
        <v>89.051408688255307</v>
      </c>
      <c r="G66" s="27">
        <f>Prices!G51/Prices!G$2*100</f>
        <v>95.197990688580987</v>
      </c>
      <c r="H66" s="1"/>
      <c r="I66" s="1"/>
      <c r="J66" s="1"/>
      <c r="K66" s="1"/>
      <c r="L66" s="1"/>
      <c r="M66" s="1"/>
      <c r="N66" s="1"/>
      <c r="O66" s="1"/>
    </row>
    <row r="67" spans="1:15" x14ac:dyDescent="0.3">
      <c r="A67" s="26">
        <f>Prices!A52</f>
        <v>46006</v>
      </c>
      <c r="B67" s="27">
        <f>Prices!B52/Prices!B$2*100</f>
        <v>89.135257508910087</v>
      </c>
      <c r="C67" s="27">
        <f>Prices!C52/Prices!C$2*100</f>
        <v>81.157802190111468</v>
      </c>
      <c r="D67" s="27">
        <f>Prices!D52/Prices!D$2*100</f>
        <v>105.63296155805921</v>
      </c>
      <c r="E67" s="27">
        <f>Prices!E52/Prices!E$2*100</f>
        <v>108.18251278710871</v>
      </c>
      <c r="F67" s="27">
        <f>Prices!F52/Prices!F$2*100</f>
        <v>89.494671587175873</v>
      </c>
      <c r="G67" s="27">
        <f>Prices!G52/Prices!G$2*100</f>
        <v>93.923000101538761</v>
      </c>
      <c r="H67" s="1"/>
      <c r="I67" s="1"/>
      <c r="J67" s="1"/>
      <c r="K67" s="1"/>
      <c r="L67" s="1"/>
      <c r="M67" s="1"/>
      <c r="N67" s="1"/>
      <c r="O67" s="1"/>
    </row>
    <row r="68" spans="1:15" x14ac:dyDescent="0.3">
      <c r="A68" s="26">
        <f>Prices!A53</f>
        <v>46007</v>
      </c>
      <c r="B68" s="27">
        <f>Prices!B53/Prices!B$2*100</f>
        <v>88.174420887773437</v>
      </c>
      <c r="C68" s="27">
        <f>Prices!C53/Prices!C$2*100</f>
        <v>78.754781437197778</v>
      </c>
      <c r="D68" s="27">
        <f>Prices!D53/Prices!D$2*100</f>
        <v>105.63296155805921</v>
      </c>
      <c r="E68" s="27">
        <f>Prices!E53/Prices!E$2*100</f>
        <v>107.04232319984166</v>
      </c>
      <c r="F68" s="27">
        <f>Prices!F53/Prices!F$2*100</f>
        <v>87.765962322539011</v>
      </c>
      <c r="G68" s="27">
        <f>Prices!G53/Prices!G$2*100</f>
        <v>92.48103512693649</v>
      </c>
      <c r="H68" s="1"/>
      <c r="I68" s="1"/>
      <c r="J68" s="1"/>
      <c r="K68" s="1"/>
      <c r="L68" s="1"/>
      <c r="M68" s="1"/>
      <c r="N68" s="1"/>
      <c r="O68" s="1"/>
    </row>
    <row r="69" spans="1:15" x14ac:dyDescent="0.3">
      <c r="A69" s="26">
        <f>Prices!A54</f>
        <v>46008</v>
      </c>
      <c r="B69" s="27">
        <f>Prices!B54/Prices!B$2*100</f>
        <v>89.430886892637446</v>
      </c>
      <c r="C69" s="27">
        <f>Prices!C54/Prices!C$2*100</f>
        <v>79.737805558167864</v>
      </c>
      <c r="D69" s="27">
        <f>Prices!D54/Prices!D$2*100</f>
        <v>106.81471626186567</v>
      </c>
      <c r="E69" s="27">
        <f>Prices!E54/Prices!E$2*100</f>
        <v>108.58488413958767</v>
      </c>
      <c r="F69" s="27">
        <f>Prices!F54/Prices!F$2*100</f>
        <v>88.297864051683689</v>
      </c>
      <c r="G69" s="27">
        <f>Prices!G54/Prices!G$2*100</f>
        <v>93.336270518935066</v>
      </c>
      <c r="H69" s="1"/>
      <c r="I69" s="1"/>
      <c r="J69" s="1"/>
      <c r="K69" s="1"/>
      <c r="L69" s="1"/>
      <c r="M69" s="1"/>
      <c r="N69" s="1"/>
      <c r="O69" s="1"/>
    </row>
    <row r="70" spans="1:15" x14ac:dyDescent="0.3">
      <c r="A70" s="26">
        <f>Prices!A55</f>
        <v>46009</v>
      </c>
      <c r="B70" s="27">
        <f>Prices!B55/Prices!B$2*100</f>
        <v>89.430886892637446</v>
      </c>
      <c r="C70" s="27">
        <f>Prices!C55/Prices!C$2*100</f>
        <v>78.700159873326086</v>
      </c>
      <c r="D70" s="27">
        <f>Prices!D55/Prices!D$2*100</f>
        <v>107.90560304968957</v>
      </c>
      <c r="E70" s="27">
        <f>Prices!E55/Prices!E$2*100</f>
        <v>109.12151669813628</v>
      </c>
      <c r="F70" s="27">
        <f>Prices!F55/Prices!F$2*100</f>
        <v>89.051408688255307</v>
      </c>
      <c r="G70" s="27">
        <f>Prices!G55/Prices!G$2*100</f>
        <v>93.443836289775277</v>
      </c>
      <c r="H70" s="1"/>
      <c r="I70" s="1"/>
      <c r="J70" s="1"/>
      <c r="K70" s="1"/>
      <c r="L70" s="1"/>
      <c r="M70" s="1"/>
      <c r="N70" s="1"/>
      <c r="O70" s="1"/>
    </row>
    <row r="71" spans="1:15" x14ac:dyDescent="0.3">
      <c r="A71" s="26">
        <f>Prices!A56</f>
        <v>46010</v>
      </c>
      <c r="B71" s="27">
        <f>Prices!B56/Prices!B$2*100</f>
        <v>90.761271459075857</v>
      </c>
      <c r="C71" s="27">
        <f>Prices!C56/Prices!C$2*100</f>
        <v>79.355509287306148</v>
      </c>
      <c r="D71" s="27">
        <f>Prices!D56/Prices!D$2*100</f>
        <v>108.4509992639982</v>
      </c>
      <c r="E71" s="27">
        <f>Prices!E56/Prices!E$2*100</f>
        <v>110.66407763788226</v>
      </c>
      <c r="F71" s="27">
        <f>Prices!F56/Prices!F$2*100</f>
        <v>90.203896808635449</v>
      </c>
      <c r="G71" s="27">
        <f>Prices!G56/Prices!G$2*100</f>
        <v>94.148925014220353</v>
      </c>
      <c r="H71" s="1"/>
      <c r="I71" s="1"/>
      <c r="J71" s="1"/>
      <c r="K71" s="1"/>
      <c r="L71" s="1"/>
      <c r="M71" s="1"/>
      <c r="N71" s="1"/>
      <c r="O71" s="1"/>
    </row>
    <row r="72" spans="1:15" x14ac:dyDescent="0.3">
      <c r="A72" s="26">
        <f>Prices!A57</f>
        <v>46013</v>
      </c>
      <c r="B72" s="27">
        <f>Prices!B57/Prices!B$2*100</f>
        <v>90.835190020650245</v>
      </c>
      <c r="C72" s="27">
        <f>Prices!C57/Prices!C$2*100</f>
        <v>79.956291813654616</v>
      </c>
      <c r="D72" s="27">
        <f>Prices!D57/Prices!D$2*100</f>
        <v>110.26911245730247</v>
      </c>
      <c r="E72" s="27">
        <f>Prices!E57/Prices!E$2*100</f>
        <v>110.86526331412175</v>
      </c>
      <c r="F72" s="27">
        <f>Prices!F57/Prices!F$2*100</f>
        <v>90.203896808635449</v>
      </c>
      <c r="G72" s="27">
        <f>Prices!G57/Prices!G$2*100</f>
        <v>94.556590622276431</v>
      </c>
      <c r="H72" s="1"/>
      <c r="I72" s="1"/>
      <c r="J72" s="1"/>
      <c r="K72" s="1"/>
      <c r="L72" s="1"/>
      <c r="M72" s="1"/>
      <c r="N72" s="1"/>
      <c r="O72" s="1"/>
    </row>
    <row r="73" spans="1:15" x14ac:dyDescent="0.3">
      <c r="A73" s="26">
        <f>Prices!A58</f>
        <v>46014</v>
      </c>
      <c r="B73" s="27">
        <f>Prices!B58/Prices!B$2*100</f>
        <v>88.987435339951375</v>
      </c>
      <c r="C73" s="27">
        <f>Prices!C58/Prices!C$2*100</f>
        <v>80.393209648388037</v>
      </c>
      <c r="D73" s="27">
        <f>Prices!D58/Prices!D$2*100</f>
        <v>111.17816905395459</v>
      </c>
      <c r="E73" s="27">
        <f>Prices!E58/Prices!E$2*100</f>
        <v>110.86526331412175</v>
      </c>
      <c r="F73" s="27">
        <f>Prices!F58/Prices!F$2*100</f>
        <v>90.336877969904975</v>
      </c>
      <c r="G73" s="27">
        <f>Prices!G58/Prices!G$2*100</f>
        <v>94.455338086606574</v>
      </c>
      <c r="H73" s="1"/>
      <c r="I73" s="1"/>
      <c r="J73" s="1"/>
      <c r="K73" s="1"/>
      <c r="L73" s="1"/>
      <c r="M73" s="1"/>
      <c r="N73" s="1"/>
      <c r="O73" s="1"/>
    </row>
    <row r="74" spans="1:15" x14ac:dyDescent="0.3">
      <c r="A74" s="26">
        <f>Prices!A59</f>
        <v>46015</v>
      </c>
      <c r="B74" s="27">
        <f>Prices!B59/Prices!B$2*100</f>
        <v>89.061353901525763</v>
      </c>
      <c r="C74" s="27">
        <f>Prices!C59/Prices!C$2*100</f>
        <v>79.792427122039555</v>
      </c>
      <c r="D74" s="27">
        <f>Prices!D59/Prices!D$2*100</f>
        <v>112.63271622412199</v>
      </c>
      <c r="E74" s="27">
        <f>Prices!E59/Prices!E$2*100</f>
        <v>111.80426722514932</v>
      </c>
      <c r="F74" s="27">
        <f>Prices!F59/Prices!F$2*100</f>
        <v>91.046080275431194</v>
      </c>
      <c r="G74" s="27">
        <f>Prices!G59/Prices!G$2*100</f>
        <v>94.619478169829961</v>
      </c>
      <c r="H74" s="1"/>
      <c r="I74" s="1"/>
      <c r="J74" s="1"/>
      <c r="K74" s="1"/>
      <c r="L74" s="1"/>
      <c r="M74" s="1"/>
      <c r="N74" s="1"/>
      <c r="O74" s="1"/>
    </row>
    <row r="75" spans="1:15" x14ac:dyDescent="0.3">
      <c r="A75" s="26">
        <f>Prices!A60</f>
        <v>46020</v>
      </c>
      <c r="B75" s="27">
        <f>Prices!B60/Prices!B$2*100</f>
        <v>88.174420887773437</v>
      </c>
      <c r="C75" s="27">
        <f>Prices!C60/Prices!C$2*100</f>
        <v>78.263242038592679</v>
      </c>
      <c r="D75" s="27">
        <f>Prices!D60/Prices!D$2*100</f>
        <v>110.81460303081772</v>
      </c>
      <c r="E75" s="27">
        <f>Prices!E60/Prices!E$2*100</f>
        <v>110.2615688634933</v>
      </c>
      <c r="F75" s="27">
        <f>Prices!F60/Prices!F$2*100</f>
        <v>90.469859131174474</v>
      </c>
      <c r="G75" s="27">
        <f>Prices!G60/Prices!G$2*100</f>
        <v>93.946269688836452</v>
      </c>
      <c r="H75" s="1"/>
      <c r="I75" s="1"/>
      <c r="J75" s="1"/>
      <c r="K75" s="1"/>
      <c r="L75" s="1"/>
      <c r="M75" s="1"/>
      <c r="N75" s="1"/>
      <c r="O75" s="1"/>
    </row>
    <row r="76" spans="1:15" x14ac:dyDescent="0.3">
      <c r="A76" s="26">
        <f>Prices!A61</f>
        <v>46021</v>
      </c>
      <c r="B76" s="27">
        <f>Prices!B61/Prices!B$2*100</f>
        <v>88.691805956224016</v>
      </c>
      <c r="C76" s="27">
        <f>Prices!C61/Prices!C$2*100</f>
        <v>78.918591452572727</v>
      </c>
      <c r="D76" s="27">
        <f>Prices!D61/Prices!D$2*100</f>
        <v>111.81452754345243</v>
      </c>
      <c r="E76" s="27">
        <f>Prices!E61/Prices!E$2*100</f>
        <v>109.52388805061521</v>
      </c>
      <c r="F76" s="27">
        <f>Prices!F61/Prices!F$2*100</f>
        <v>90.558497961398572</v>
      </c>
      <c r="G76" s="27">
        <f>Prices!G61/Prices!G$2*100</f>
        <v>94.75019882183166</v>
      </c>
      <c r="H76" s="1"/>
      <c r="I76" s="1"/>
      <c r="J76" s="1"/>
      <c r="K76" s="1"/>
      <c r="L76" s="1"/>
      <c r="M76" s="1"/>
      <c r="N76" s="1"/>
      <c r="O76" s="1"/>
    </row>
    <row r="77" spans="1:15" x14ac:dyDescent="0.3">
      <c r="A77" s="26">
        <f>Prices!A62</f>
        <v>46022</v>
      </c>
      <c r="B77" s="27">
        <f>Prices!B62/Prices!B$2*100</f>
        <v>88.543968833075198</v>
      </c>
      <c r="C77" s="27">
        <f>Prices!C62/Prices!C$2*100</f>
        <v>77.990134219234236</v>
      </c>
      <c r="D77" s="27">
        <f>Prices!D62/Prices!D$2*100</f>
        <v>111.08730113797203</v>
      </c>
      <c r="E77" s="27">
        <f>Prices!E62/Prices!E$2*100</f>
        <v>107.44469455232064</v>
      </c>
      <c r="F77" s="27">
        <f>Prices!F62/Prices!F$2*100</f>
        <v>90.381197385017018</v>
      </c>
      <c r="G77" s="27">
        <f>Prices!G62/Prices!G$2*100</f>
        <v>93.929076961444423</v>
      </c>
      <c r="H77" s="1"/>
      <c r="I77" s="1"/>
      <c r="J77" s="1"/>
      <c r="K77" s="1"/>
      <c r="L77" s="1"/>
      <c r="M77" s="1"/>
      <c r="N77" s="1"/>
      <c r="O77" s="1"/>
    </row>
    <row r="78" spans="1:15" x14ac:dyDescent="0.3">
      <c r="A78" s="26">
        <f>Prices!A63</f>
        <v>46024</v>
      </c>
      <c r="B78" s="27">
        <f>Prices!B63/Prices!B$2*100</f>
        <v>92.09165602551424</v>
      </c>
      <c r="C78" s="27">
        <f>Prices!C63/Prices!C$2*100</f>
        <v>81.376288445598234</v>
      </c>
      <c r="D78" s="27">
        <f>Prices!D63/Prices!D$2*100</f>
        <v>112.9963766064655</v>
      </c>
      <c r="E78" s="27">
        <f>Prices!E63/Prices!E$2*100</f>
        <v>111.73720533306948</v>
      </c>
      <c r="F78" s="27">
        <f>Prices!F63/Prices!F$2*100</f>
        <v>92.154248980699279</v>
      </c>
      <c r="G78" s="27">
        <f>Prices!G63/Prices!G$2*100</f>
        <v>96.523457106177261</v>
      </c>
      <c r="H78" s="1"/>
      <c r="I78" s="1"/>
      <c r="J78" s="1"/>
      <c r="K78" s="1"/>
      <c r="L78" s="1"/>
      <c r="M78" s="1"/>
      <c r="N78" s="1"/>
      <c r="O78" s="1"/>
    </row>
    <row r="79" spans="1:15" x14ac:dyDescent="0.3">
      <c r="A79" s="26">
        <f>Prices!A64</f>
        <v>46027</v>
      </c>
      <c r="B79" s="27">
        <f>Prices!B64/Prices!B$2*100</f>
        <v>92.31338180185729</v>
      </c>
      <c r="C79" s="27">
        <f>Prices!C64/Prices!C$2*100</f>
        <v>83.451634491521915</v>
      </c>
      <c r="D79" s="27">
        <f>Prices!D64/Prices!D$2*100</f>
        <v>113.54177282077413</v>
      </c>
      <c r="E79" s="27">
        <f>Prices!E64/Prices!E$2*100</f>
        <v>112.5419480380274</v>
      </c>
      <c r="F79" s="27">
        <f>Prices!F64/Prices!F$2*100</f>
        <v>93.12943652469788</v>
      </c>
      <c r="G79" s="27">
        <f>Prices!G64/Prices!G$2*100</f>
        <v>96.55559498034367</v>
      </c>
      <c r="H79" s="1"/>
      <c r="I79" s="1"/>
      <c r="J79" s="1"/>
      <c r="K79" s="1"/>
      <c r="L79" s="1"/>
      <c r="M79" s="1"/>
      <c r="N79" s="1"/>
      <c r="O79" s="1"/>
    </row>
    <row r="80" spans="1:15" x14ac:dyDescent="0.3">
      <c r="A80" s="26">
        <f>Prices!A65</f>
        <v>46028</v>
      </c>
      <c r="B80" s="27">
        <f>Prices!B65/Prices!B$2*100</f>
        <v>93.495929245146883</v>
      </c>
      <c r="C80" s="27">
        <f>Prices!C65/Prices!C$2*100</f>
        <v>82.359367242808432</v>
      </c>
      <c r="D80" s="27">
        <f>Prices!D65/Prices!D$2*100</f>
        <v>117.08713129140011</v>
      </c>
      <c r="E80" s="27">
        <f>Prices!E65/Prices!E$2*100</f>
        <v>115.42602166318987</v>
      </c>
      <c r="F80" s="27">
        <f>Prices!F65/Prices!F$2*100</f>
        <v>95.833333333333343</v>
      </c>
      <c r="G80" s="27">
        <f>Prices!G65/Prices!G$2*100</f>
        <v>97.886658910797223</v>
      </c>
      <c r="H80" s="1"/>
      <c r="I80" s="1"/>
      <c r="J80" s="1"/>
      <c r="K80" s="1"/>
      <c r="L80" s="1"/>
      <c r="M80" s="1"/>
      <c r="N80" s="1"/>
      <c r="O80" s="1"/>
    </row>
    <row r="81" spans="1:15" x14ac:dyDescent="0.3">
      <c r="A81" s="26">
        <f>Prices!A66</f>
        <v>46029</v>
      </c>
      <c r="B81" s="27">
        <f>Prices!B66/Prices!B$2*100</f>
        <v>92.31338180185729</v>
      </c>
      <c r="C81" s="27">
        <f>Prices!C66/Prices!C$2*100</f>
        <v>79.683238670536298</v>
      </c>
      <c r="D81" s="27">
        <f>Prices!D66/Prices!D$2*100</f>
        <v>115.63258412123272</v>
      </c>
      <c r="E81" s="27">
        <f>Prices!E66/Prices!E$2*100</f>
        <v>115.29176045712022</v>
      </c>
      <c r="F81" s="27">
        <f>Prices!F66/Prices!F$2*100</f>
        <v>95.345728103367364</v>
      </c>
      <c r="G81" s="27">
        <f>Prices!G66/Prices!G$2*100</f>
        <v>96.964978615129809</v>
      </c>
      <c r="H81" s="1"/>
      <c r="I81" s="1"/>
      <c r="J81" s="1"/>
      <c r="K81" s="1"/>
      <c r="L81" s="1"/>
      <c r="M81" s="1"/>
      <c r="N81" s="1"/>
      <c r="O81" s="1"/>
    </row>
    <row r="82" spans="1:15" x14ac:dyDescent="0.3">
      <c r="A82" s="26">
        <f>Prices!A67</f>
        <v>46030</v>
      </c>
      <c r="B82" s="27">
        <f>Prices!B67/Prices!B$2*100</f>
        <v>91.05691579699328</v>
      </c>
      <c r="C82" s="27">
        <f>Prices!C67/Prices!C$2*100</f>
        <v>77.880945767730964</v>
      </c>
      <c r="D82" s="27">
        <f>Prices!D67/Prices!D$2*100</f>
        <v>112.9963766064655</v>
      </c>
      <c r="E82" s="27">
        <f>Prices!E67/Prices!E$2*100</f>
        <v>112.47488614594756</v>
      </c>
      <c r="F82" s="27">
        <f>Prices!F67/Prices!F$2*100</f>
        <v>94.237582314032622</v>
      </c>
      <c r="G82" s="27">
        <f>Prices!G67/Prices!G$2*100</f>
        <v>95.83023551943964</v>
      </c>
      <c r="H82" s="1"/>
      <c r="I82" s="1"/>
      <c r="J82" s="1"/>
      <c r="K82" s="1"/>
      <c r="L82" s="1"/>
      <c r="M82" s="1"/>
      <c r="N82" s="1"/>
      <c r="O82" s="1"/>
    </row>
    <row r="83" spans="1:15" x14ac:dyDescent="0.3">
      <c r="A83" s="26">
        <f>Prices!A68</f>
        <v>46031</v>
      </c>
      <c r="B83" s="27">
        <f>Prices!B68/Prices!B$2*100</f>
        <v>90.317819906389758</v>
      </c>
      <c r="C83" s="27">
        <f>Prices!C68/Prices!C$2*100</f>
        <v>80.010913377526322</v>
      </c>
      <c r="D83" s="27">
        <f>Prices!D68/Prices!D$2*100</f>
        <v>113.45090490479157</v>
      </c>
      <c r="E83" s="27">
        <f>Prices!E68/Prices!E$2*100</f>
        <v>113.07858059657599</v>
      </c>
      <c r="F83" s="27">
        <f>Prices!F68/Prices!F$2*100</f>
        <v>94.592183466795746</v>
      </c>
      <c r="G83" s="27">
        <f>Prices!G68/Prices!G$2*100</f>
        <v>96.132497548999226</v>
      </c>
      <c r="H83" s="1"/>
      <c r="I83" s="1"/>
      <c r="J83" s="1"/>
      <c r="K83" s="1"/>
      <c r="L83" s="1"/>
      <c r="M83" s="1"/>
      <c r="N83" s="1"/>
      <c r="O83" s="1"/>
    </row>
    <row r="84" spans="1:15" x14ac:dyDescent="0.3">
      <c r="A84" s="26">
        <f>Prices!A69</f>
        <v>46034</v>
      </c>
      <c r="B84" s="27">
        <f>Prices!B69/Prices!B$2*100</f>
        <v>92.09165602551424</v>
      </c>
      <c r="C84" s="27">
        <f>Prices!C69/Prices!C$2*100</f>
        <v>84.270903273357149</v>
      </c>
      <c r="D84" s="27">
        <f>Prices!D69/Prices!D$2*100</f>
        <v>112.81454641529373</v>
      </c>
      <c r="E84" s="27">
        <f>Prices!E69/Prices!E$2*100</f>
        <v>112.27370046970807</v>
      </c>
      <c r="F84" s="27">
        <f>Prices!F69/Prices!F$2*100</f>
        <v>94.45922522145959</v>
      </c>
      <c r="G84" s="27">
        <f>Prices!G69/Prices!G$2*100</f>
        <v>97.512970872766118</v>
      </c>
      <c r="H84" s="1"/>
      <c r="I84" s="1"/>
      <c r="J84" s="1"/>
      <c r="K84" s="1"/>
      <c r="L84" s="1"/>
      <c r="M84" s="1"/>
      <c r="N84" s="1"/>
      <c r="O84" s="1"/>
    </row>
    <row r="85" spans="1:15" x14ac:dyDescent="0.3">
      <c r="A85" s="26">
        <f>Prices!A70</f>
        <v>46035</v>
      </c>
      <c r="B85" s="27">
        <f>Prices!B70/Prices!B$2*100</f>
        <v>92.756848308733439</v>
      </c>
      <c r="C85" s="27">
        <f>Prices!C70/Prices!C$2*100</f>
        <v>87.329328116491013</v>
      </c>
      <c r="D85" s="27">
        <f>Prices!D70/Prices!D$2*100</f>
        <v>114.90535771575232</v>
      </c>
      <c r="E85" s="27">
        <f>Prices!E70/Prices!E$2*100</f>
        <v>113.21270438073566</v>
      </c>
      <c r="F85" s="27">
        <f>Prices!F70/Prices!F$2*100</f>
        <v>95.70035217206383</v>
      </c>
      <c r="G85" s="27">
        <f>Prices!G70/Prices!G$2*100</f>
        <v>98.392470827013767</v>
      </c>
      <c r="H85" s="1"/>
      <c r="I85" s="1"/>
      <c r="J85" s="1"/>
      <c r="K85" s="1"/>
      <c r="L85" s="1"/>
      <c r="M85" s="1"/>
      <c r="N85" s="1"/>
      <c r="O85" s="1"/>
    </row>
    <row r="86" spans="1:15" x14ac:dyDescent="0.3">
      <c r="A86" s="26">
        <f>Prices!A71</f>
        <v>46036</v>
      </c>
      <c r="B86" s="27">
        <f>Prices!B71/Prices!B$2*100</f>
        <v>93.56984780672127</v>
      </c>
      <c r="C86" s="27">
        <f>Prices!C71/Prices!C$2*100</f>
        <v>92.299288990173579</v>
      </c>
      <c r="D86" s="27">
        <f>Prices!D71/Prices!D$2*100</f>
        <v>115.45075393006097</v>
      </c>
      <c r="E86" s="27">
        <f>Prices!E71/Prices!E$2*100</f>
        <v>113.61507573321458</v>
      </c>
      <c r="F86" s="27">
        <f>Prices!F71/Prices!F$2*100</f>
        <v>96.365235062478007</v>
      </c>
      <c r="G86" s="27">
        <f>Prices!G71/Prices!G$2*100</f>
        <v>98.947090753893477</v>
      </c>
      <c r="H86" s="1"/>
      <c r="I86" s="1"/>
      <c r="J86" s="1"/>
      <c r="K86" s="1"/>
      <c r="L86" s="1"/>
      <c r="M86" s="1"/>
      <c r="N86" s="1"/>
      <c r="O86" s="1"/>
    </row>
    <row r="87" spans="1:15" x14ac:dyDescent="0.3">
      <c r="A87" s="26">
        <f>Prices!A72</f>
        <v>46037</v>
      </c>
      <c r="B87" s="27">
        <f>Prices!B72/Prices!B$2*100</f>
        <v>91.943833856555528</v>
      </c>
      <c r="C87" s="27">
        <f>Prices!C72/Prices!C$2*100</f>
        <v>89.896213561019778</v>
      </c>
      <c r="D87" s="27">
        <f>Prices!D72/Prices!D$2*100</f>
        <v>116.54164071788485</v>
      </c>
      <c r="E87" s="27">
        <f>Prices!E72/Prices!E$2*100</f>
        <v>113.81626140945407</v>
      </c>
      <c r="F87" s="27">
        <f>Prices!F72/Prices!F$2*100</f>
        <v>97.207441445207095</v>
      </c>
      <c r="G87" s="27">
        <f>Prices!G72/Prices!G$2*100</f>
        <v>98.667869632305738</v>
      </c>
      <c r="H87" s="1"/>
      <c r="I87" s="1"/>
      <c r="J87" s="1"/>
      <c r="K87" s="1"/>
      <c r="L87" s="1"/>
      <c r="M87" s="1"/>
      <c r="N87" s="1"/>
      <c r="O87" s="1"/>
    </row>
    <row r="88" spans="1:15" x14ac:dyDescent="0.3">
      <c r="A88" s="26">
        <f>Prices!A73</f>
        <v>46038</v>
      </c>
      <c r="B88" s="27">
        <f>Prices!B73/Prices!B$2*100</f>
        <v>91.27864157333633</v>
      </c>
      <c r="C88" s="27">
        <f>Prices!C73/Prices!C$2*100</f>
        <v>90.770049230486592</v>
      </c>
      <c r="D88" s="27">
        <f>Prices!D73/Prices!D$2*100</f>
        <v>116.81433882503916</v>
      </c>
      <c r="E88" s="27">
        <f>Prices!E73/Prices!E$2*100</f>
        <v>112.0725147934686</v>
      </c>
      <c r="F88" s="27">
        <f>Prices!F73/Prices!F$2*100</f>
        <v>97.163099114161682</v>
      </c>
      <c r="G88" s="27">
        <f>Prices!G73/Prices!G$2*100</f>
        <v>98.379608347881614</v>
      </c>
      <c r="H88" s="1"/>
      <c r="I88" s="1"/>
      <c r="J88" s="1"/>
      <c r="K88" s="1"/>
      <c r="L88" s="1"/>
      <c r="M88" s="1"/>
      <c r="N88" s="1"/>
      <c r="O88" s="1"/>
    </row>
    <row r="89" spans="1:15" x14ac:dyDescent="0.3">
      <c r="A89" s="26">
        <f>Prices!A74</f>
        <v>46041</v>
      </c>
      <c r="B89" s="27">
        <f>Prices!B74/Prices!B$2*100</f>
        <v>90.169997737431046</v>
      </c>
      <c r="C89" s="27">
        <f>Prices!C74/Prices!C$2*100</f>
        <v>87.602381259609359</v>
      </c>
      <c r="D89" s="27">
        <f>Prices!D74/Prices!D$2*100</f>
        <v>115.45075393006097</v>
      </c>
      <c r="E89" s="27">
        <f>Prices!E74/Prices!E$2*100</f>
        <v>111.2676346666007</v>
      </c>
      <c r="F89" s="27">
        <f>Prices!F74/Prices!F$2*100</f>
        <v>95.70035217206383</v>
      </c>
      <c r="G89" s="27">
        <f>Prices!G74/Prices!G$2*100</f>
        <v>97.349596718695011</v>
      </c>
      <c r="H89" s="1"/>
      <c r="I89" s="1"/>
      <c r="J89" s="1"/>
      <c r="K89" s="1"/>
      <c r="L89" s="1"/>
      <c r="M89" s="1"/>
      <c r="N89" s="1"/>
      <c r="O89" s="1"/>
    </row>
    <row r="90" spans="1:15" x14ac:dyDescent="0.3">
      <c r="A90" s="26">
        <f>Prices!A75</f>
        <v>46042</v>
      </c>
      <c r="B90" s="27">
        <f>Prices!B75/Prices!B$2*100</f>
        <v>88.839613170992635</v>
      </c>
      <c r="C90" s="27">
        <f>Prices!C75/Prices!C$2*100</f>
        <v>87.220084988747629</v>
      </c>
      <c r="D90" s="27">
        <f>Prices!D75/Prices!D$2*100</f>
        <v>116.72347090905659</v>
      </c>
      <c r="E90" s="27">
        <f>Prices!E75/Prices!E$2*100</f>
        <v>111.13351088244103</v>
      </c>
      <c r="F90" s="27">
        <f>Prices!F75/Prices!F$2*100</f>
        <v>94.636525797841145</v>
      </c>
      <c r="G90" s="27">
        <f>Prices!G75/Prices!G$2*100</f>
        <v>97.069645582336321</v>
      </c>
      <c r="H90" s="1"/>
      <c r="I90" s="1"/>
      <c r="J90" s="1"/>
      <c r="K90" s="1"/>
      <c r="L90" s="1"/>
      <c r="M90" s="1"/>
      <c r="N90" s="1"/>
      <c r="O90" s="1"/>
    </row>
    <row r="91" spans="1:15" x14ac:dyDescent="0.3">
      <c r="A91" s="26">
        <f>Prices!A76</f>
        <v>46043</v>
      </c>
      <c r="B91" s="27">
        <f>Prices!B76/Prices!B$2*100</f>
        <v>89.061353901525763</v>
      </c>
      <c r="C91" s="27">
        <f>Prices!C76/Prices!C$2*100</f>
        <v>89.131621019296333</v>
      </c>
      <c r="D91" s="27">
        <f>Prices!D76/Prices!D$2*100</f>
        <v>116.54164071788485</v>
      </c>
      <c r="E91" s="27">
        <f>Prices!E76/Prices!E$2*100</f>
        <v>111.13351088244103</v>
      </c>
      <c r="F91" s="27">
        <f>Prices!F76/Prices!F$2*100</f>
        <v>94.725164628065244</v>
      </c>
      <c r="G91" s="27">
        <f>Prices!G76/Prices!G$2*100</f>
        <v>97.427142830919081</v>
      </c>
      <c r="H91" s="1"/>
      <c r="I91" s="1"/>
      <c r="J91" s="1"/>
      <c r="K91" s="1"/>
      <c r="L91" s="1"/>
      <c r="M91" s="1"/>
      <c r="N91" s="1"/>
      <c r="O91" s="1"/>
    </row>
    <row r="92" spans="1:15" x14ac:dyDescent="0.3">
      <c r="A92" s="26">
        <f>Prices!A77</f>
        <v>46044</v>
      </c>
      <c r="B92" s="27">
        <f>Prices!B77/Prices!B$2*100</f>
        <v>88.322243056732162</v>
      </c>
      <c r="C92" s="27">
        <f>Prices!C77/Prices!C$2*100</f>
        <v>90.005456688763147</v>
      </c>
      <c r="D92" s="27">
        <f>Prices!D77/Prices!D$2*100</f>
        <v>117.90522561286305</v>
      </c>
      <c r="E92" s="27">
        <f>Prices!E77/Prices!E$2*100</f>
        <v>110.66407763788226</v>
      </c>
      <c r="F92" s="27">
        <f>Prices!F77/Prices!F$2*100</f>
        <v>94.503544636571633</v>
      </c>
      <c r="G92" s="27">
        <f>Prices!G77/Prices!G$2*100</f>
        <v>97.591690798901524</v>
      </c>
      <c r="H92" s="1"/>
      <c r="I92" s="1"/>
      <c r="J92" s="1"/>
      <c r="K92" s="1"/>
      <c r="L92" s="1"/>
      <c r="M92" s="1"/>
      <c r="N92" s="1"/>
      <c r="O92" s="1"/>
    </row>
    <row r="93" spans="1:15" x14ac:dyDescent="0.3">
      <c r="A93" s="26">
        <f>Prices!A78</f>
        <v>46045</v>
      </c>
      <c r="B93" s="27">
        <f>Prices!B78/Prices!B$2*100</f>
        <v>87.952695111430415</v>
      </c>
      <c r="C93" s="27">
        <f>Prices!C78/Prices!C$2*100</f>
        <v>92.026181170815136</v>
      </c>
      <c r="D93" s="27">
        <f>Prices!D78/Prices!D$2*100</f>
        <v>118.17801807922399</v>
      </c>
      <c r="E93" s="27">
        <f>Prices!E78/Prices!E$2*100</f>
        <v>111.40175845076034</v>
      </c>
      <c r="F93" s="27">
        <f>Prices!F78/Prices!F$2*100</f>
        <v>93.528357092573046</v>
      </c>
      <c r="G93" s="27">
        <f>Prices!G78/Prices!G$2*100</f>
        <v>98.029805572256251</v>
      </c>
      <c r="H93" s="1"/>
      <c r="I93" s="1"/>
      <c r="J93" s="1"/>
      <c r="K93" s="1"/>
      <c r="L93" s="1"/>
      <c r="M93" s="1"/>
      <c r="N93" s="1"/>
      <c r="O93" s="1"/>
    </row>
    <row r="94" spans="1:15" x14ac:dyDescent="0.3">
      <c r="A94" s="26">
        <f>Prices!A79</f>
        <v>46048</v>
      </c>
      <c r="B94" s="27">
        <f>Prices!B79/Prices!B$2*100</f>
        <v>88.6178873946496</v>
      </c>
      <c r="C94" s="27">
        <f>Prices!C79/Prices!C$2*100</f>
        <v>90.223888268009816</v>
      </c>
      <c r="D94" s="27">
        <f>Prices!D79/Prices!D$2*100</f>
        <v>119.08707467587614</v>
      </c>
      <c r="E94" s="27">
        <f>Prices!E79/Prices!E$2*100</f>
        <v>111.40175845076034</v>
      </c>
      <c r="F94" s="27">
        <f>Prices!F79/Prices!F$2*100</f>
        <v>93.75</v>
      </c>
      <c r="G94" s="27">
        <f>Prices!G79/Prices!G$2*100</f>
        <v>98.088476844739532</v>
      </c>
      <c r="H94" s="1"/>
      <c r="I94" s="1"/>
      <c r="J94" s="1"/>
      <c r="K94" s="1"/>
      <c r="L94" s="1"/>
      <c r="M94" s="1"/>
      <c r="N94" s="1"/>
      <c r="O94" s="1"/>
    </row>
    <row r="95" spans="1:15" x14ac:dyDescent="0.3">
      <c r="A95" s="26">
        <f>Prices!A80</f>
        <v>46049</v>
      </c>
      <c r="B95" s="27">
        <f>Prices!B80/Prices!B$2*100</f>
        <v>89.726531230554897</v>
      </c>
      <c r="C95" s="27">
        <f>Prices!C80/Prices!C$2*100</f>
        <v>92.790828388778678</v>
      </c>
      <c r="D95" s="27">
        <f>Prices!D80/Prices!D$2*100</f>
        <v>122.26877276415861</v>
      </c>
      <c r="E95" s="27">
        <f>Prices!E80/Prices!E$2*100</f>
        <v>115.96251679982848</v>
      </c>
      <c r="F95" s="27">
        <f>Prices!F80/Prices!F$2*100</f>
        <v>95.39004751847942</v>
      </c>
      <c r="G95" s="27">
        <f>Prices!G80/Prices!G$2*100</f>
        <v>99.413020116147038</v>
      </c>
      <c r="H95" s="1"/>
      <c r="I95" s="1"/>
      <c r="J95" s="1"/>
      <c r="K95" s="1"/>
      <c r="L95" s="1"/>
      <c r="M95" s="1"/>
      <c r="N95" s="1"/>
      <c r="O95" s="1"/>
    </row>
    <row r="96" spans="1:15" x14ac:dyDescent="0.3">
      <c r="A96" s="26">
        <f>Prices!A81</f>
        <v>46050</v>
      </c>
      <c r="B96" s="27">
        <f>Prices!B81/Prices!B$2*100</f>
        <v>91.796011687596817</v>
      </c>
      <c r="C96" s="27">
        <f>Prices!C81/Prices!C$2*100</f>
        <v>94.756931306958975</v>
      </c>
      <c r="D96" s="27">
        <f>Prices!D81/Prices!D$2*100</f>
        <v>124.99594255411502</v>
      </c>
      <c r="E96" s="27">
        <f>Prices!E81/Prices!E$2*100</f>
        <v>119.18176246348011</v>
      </c>
      <c r="F96" s="27">
        <f>Prices!F81/Prices!F$2*100</f>
        <v>97.340422606476594</v>
      </c>
      <c r="G96" s="27">
        <f>Prices!G81/Prices!G$2*100</f>
        <v>101.97819014173615</v>
      </c>
      <c r="H96" s="1"/>
      <c r="I96" s="1"/>
      <c r="J96" s="1"/>
      <c r="K96" s="1"/>
      <c r="L96" s="1"/>
      <c r="M96" s="1"/>
      <c r="N96" s="1"/>
      <c r="O96" s="1"/>
    </row>
    <row r="97" spans="1:15" x14ac:dyDescent="0.3">
      <c r="A97" s="26">
        <f>Prices!A82</f>
        <v>46051</v>
      </c>
      <c r="B97" s="27">
        <f>Prices!B82/Prices!B$2*100</f>
        <v>91.943833856555528</v>
      </c>
      <c r="C97" s="27">
        <f>Prices!C82/Prices!C$2*100</f>
        <v>94.647742855455704</v>
      </c>
      <c r="D97" s="27">
        <f>Prices!D82/Prices!D$2*100</f>
        <v>125.08681047009757</v>
      </c>
      <c r="E97" s="27">
        <f>Prices!E82/Prices!E$2*100</f>
        <v>121.99877419656278</v>
      </c>
      <c r="F97" s="27">
        <f>Prices!F82/Prices!F$2*100</f>
        <v>98.448568395811336</v>
      </c>
      <c r="G97" s="27">
        <f>Prices!G82/Prices!G$2*100</f>
        <v>102.49557565056402</v>
      </c>
      <c r="H97" s="1"/>
      <c r="I97" s="1"/>
      <c r="J97" s="1"/>
      <c r="K97" s="1"/>
      <c r="L97" s="1"/>
      <c r="M97" s="1"/>
      <c r="N97" s="1"/>
      <c r="O97" s="1"/>
    </row>
    <row r="98" spans="1:15" x14ac:dyDescent="0.3">
      <c r="A98" s="26">
        <f>Prices!A83</f>
        <v>46052</v>
      </c>
      <c r="B98" s="27">
        <f>Prices!B83/Prices!B$2*100</f>
        <v>89.578724015786236</v>
      </c>
      <c r="C98" s="27">
        <f>Prices!C83/Prices!C$2*100</f>
        <v>92.408477441676851</v>
      </c>
      <c r="D98" s="27">
        <f>Prices!D83/Prices!D$2*100</f>
        <v>124.17775387344545</v>
      </c>
      <c r="E98" s="27">
        <f>Prices!E83/Prices!E$2*100</f>
        <v>121.19389406969489</v>
      </c>
      <c r="F98" s="27">
        <f>Prices!F83/Prices!F$2*100</f>
        <v>95.788991002287943</v>
      </c>
      <c r="G98" s="27">
        <f>Prices!G83/Prices!G$2*100</f>
        <v>100.36643773068738</v>
      </c>
      <c r="H98" s="1"/>
      <c r="I98" s="1"/>
      <c r="J98" s="1"/>
      <c r="K98" s="1"/>
      <c r="L98" s="1"/>
      <c r="M98" s="1"/>
      <c r="N98" s="1"/>
      <c r="O98" s="1"/>
    </row>
    <row r="99" spans="1:15" x14ac:dyDescent="0.3">
      <c r="A99" s="26">
        <f>Prices!A84</f>
        <v>46055</v>
      </c>
      <c r="B99" s="27">
        <f>Prices!B84/Prices!B$2*100</f>
        <v>88.470065225690888</v>
      </c>
      <c r="C99" s="27">
        <f>Prices!C84/Prices!C$2*100</f>
        <v>89.186242583168024</v>
      </c>
      <c r="D99" s="27">
        <f>Prices!D84/Prices!D$2*100</f>
        <v>122.45060295533037</v>
      </c>
      <c r="E99" s="27">
        <f>Prices!E84/Prices!E$2*100</f>
        <v>119.45014745370943</v>
      </c>
      <c r="F99" s="27">
        <f>Prices!F84/Prices!F$2*100</f>
        <v>94.015962322539011</v>
      </c>
      <c r="G99" s="27">
        <f>Prices!G84/Prices!G$2*100</f>
        <v>98.125310341024601</v>
      </c>
      <c r="H99" s="1"/>
      <c r="I99" s="1"/>
      <c r="J99" s="1"/>
      <c r="K99" s="1"/>
      <c r="L99" s="1"/>
      <c r="M99" s="1"/>
      <c r="N99" s="1"/>
      <c r="O99" s="1"/>
    </row>
    <row r="100" spans="1:15" x14ac:dyDescent="0.3">
      <c r="A100" s="26">
        <f>Prices!A85</f>
        <v>46056</v>
      </c>
      <c r="B100" s="27">
        <f>Prices!B85/Prices!B$2*100</f>
        <v>85.883229608578574</v>
      </c>
      <c r="C100" s="27">
        <f>Prices!C85/Prices!C$2*100</f>
        <v>87.930055966599369</v>
      </c>
      <c r="D100" s="27">
        <f>Prices!D85/Prices!D$2*100</f>
        <v>126.26865953311066</v>
      </c>
      <c r="E100" s="27">
        <f>Prices!E85/Prices!E$2*100</f>
        <v>119.98664259034804</v>
      </c>
      <c r="F100" s="27">
        <f>Prices!F85/Prices!F$2*100</f>
        <v>93.528357092573046</v>
      </c>
      <c r="G100" s="27">
        <f>Prices!G85/Prices!G$2*100</f>
        <v>98.342259590166847</v>
      </c>
      <c r="H100" s="1"/>
      <c r="I100" s="1"/>
      <c r="J100" s="1"/>
      <c r="K100" s="1"/>
      <c r="L100" s="1"/>
      <c r="M100" s="1"/>
      <c r="N100" s="1"/>
      <c r="O100" s="1"/>
    </row>
    <row r="101" spans="1:15" x14ac:dyDescent="0.3">
      <c r="A101" s="26">
        <f>Prices!A86</f>
        <v>46057</v>
      </c>
      <c r="B101" s="27">
        <f>Prices!B86/Prices!B$2*100</f>
        <v>82.483379539288322</v>
      </c>
      <c r="C101" s="27">
        <f>Prices!C86/Prices!C$2*100</f>
        <v>87.110841861004246</v>
      </c>
      <c r="D101" s="27">
        <f>Prices!D86/Prices!D$2*100</f>
        <v>126.35952744909321</v>
      </c>
      <c r="E101" s="27">
        <f>Prices!E86/Prices!E$2*100</f>
        <v>121.66332731425366</v>
      </c>
      <c r="F101" s="27">
        <f>Prices!F86/Prices!F$2*100</f>
        <v>93.12943652469788</v>
      </c>
      <c r="G101" s="27">
        <f>Prices!G86/Prices!G$2*100</f>
        <v>98.388254918416791</v>
      </c>
      <c r="H101" s="1"/>
      <c r="I101" s="1"/>
      <c r="J101" s="1"/>
      <c r="K101" s="1"/>
      <c r="L101" s="1"/>
      <c r="M101" s="1"/>
      <c r="N101" s="1"/>
      <c r="O101" s="1"/>
    </row>
    <row r="102" spans="1:15" x14ac:dyDescent="0.3">
      <c r="A102" s="26">
        <f>Prices!A87</f>
        <v>46058</v>
      </c>
      <c r="B102" s="27">
        <f>Prices!B87/Prices!B$2*100</f>
        <v>82.557283146672646</v>
      </c>
      <c r="C102" s="27">
        <f>Prices!C87/Prices!C$2*100</f>
        <v>87.165463424875938</v>
      </c>
      <c r="D102" s="27">
        <f>Prices!D87/Prices!D$2*100</f>
        <v>125.90499915076717</v>
      </c>
      <c r="E102" s="27">
        <f>Prices!E87/Prices!E$2*100</f>
        <v>118.5782054347617</v>
      </c>
      <c r="F102" s="27">
        <f>Prices!F87/Prices!F$2*100</f>
        <v>91.843967243048226</v>
      </c>
      <c r="G102" s="27">
        <f>Prices!G87/Prices!G$2*100</f>
        <v>98.527221219186899</v>
      </c>
      <c r="H102" s="1"/>
      <c r="I102" s="1"/>
      <c r="J102" s="1"/>
      <c r="K102" s="1"/>
      <c r="L102" s="1"/>
      <c r="M102" s="1"/>
      <c r="N102" s="1"/>
      <c r="O102" s="1"/>
    </row>
    <row r="103" spans="1:15" x14ac:dyDescent="0.3">
      <c r="A103" s="26">
        <f>Prices!A88</f>
        <v>46059</v>
      </c>
      <c r="B103" s="27">
        <f>Prices!B88/Prices!B$2*100</f>
        <v>80.931269196506889</v>
      </c>
      <c r="C103" s="27">
        <f>Prices!C88/Prices!C$2*100</f>
        <v>84.653199544218865</v>
      </c>
      <c r="D103" s="27">
        <f>Prices!D88/Prices!D$2*100</f>
        <v>122.54147087131291</v>
      </c>
      <c r="E103" s="27">
        <f>Prices!E88/Prices!E$2*100</f>
        <v>112.00545290138879</v>
      </c>
      <c r="F103" s="27">
        <f>Prices!F88/Prices!F$2*100</f>
        <v>90.336877969904975</v>
      </c>
      <c r="G103" s="27">
        <f>Prices!G88/Prices!G$2*100</f>
        <v>97.335116626511152</v>
      </c>
      <c r="H103" s="1"/>
      <c r="I103" s="1"/>
      <c r="J103" s="1"/>
      <c r="K103" s="1"/>
      <c r="L103" s="1"/>
      <c r="M103" s="1"/>
      <c r="N103" s="1"/>
      <c r="O103" s="1"/>
    </row>
    <row r="104" spans="1:15" x14ac:dyDescent="0.3">
      <c r="A104" s="26">
        <f>Prices!A89</f>
        <v>46062</v>
      </c>
      <c r="B104" s="27">
        <f>Prices!B89/Prices!B$2*100</f>
        <v>82.779008923015681</v>
      </c>
      <c r="C104" s="27">
        <f>Prices!C89/Prices!C$2*100</f>
        <v>86.237006191537432</v>
      </c>
      <c r="D104" s="27">
        <f>Prices!D89/Prices!D$2*100</f>
        <v>126.63222555624753</v>
      </c>
      <c r="E104" s="27">
        <f>Prices!E89/Prices!E$2*100</f>
        <v>115.82839301566882</v>
      </c>
      <c r="F104" s="27">
        <f>Prices!F89/Prices!F$2*100</f>
        <v>92.774812456001413</v>
      </c>
      <c r="G104" s="27">
        <f>Prices!G89/Prices!G$2*100</f>
        <v>99.047320096169472</v>
      </c>
      <c r="H104" s="1"/>
      <c r="I104" s="1"/>
      <c r="J104" s="1"/>
      <c r="K104" s="1"/>
      <c r="L104" s="1"/>
      <c r="M104" s="1"/>
      <c r="N104" s="1"/>
      <c r="O104" s="1"/>
    </row>
    <row r="105" spans="1:15" x14ac:dyDescent="0.3">
      <c r="A105" s="26">
        <f>Prices!A90</f>
        <v>46063</v>
      </c>
      <c r="B105" s="27">
        <f>Prices!B90/Prices!B$2*100</f>
        <v>81.448639310767362</v>
      </c>
      <c r="C105" s="27">
        <f>Prices!C90/Prices!C$2*100</f>
        <v>87.657002823481037</v>
      </c>
      <c r="D105" s="27">
        <f>Prices!D90/Prices!D$2*100</f>
        <v>127.54128215289965</v>
      </c>
      <c r="E105" s="27">
        <f>Prices!E90/Prices!E$2*100</f>
        <v>115.22469856504041</v>
      </c>
      <c r="F105" s="27">
        <f>Prices!F90/Prices!F$2*100</f>
        <v>92.46453071835036</v>
      </c>
      <c r="G105" s="27">
        <f>Prices!G90/Prices!G$2*100</f>
        <v>99.618982496396995</v>
      </c>
      <c r="H105" s="1"/>
      <c r="I105" s="1"/>
      <c r="J105" s="1"/>
      <c r="K105" s="1"/>
      <c r="L105" s="1"/>
      <c r="M105" s="1"/>
      <c r="N105" s="1"/>
      <c r="O105" s="1"/>
    </row>
    <row r="106" spans="1:15" x14ac:dyDescent="0.3">
      <c r="A106" s="26">
        <f>Prices!A91</f>
        <v>46064</v>
      </c>
      <c r="B106" s="27">
        <f>Prices!B91/Prices!B$2*100</f>
        <v>81.005172803891199</v>
      </c>
      <c r="C106" s="27">
        <f>Prices!C91/Prices!C$2*100</f>
        <v>87.438571244234396</v>
      </c>
      <c r="D106" s="27">
        <f>Prices!D91/Prices!D$2*100</f>
        <v>127.0867538545736</v>
      </c>
      <c r="E106" s="27">
        <f>Prices!E91/Prices!E$2*100</f>
        <v>114.75526532048161</v>
      </c>
      <c r="F106" s="27">
        <f>Prices!F91/Prices!F$2*100</f>
        <v>92.641831294731901</v>
      </c>
      <c r="G106" s="27">
        <f>Prices!G91/Prices!G$2*100</f>
        <v>99.924000038538324</v>
      </c>
      <c r="H106" s="1"/>
      <c r="I106" s="1"/>
      <c r="J106" s="1"/>
      <c r="K106" s="1"/>
      <c r="L106" s="1"/>
      <c r="M106" s="1"/>
      <c r="N106" s="1"/>
      <c r="O106" s="1"/>
    </row>
    <row r="107" spans="1:15" x14ac:dyDescent="0.3">
      <c r="A107" s="26">
        <f>Prices!A92</f>
        <v>46065</v>
      </c>
      <c r="B107" s="27">
        <f>Prices!B92/Prices!B$2*100</f>
        <v>79.157433077382407</v>
      </c>
      <c r="C107" s="27">
        <f>Prices!C92/Prices!C$2*100</f>
        <v>86.619302462399148</v>
      </c>
      <c r="D107" s="27">
        <f>Prices!D92/Prices!D$2*100</f>
        <v>126.81405574741929</v>
      </c>
      <c r="E107" s="27">
        <f>Prices!E92/Prices!E$2*100</f>
        <v>112.40782425386773</v>
      </c>
      <c r="F107" s="27">
        <f>Prices!F92/Prices!F$2*100</f>
        <v>91.755305496890784</v>
      </c>
      <c r="G107" s="27">
        <f>Prices!G92/Prices!G$2*100</f>
        <v>99.067032327351853</v>
      </c>
      <c r="H107" s="1"/>
      <c r="I107" s="1"/>
      <c r="J107" s="1"/>
      <c r="K107" s="1"/>
      <c r="L107" s="1"/>
      <c r="M107" s="1"/>
      <c r="N107" s="1"/>
      <c r="O107" s="1"/>
    </row>
    <row r="108" spans="1:15" x14ac:dyDescent="0.3">
      <c r="A108" s="26">
        <f>Prices!A93</f>
        <v>46066</v>
      </c>
      <c r="B108" s="27">
        <f>Prices!B93/Prices!B$2*100</f>
        <v>78.64006296312192</v>
      </c>
      <c r="C108" s="27">
        <f>Prices!C93/Prices!C$2*100</f>
        <v>84.871631123465505</v>
      </c>
      <c r="D108" s="27">
        <f>Prices!D93/Prices!D$2*100</f>
        <v>123.35965955198252</v>
      </c>
      <c r="E108" s="27">
        <f>Prices!E93/Prices!E$2*100</f>
        <v>107.71294212063995</v>
      </c>
      <c r="F108" s="27">
        <f>Prices!F93/Prices!F$2*100</f>
        <v>89.80495332482694</v>
      </c>
      <c r="G108" s="27">
        <f>Prices!G93/Prices!G$2*100</f>
        <v>97.361392394113167</v>
      </c>
      <c r="H108" s="1"/>
      <c r="I108" s="1"/>
      <c r="J108" s="1"/>
      <c r="K108" s="1"/>
      <c r="L108" s="1"/>
      <c r="M108" s="1"/>
      <c r="N108" s="1"/>
      <c r="O108" s="1"/>
    </row>
    <row r="109" spans="1:15" x14ac:dyDescent="0.3">
      <c r="A109" s="26">
        <f>Prices!A94</f>
        <v>46069</v>
      </c>
      <c r="B109" s="27">
        <f>Prices!B94/Prices!B$2*100</f>
        <v>79.009610908423682</v>
      </c>
      <c r="C109" s="27">
        <f>Prices!C94/Prices!C$2*100</f>
        <v>84.48933485260379</v>
      </c>
      <c r="D109" s="27">
        <f>Prices!D94/Prices!D$2*100</f>
        <v>122.17781048896941</v>
      </c>
      <c r="E109" s="27">
        <f>Prices!E94/Prices!E$2*100</f>
        <v>110.73113952996209</v>
      </c>
      <c r="F109" s="27">
        <f>Prices!F94/Prices!F$2*100</f>
        <v>90.602817376510629</v>
      </c>
      <c r="G109" s="27">
        <f>Prices!G94/Prices!G$2*100</f>
        <v>97.870132065352394</v>
      </c>
      <c r="H109" s="1"/>
      <c r="I109" s="1"/>
      <c r="J109" s="1"/>
      <c r="K109" s="1"/>
      <c r="L109" s="1"/>
      <c r="M109" s="1"/>
      <c r="N109" s="1"/>
      <c r="O109" s="1"/>
    </row>
    <row r="110" spans="1:15" x14ac:dyDescent="0.3">
      <c r="A110" s="26">
        <f>Prices!A95</f>
        <v>46073</v>
      </c>
      <c r="B110" s="27">
        <f>Prices!B95/Prices!B$2*100</f>
        <v>77.161871181914876</v>
      </c>
      <c r="C110" s="27">
        <f>Prices!C95/Prices!C$2*100</f>
        <v>80.338588084516346</v>
      </c>
      <c r="D110" s="27">
        <f>Prices!D95/Prices!D$2*100</f>
        <v>122.08694257298684</v>
      </c>
      <c r="E110" s="27">
        <f>Prices!E95/Prices!E$2*100</f>
        <v>110.39583006956298</v>
      </c>
      <c r="F110" s="27">
        <f>Prices!F95/Prices!F$2*100</f>
        <v>90.381197385017018</v>
      </c>
      <c r="G110" s="27">
        <f>Prices!G95/Prices!G$2*100</f>
        <v>96.797868265983425</v>
      </c>
      <c r="H110" s="1"/>
      <c r="I110" s="1"/>
      <c r="J110" s="1"/>
      <c r="K110" s="1"/>
      <c r="L110" s="1"/>
      <c r="M110" s="1"/>
      <c r="N110" s="1"/>
      <c r="O110" s="1"/>
    </row>
    <row r="111" spans="1:15" x14ac:dyDescent="0.3">
      <c r="A111" s="26">
        <f>Prices!A96</f>
        <v>46076</v>
      </c>
      <c r="B111" s="27">
        <f>Prices!B96/Prices!B$2*100</f>
        <v>79.526981022684168</v>
      </c>
      <c r="C111" s="27">
        <f>Prices!C96/Prices!C$2*100</f>
        <v>83.123959784531877</v>
      </c>
      <c r="D111" s="27">
        <f>Prices!D96/Prices!D$2*100</f>
        <v>123.54148974315424</v>
      </c>
      <c r="E111" s="27">
        <f>Prices!E96/Prices!E$2*100</f>
        <v>114.88938910464125</v>
      </c>
      <c r="F111" s="27">
        <f>Prices!F96/Prices!F$2*100</f>
        <v>92.597511879619859</v>
      </c>
      <c r="G111" s="27">
        <f>Prices!G96/Prices!G$2*100</f>
        <v>99.247964216200444</v>
      </c>
      <c r="H111" s="1"/>
      <c r="I111" s="1"/>
      <c r="J111" s="1"/>
      <c r="K111" s="1"/>
      <c r="L111" s="1"/>
      <c r="M111" s="1"/>
      <c r="N111" s="1"/>
      <c r="O111" s="1"/>
    </row>
    <row r="112" spans="1:15" x14ac:dyDescent="0.3">
      <c r="A112" s="26">
        <f>Prices!A97</f>
        <v>46077</v>
      </c>
      <c r="B112" s="27">
        <f>Prices!B97/Prices!B$2*100</f>
        <v>76.866226843997438</v>
      </c>
      <c r="C112" s="27">
        <f>Prices!C97/Prices!C$2*100</f>
        <v>80.830127483121444</v>
      </c>
      <c r="D112" s="27">
        <f>Prices!D97/Prices!D$2*100</f>
        <v>122.99599916963899</v>
      </c>
      <c r="E112" s="27">
        <f>Prices!E97/Prices!E$2*100</f>
        <v>113.81626140945407</v>
      </c>
      <c r="F112" s="27">
        <f>Prices!F97/Prices!F$2*100</f>
        <v>91.666666666666671</v>
      </c>
      <c r="G112" s="27">
        <f>Prices!G97/Prices!G$2*100</f>
        <v>97.446418592426625</v>
      </c>
      <c r="H112" s="1"/>
      <c r="I112" s="1"/>
      <c r="J112" s="1"/>
      <c r="K112" s="1"/>
      <c r="L112" s="1"/>
      <c r="M112" s="1"/>
      <c r="N112" s="1"/>
      <c r="O112" s="1"/>
    </row>
    <row r="113" spans="1:15" x14ac:dyDescent="0.3">
      <c r="A113" s="26">
        <f>Prices!A98</f>
        <v>46078</v>
      </c>
      <c r="B113" s="27">
        <f>Prices!B98/Prices!B$2*100</f>
        <v>77.235774789299199</v>
      </c>
      <c r="C113" s="27">
        <f>Prices!C98/Prices!C$2*100</f>
        <v>80.993992174736519</v>
      </c>
      <c r="D113" s="27">
        <f>Prices!D98/Prices!D$2*100</f>
        <v>129.72305572854745</v>
      </c>
      <c r="E113" s="27">
        <f>Prices!E98/Prices!E$2*100</f>
        <v>113.3468281648953</v>
      </c>
      <c r="F113" s="27">
        <f>Prices!F98/Prices!F$2*100</f>
        <v>91.356384929015604</v>
      </c>
      <c r="G113" s="27">
        <f>Prices!G98/Prices!G$2*100</f>
        <v>98.089214188976086</v>
      </c>
      <c r="H113" s="1"/>
      <c r="I113" s="1"/>
      <c r="J113" s="1"/>
      <c r="K113" s="1"/>
      <c r="L113" s="1"/>
      <c r="M113" s="1"/>
      <c r="N113" s="1"/>
      <c r="O113" s="1"/>
    </row>
    <row r="114" spans="1:15" x14ac:dyDescent="0.3">
      <c r="A114" s="26">
        <f>Prices!A99</f>
        <v>46079</v>
      </c>
      <c r="B114" s="27">
        <f>Prices!B99/Prices!B$2*100</f>
        <v>75.683664446517767</v>
      </c>
      <c r="C114" s="27">
        <f>Prices!C99/Prices!C$2*100</f>
        <v>78.099377346977604</v>
      </c>
      <c r="D114" s="27">
        <f>Prices!D99/Prices!D$2*100</f>
        <v>131.81386702900605</v>
      </c>
      <c r="E114" s="27">
        <f>Prices!E99/Prices!E$2*100</f>
        <v>113.61507573321458</v>
      </c>
      <c r="F114" s="27">
        <f>Prices!F99/Prices!F$2*100</f>
        <v>92.065587234541837</v>
      </c>
      <c r="G114" s="27">
        <f>Prices!G99/Prices!G$2*100</f>
        <v>96.679387088540253</v>
      </c>
      <c r="H114" s="1"/>
      <c r="I114" s="1"/>
      <c r="J114" s="1"/>
      <c r="K114" s="1"/>
      <c r="L114" s="1"/>
      <c r="M114" s="1"/>
      <c r="N114" s="1"/>
      <c r="O114" s="1"/>
    </row>
    <row r="115" spans="1:15" x14ac:dyDescent="0.3">
      <c r="A115" s="26">
        <f>Prices!A100</f>
        <v>46080</v>
      </c>
      <c r="B115" s="27">
        <f>Prices!B100/Prices!B$2*100</f>
        <v>76.570582506080015</v>
      </c>
      <c r="C115" s="27">
        <f>Prices!C100/Prices!C$2*100</f>
        <v>78.044755783105913</v>
      </c>
      <c r="D115" s="27">
        <f>Prices!D100/Prices!D$2*100</f>
        <v>133.90477268867124</v>
      </c>
      <c r="E115" s="27">
        <f>Prices!E100/Prices!E$2*100</f>
        <v>116.43195004438726</v>
      </c>
      <c r="F115" s="27">
        <f>Prices!F100/Prices!F$2*100</f>
        <v>92.863474202158883</v>
      </c>
      <c r="G115" s="27">
        <f>Prices!G100/Prices!G$2*100</f>
        <v>97.593809747398367</v>
      </c>
      <c r="H115" s="1"/>
      <c r="I115" s="1"/>
      <c r="J115" s="1"/>
      <c r="K115" s="1"/>
      <c r="L115" s="1"/>
      <c r="M115" s="1"/>
      <c r="N115" s="1"/>
      <c r="O115" s="1"/>
    </row>
    <row r="116" spans="1:15" x14ac:dyDescent="0.3">
      <c r="A116" s="26">
        <f>Prices!A101</f>
        <v>46083</v>
      </c>
      <c r="B116" s="27">
        <f>Prices!B101/Prices!B$2*100</f>
        <v>75.979308784435204</v>
      </c>
      <c r="C116" s="27">
        <f>Prices!C101/Prices!C$2*100</f>
        <v>74.494791541366951</v>
      </c>
      <c r="D116" s="27">
        <f>Prices!D101/Prices!D$2*100</f>
        <v>126.99588593859106</v>
      </c>
      <c r="E116" s="27">
        <f>Prices!E101/Prices!E$2*100</f>
        <v>114.01744708569355</v>
      </c>
      <c r="F116" s="27">
        <f>Prices!F101/Prices!F$2*100</f>
        <v>91.090422606476594</v>
      </c>
      <c r="G116" s="27">
        <f>Prices!G101/Prices!G$2*100</f>
        <v>95.502385226148704</v>
      </c>
      <c r="H116" s="1"/>
      <c r="I116" s="1"/>
      <c r="J116" s="1"/>
      <c r="K116" s="1"/>
      <c r="L116" s="1"/>
      <c r="M116" s="1"/>
      <c r="N116" s="1"/>
      <c r="O116" s="1"/>
    </row>
    <row r="117" spans="1:15" x14ac:dyDescent="0.3">
      <c r="A117" s="26">
        <f>Prices!A102</f>
        <v>46084</v>
      </c>
      <c r="B117" s="27">
        <f>Prices!B102/Prices!B$2*100</f>
        <v>75.461938670174717</v>
      </c>
      <c r="C117" s="27">
        <f>Prices!C102/Prices!C$2*100</f>
        <v>73.620955871900122</v>
      </c>
      <c r="D117" s="27">
        <f>Prices!D102/Prices!D$2*100</f>
        <v>123.45052746796506</v>
      </c>
      <c r="E117" s="27">
        <f>Prices!E102/Prices!E$2*100</f>
        <v>114.01744708569355</v>
      </c>
      <c r="F117" s="27">
        <f>Prices!F102/Prices!F$2*100</f>
        <v>90.735798537780127</v>
      </c>
      <c r="G117" s="27">
        <f>Prices!G102/Prices!G$2*100</f>
        <v>94.433127973557305</v>
      </c>
      <c r="H117" s="1"/>
      <c r="I117" s="1"/>
      <c r="J117" s="1"/>
      <c r="K117" s="1"/>
      <c r="L117" s="1"/>
      <c r="M117" s="1"/>
      <c r="N117" s="1"/>
      <c r="O117" s="1"/>
    </row>
    <row r="118" spans="1:15" x14ac:dyDescent="0.3">
      <c r="A118" s="26">
        <f>Prices!A103</f>
        <v>46085</v>
      </c>
      <c r="B118" s="27">
        <f>Prices!B103/Prices!B$2*100</f>
        <v>74.796746386955533</v>
      </c>
      <c r="C118" s="27">
        <f>Prices!C103/Prices!C$2*100</f>
        <v>70.944827299627988</v>
      </c>
      <c r="D118" s="27">
        <f>Prices!D103/Prices!D$2*100</f>
        <v>118.90524448470438</v>
      </c>
      <c r="E118" s="27">
        <f>Prices!E103/Prices!E$2*100</f>
        <v>108.65194603166748</v>
      </c>
      <c r="F118" s="27">
        <f>Prices!F103/Prices!F$2*100</f>
        <v>89.716314494602841</v>
      </c>
      <c r="G118" s="27">
        <f>Prices!G103/Prices!G$2*100</f>
        <v>92.532599016654714</v>
      </c>
      <c r="H118" s="1"/>
      <c r="I118" s="1"/>
      <c r="J118" s="1"/>
      <c r="K118" s="1"/>
      <c r="L118" s="1"/>
      <c r="M118" s="1"/>
      <c r="N118" s="1"/>
      <c r="O118" s="1"/>
    </row>
    <row r="119" spans="1:15" x14ac:dyDescent="0.3">
      <c r="A119" s="26">
        <f>Prices!A104</f>
        <v>46086</v>
      </c>
      <c r="B119" s="27">
        <f>Prices!B104/Prices!B$2*100</f>
        <v>74.205472665310722</v>
      </c>
      <c r="C119" s="27">
        <f>Prices!C104/Prices!C$2*100</f>
        <v>68.978669705207579</v>
      </c>
      <c r="D119" s="27">
        <f>Prices!D104/Prices!D$2*100</f>
        <v>121.72328219064335</v>
      </c>
      <c r="E119" s="27">
        <f>Prices!E104/Prices!E$2*100</f>
        <v>114.15170829176317</v>
      </c>
      <c r="F119" s="27">
        <f>Prices!F104/Prices!F$2*100</f>
        <v>90.292535638859562</v>
      </c>
      <c r="G119" s="27">
        <f>Prices!G104/Prices!G$2*100</f>
        <v>92.795944149340414</v>
      </c>
      <c r="H119" s="1"/>
      <c r="I119" s="1"/>
      <c r="J119" s="1"/>
      <c r="K119" s="1"/>
      <c r="L119" s="1"/>
      <c r="M119" s="1"/>
      <c r="N119" s="1"/>
      <c r="O119" s="1"/>
    </row>
    <row r="120" spans="1:15" x14ac:dyDescent="0.3">
      <c r="A120" s="26">
        <f>Prices!A105</f>
        <v>46087</v>
      </c>
      <c r="B120" s="27">
        <f>Prices!B105/Prices!B$2*100</f>
        <v>76.718404675038727</v>
      </c>
      <c r="C120" s="27">
        <f>Prices!C105/Prices!C$2*100</f>
        <v>71.381745134361395</v>
      </c>
      <c r="D120" s="27">
        <f>Prices!D105/Prices!D$2*100</f>
        <v>122.90503689444978</v>
      </c>
      <c r="E120" s="27">
        <f>Prices!E105/Prices!E$2*100</f>
        <v>114.82232721256145</v>
      </c>
      <c r="F120" s="27">
        <f>Prices!F105/Prices!F$2*100</f>
        <v>91.976948404317739</v>
      </c>
      <c r="G120" s="27">
        <f>Prices!G105/Prices!G$2*100</f>
        <v>94.393581842064094</v>
      </c>
      <c r="H120" s="1"/>
      <c r="I120" s="1"/>
      <c r="J120" s="1"/>
      <c r="K120" s="1"/>
      <c r="L120" s="1"/>
      <c r="M120" s="1"/>
      <c r="N120" s="1"/>
      <c r="O120" s="1"/>
    </row>
    <row r="121" spans="1:15" x14ac:dyDescent="0.3">
      <c r="A121" s="26">
        <f>Prices!A106</f>
        <v>46090</v>
      </c>
      <c r="B121" s="27">
        <f>Prices!B106/Prices!B$2*100</f>
        <v>76.274938168162564</v>
      </c>
      <c r="C121" s="27">
        <f>Prices!C106/Prices!C$2*100</f>
        <v>70.289423209407815</v>
      </c>
      <c r="D121" s="27">
        <f>Prices!D106/Prices!D$2*100</f>
        <v>118.0870558040348</v>
      </c>
      <c r="E121" s="27">
        <f>Prices!E106/Prices!E$2*100</f>
        <v>109.72507372685469</v>
      </c>
      <c r="F121" s="27">
        <f>Prices!F106/Prices!F$2*100</f>
        <v>90.203896808635449</v>
      </c>
      <c r="G121" s="27">
        <f>Prices!G106/Prices!G$2*100</f>
        <v>93.115219700858773</v>
      </c>
      <c r="H121" s="1"/>
      <c r="I121" s="1"/>
      <c r="J121" s="1"/>
      <c r="K121" s="1"/>
      <c r="L121" s="1"/>
      <c r="M121" s="1"/>
      <c r="N121" s="1"/>
      <c r="O121" s="1"/>
    </row>
    <row r="122" spans="1:15" x14ac:dyDescent="0.3">
      <c r="A122" s="26">
        <f>Prices!A107</f>
        <v>46091</v>
      </c>
      <c r="B122" s="27">
        <f>Prices!B107/Prices!B$2*100</f>
        <v>81.818187256069123</v>
      </c>
      <c r="C122" s="27">
        <f>Prices!C107/Prices!C$2*100</f>
        <v>72.910984894048383</v>
      </c>
      <c r="D122" s="27">
        <f>Prices!D107/Prices!D$2*100</f>
        <v>123.54148974315424</v>
      </c>
      <c r="E122" s="27">
        <f>Prices!E107/Prices!E$2*100</f>
        <v>114.88938910464125</v>
      </c>
      <c r="F122" s="27">
        <f>Prices!F107/Prices!F$2*100</f>
        <v>92.331549557080848</v>
      </c>
      <c r="G122" s="27">
        <f>Prices!G107/Prices!G$2*100</f>
        <v>95.136098115978825</v>
      </c>
      <c r="H122" s="1"/>
      <c r="I122" s="1"/>
      <c r="J122" s="1"/>
      <c r="K122" s="1"/>
      <c r="L122" s="1"/>
      <c r="M122" s="1"/>
      <c r="N122" s="1"/>
      <c r="O122" s="1"/>
    </row>
    <row r="123" spans="1:15" x14ac:dyDescent="0.3">
      <c r="A123" s="26">
        <f>Prices!A108</f>
        <v>46092</v>
      </c>
      <c r="B123" s="27">
        <f>Prices!B108/Prices!B$2*100</f>
        <v>81.596461479726074</v>
      </c>
      <c r="C123" s="27">
        <f>Prices!C108/Prices!C$2*100</f>
        <v>72.747120202433308</v>
      </c>
      <c r="D123" s="27">
        <f>Prices!D108/Prices!D$2*100</f>
        <v>120.90518786918041</v>
      </c>
      <c r="E123" s="27">
        <f>Prices!E108/Prices!E$2*100</f>
        <v>115.96251679982848</v>
      </c>
      <c r="F123" s="27">
        <f>Prices!F108/Prices!F$2*100</f>
        <v>92.628769212718538</v>
      </c>
      <c r="G123" s="27">
        <f>Prices!G108/Prices!G$2*100</f>
        <v>94.912034154605934</v>
      </c>
      <c r="H123" s="1"/>
      <c r="I123" s="1"/>
      <c r="J123" s="1"/>
      <c r="K123" s="1"/>
      <c r="L123" s="1"/>
      <c r="M123" s="1"/>
      <c r="N123" s="1"/>
      <c r="O123" s="1"/>
    </row>
    <row r="124" spans="1:15" x14ac:dyDescent="0.3">
      <c r="A124" s="26">
        <f>Prices!A109</f>
        <v>46093</v>
      </c>
      <c r="B124" s="27">
        <f>Prices!B109/Prices!B$2*100</f>
        <v>80.783447027548164</v>
      </c>
      <c r="C124" s="27">
        <f>Prices!C109/Prices!C$2*100</f>
        <v>71.87328453296648</v>
      </c>
      <c r="D124" s="27">
        <f>Prices!D109/Prices!D$2*100</f>
        <v>120.36630244012909</v>
      </c>
      <c r="E124" s="27">
        <f>Prices!E109/Prices!E$2*100</f>
        <v>113.14564248865582</v>
      </c>
      <c r="F124" s="27">
        <f>Prices!F109/Prices!F$2*100</f>
        <v>91.502978154699051</v>
      </c>
      <c r="G124" s="27">
        <f>Prices!G109/Prices!G$2*100</f>
        <v>94.245052787562315</v>
      </c>
      <c r="H124" s="1"/>
      <c r="I124" s="1"/>
      <c r="J124" s="1"/>
      <c r="K124" s="1"/>
      <c r="L124" s="1"/>
      <c r="M124" s="1"/>
      <c r="N124" s="1"/>
      <c r="O124" s="1"/>
    </row>
    <row r="125" spans="1:15" x14ac:dyDescent="0.3">
      <c r="A125" s="26">
        <f>Prices!A110</f>
        <v>46094</v>
      </c>
      <c r="B125" s="27">
        <f>Prices!B110/Prices!B$2*100</f>
        <v>80.931269196506889</v>
      </c>
      <c r="C125" s="27">
        <f>Prices!C110/Prices!C$2*100</f>
        <v>72.364823931571593</v>
      </c>
      <c r="D125" s="27">
        <f>Prices!D110/Prices!D$2*100</f>
        <v>114.38996772915134</v>
      </c>
      <c r="E125" s="27">
        <f>Prices!E110/Prices!E$2*100</f>
        <v>109.72507372685469</v>
      </c>
      <c r="F125" s="27">
        <f>Prices!F110/Prices!F$2*100</f>
        <v>90.377210012612935</v>
      </c>
      <c r="G125" s="27">
        <f>Prices!G110/Prices!G$2*100</f>
        <v>93.324617768095578</v>
      </c>
      <c r="H125" s="1"/>
      <c r="I125" s="1"/>
      <c r="J125" s="1"/>
      <c r="K125" s="1"/>
      <c r="L125" s="1"/>
      <c r="M125" s="1"/>
      <c r="N125" s="1"/>
      <c r="O125" s="1"/>
    </row>
    <row r="126" spans="1:15" x14ac:dyDescent="0.3">
      <c r="A126" s="26">
        <f>Prices!A111</f>
        <v>46097</v>
      </c>
      <c r="B126" s="27">
        <f>Prices!B111/Prices!B$2*100</f>
        <v>82.557283146672646</v>
      </c>
      <c r="C126" s="27">
        <f>Prices!C111/Prices!C$2*100</f>
        <v>73.184038037166715</v>
      </c>
      <c r="D126" s="27">
        <f>Prices!D111/Prices!D$2*100</f>
        <v>116.07088263601881</v>
      </c>
      <c r="E126" s="27">
        <f>Prices!E111/Prices!E$2*100</f>
        <v>111.87132911722912</v>
      </c>
      <c r="F126" s="27">
        <f>Prices!F111/Prices!F$2*100</f>
        <v>91.457948345652937</v>
      </c>
      <c r="G126" s="27">
        <f>Prices!G111/Prices!G$2*100</f>
        <v>94.674778254623433</v>
      </c>
      <c r="H126" s="1"/>
      <c r="I126" s="1"/>
      <c r="J126" s="1"/>
      <c r="K126" s="1"/>
      <c r="L126" s="1"/>
      <c r="M126" s="1"/>
      <c r="N126" s="1"/>
      <c r="O126" s="1"/>
    </row>
    <row r="127" spans="1:15" x14ac:dyDescent="0.3">
      <c r="A127" s="26">
        <f>Prices!A112</f>
        <v>46098</v>
      </c>
      <c r="B127" s="27">
        <f>Prices!B112/Prices!B$2*100</f>
        <v>81.30081714180865</v>
      </c>
      <c r="C127" s="27">
        <f>Prices!C112/Prices!C$2*100</f>
        <v>73.511712744156739</v>
      </c>
      <c r="D127" s="27">
        <f>Prices!D112/Prices!D$2*100</f>
        <v>116.53777199041311</v>
      </c>
      <c r="E127" s="27">
        <f>Prices!E112/Prices!E$2*100</f>
        <v>111.33469655868052</v>
      </c>
      <c r="F127" s="27">
        <f>Prices!F112/Prices!F$2*100</f>
        <v>91.052680064237961</v>
      </c>
      <c r="G127" s="27">
        <f>Prices!G112/Prices!G$2*100</f>
        <v>94.801283364501472</v>
      </c>
      <c r="H127" s="1"/>
      <c r="I127" s="1"/>
      <c r="J127" s="1"/>
      <c r="K127" s="1"/>
      <c r="L127" s="1"/>
      <c r="M127" s="1"/>
      <c r="N127" s="1"/>
      <c r="O127" s="1"/>
    </row>
    <row r="128" spans="1:15" x14ac:dyDescent="0.3">
      <c r="A128" s="26">
        <f>Prices!A113</f>
        <v>46099</v>
      </c>
      <c r="B128" s="27">
        <f>Prices!B113/Prices!B$2*100</f>
        <v>81.37472074919296</v>
      </c>
      <c r="C128" s="27">
        <f>Prices!C113/Prices!C$2*100</f>
        <v>75.204817195458816</v>
      </c>
      <c r="D128" s="27">
        <f>Prices!D113/Prices!D$2*100</f>
        <v>119.43252373134048</v>
      </c>
      <c r="E128" s="27">
        <f>Prices!E113/Prices!E$2*100</f>
        <v>113.41389005697513</v>
      </c>
      <c r="F128" s="27">
        <f>Prices!F113/Prices!F$2*100</f>
        <v>90.692418675935699</v>
      </c>
      <c r="G128" s="27">
        <f>Prices!G113/Prices!G$2*100</f>
        <v>95.376209575748149</v>
      </c>
      <c r="H128" s="1"/>
      <c r="I128" s="1"/>
      <c r="J128" s="1"/>
      <c r="K128" s="1"/>
      <c r="L128" s="1"/>
      <c r="M128" s="1"/>
      <c r="N128" s="1"/>
      <c r="O128" s="1"/>
    </row>
    <row r="129" spans="1:15" x14ac:dyDescent="0.3">
      <c r="A129" s="26">
        <f>Prices!A114</f>
        <v>46100</v>
      </c>
      <c r="B129" s="27">
        <f>Prices!B114/Prices!B$2*100</f>
        <v>75.831486615476479</v>
      </c>
      <c r="C129" s="27">
        <f>Prices!C114/Prices!C$2*100</f>
        <v>72.09177078845326</v>
      </c>
      <c r="D129" s="27">
        <f>Prices!D114/Prices!D$2*100</f>
        <v>115.79073015154088</v>
      </c>
      <c r="E129" s="27">
        <f>Prices!E114/Prices!E$2*100</f>
        <v>111.06644899036122</v>
      </c>
      <c r="F129" s="27">
        <f>Prices!F114/Prices!F$2*100</f>
        <v>89.746769770034035</v>
      </c>
      <c r="G129" s="27">
        <f>Prices!G114/Prices!G$2*100</f>
        <v>93.452811953314637</v>
      </c>
      <c r="H129" s="1"/>
      <c r="I129" s="1"/>
      <c r="J129" s="1"/>
      <c r="K129" s="1"/>
      <c r="L129" s="1"/>
      <c r="M129" s="1"/>
      <c r="N129" s="1"/>
      <c r="O129" s="1"/>
    </row>
    <row r="130" spans="1:15" x14ac:dyDescent="0.3">
      <c r="A130" s="26">
        <f>Prices!A115</f>
        <v>46101</v>
      </c>
      <c r="B130" s="27">
        <f>Prices!B115/Prices!B$2*100</f>
        <v>75.092390724872956</v>
      </c>
      <c r="C130" s="27">
        <f>Prices!C115/Prices!C$2*100</f>
        <v>67.558673073263975</v>
      </c>
      <c r="D130" s="27">
        <f>Prices!D115/Prices!D$2*100</f>
        <v>116.25761950593521</v>
      </c>
      <c r="E130" s="27">
        <f>Prices!E115/Prices!E$2*100</f>
        <v>115.42602166318987</v>
      </c>
      <c r="F130" s="27">
        <f>Prices!F115/Prices!F$2*100</f>
        <v>89.161382252434592</v>
      </c>
      <c r="G130" s="27">
        <f>Prices!G115/Prices!G$2*100</f>
        <v>92.634624444469111</v>
      </c>
      <c r="H130" s="1"/>
      <c r="I130" s="1"/>
      <c r="J130" s="1"/>
      <c r="K130" s="1"/>
      <c r="L130" s="1"/>
      <c r="M130" s="1"/>
      <c r="N130" s="1"/>
      <c r="O130" s="1"/>
    </row>
    <row r="131" spans="1:15" x14ac:dyDescent="0.3">
      <c r="A131" s="26">
        <f>Prices!A116</f>
        <v>46104</v>
      </c>
      <c r="B131" s="27">
        <f>Prices!B116/Prices!B$2*100</f>
        <v>73.673312857059329</v>
      </c>
      <c r="C131" s="27">
        <f>Prices!C116/Prices!C$2*100</f>
        <v>65.374083899596926</v>
      </c>
      <c r="D131" s="27">
        <f>Prices!D116/Prices!D$2*100</f>
        <v>111.02832663382966</v>
      </c>
      <c r="E131" s="27">
        <f>Prices!E116/Prices!E$2*100</f>
        <v>106.43862874921327</v>
      </c>
      <c r="F131" s="27">
        <f>Prices!F116/Prices!F$2*100</f>
        <v>86.144293382611764</v>
      </c>
      <c r="G131" s="27">
        <f>Prices!G116/Prices!G$2*100</f>
        <v>89.355239776851349</v>
      </c>
      <c r="H131" s="1"/>
      <c r="I131" s="1"/>
      <c r="J131" s="1"/>
      <c r="K131" s="1"/>
      <c r="L131" s="1"/>
      <c r="M131" s="1"/>
      <c r="N131" s="1"/>
      <c r="O131" s="1"/>
    </row>
    <row r="132" spans="1:15" x14ac:dyDescent="0.3">
      <c r="A132" s="26">
        <f>Prices!A117</f>
        <v>46105</v>
      </c>
      <c r="B132" s="27">
        <f>Prices!B117/Prices!B$2*100</f>
        <v>75.979308784435204</v>
      </c>
      <c r="C132" s="27">
        <f>Prices!C117/Prices!C$2*100</f>
        <v>67.285619930145629</v>
      </c>
      <c r="D132" s="27">
        <f>Prices!D117/Prices!D$2*100</f>
        <v>115.41716205250148</v>
      </c>
      <c r="E132" s="27">
        <f>Prices!E117/Prices!E$2*100</f>
        <v>114.15170829176317</v>
      </c>
      <c r="F132" s="27">
        <f>Prices!F117/Prices!F$2*100</f>
        <v>88.170680621553444</v>
      </c>
      <c r="G132" s="27">
        <f>Prices!G117/Prices!G$2*100</f>
        <v>91.851803072901163</v>
      </c>
      <c r="H132" s="1"/>
      <c r="I132" s="1"/>
      <c r="J132" s="1"/>
      <c r="K132" s="1"/>
      <c r="L132" s="1"/>
      <c r="M132" s="1"/>
      <c r="N132" s="1"/>
      <c r="O132" s="1"/>
    </row>
    <row r="133" spans="1:15" x14ac:dyDescent="0.3">
      <c r="A133" s="26">
        <f>Prices!A118</f>
        <v>46106</v>
      </c>
      <c r="B133" s="27">
        <f>Prices!B118/Prices!B$2*100</f>
        <v>74.722842779571195</v>
      </c>
      <c r="C133" s="27">
        <f>Prices!C118/Prices!C$2*100</f>
        <v>70.398666337151198</v>
      </c>
      <c r="D133" s="27">
        <f>Prices!D118/Prices!D$2*100</f>
        <v>116.72450886032951</v>
      </c>
      <c r="E133" s="27">
        <f>Prices!E118/Prices!E$2*100</f>
        <v>116.43195004438726</v>
      </c>
      <c r="F133" s="27">
        <f>Prices!F118/Prices!F$2*100</f>
        <v>89.611680342895696</v>
      </c>
      <c r="G133" s="27">
        <f>Prices!G118/Prices!G$2*100</f>
        <v>92.849483696503526</v>
      </c>
      <c r="H133" s="1"/>
      <c r="I133" s="1"/>
      <c r="J133" s="1"/>
      <c r="K133" s="1"/>
      <c r="L133" s="1"/>
      <c r="M133" s="1"/>
      <c r="N133" s="1"/>
      <c r="O133" s="1"/>
    </row>
    <row r="134" spans="1:15" x14ac:dyDescent="0.3">
      <c r="A134" s="26">
        <f>Prices!A119</f>
        <v>46107</v>
      </c>
      <c r="B134" s="27">
        <f>Prices!B119/Prices!B$2*100</f>
        <v>73.259425738164992</v>
      </c>
      <c r="C134" s="27">
        <f>Prices!C119/Prices!C$2*100</f>
        <v>67.176376802402245</v>
      </c>
      <c r="D134" s="27">
        <f>Prices!D119/Prices!D$2*100</f>
        <v>116.53777199041311</v>
      </c>
      <c r="E134" s="27">
        <f>Prices!E119/Prices!E$2*100</f>
        <v>116.70033503461656</v>
      </c>
      <c r="F134" s="27">
        <f>Prices!F119/Prices!F$2*100</f>
        <v>87.945531576322907</v>
      </c>
      <c r="G134" s="27">
        <f>Prices!G119/Prices!G$2*100</f>
        <v>91.09217286334929</v>
      </c>
      <c r="H134" s="1"/>
      <c r="I134" s="1"/>
      <c r="J134" s="1"/>
      <c r="K134" s="1"/>
      <c r="L134" s="1"/>
      <c r="M134" s="1"/>
      <c r="N134" s="1"/>
      <c r="O134" s="1"/>
    </row>
    <row r="135" spans="1:15" x14ac:dyDescent="0.3">
      <c r="A135" s="26">
        <f>Prices!A120</f>
        <v>46108</v>
      </c>
      <c r="B135" s="27">
        <f>Prices!B120/Prices!B$2*100</f>
        <v>72.934216966455807</v>
      </c>
      <c r="C135" s="27">
        <f>Prices!C120/Prices!C$2*100</f>
        <v>66.957945223155605</v>
      </c>
      <c r="D135" s="27">
        <f>Prices!D120/Prices!D$2*100</f>
        <v>116.53777199041311</v>
      </c>
      <c r="E135" s="27">
        <f>Prices!E120/Prices!E$2*100</f>
        <v>114.88938910464125</v>
      </c>
      <c r="F135" s="27">
        <f>Prices!F120/Prices!F$2*100</f>
        <v>87.900501767276779</v>
      </c>
      <c r="G135" s="27">
        <f>Prices!G120/Prices!G$2*100</f>
        <v>91.441976005447927</v>
      </c>
      <c r="H135" s="1"/>
      <c r="I135" s="1"/>
      <c r="J135" s="1"/>
      <c r="K135" s="1"/>
      <c r="L135" s="1"/>
      <c r="M135" s="1"/>
      <c r="N135" s="1"/>
      <c r="O135" s="1"/>
    </row>
    <row r="136" spans="1:15" x14ac:dyDescent="0.3">
      <c r="A136" s="26">
        <f>Prices!A121</f>
        <v>46111</v>
      </c>
      <c r="B136" s="27">
        <f>Prices!B121/Prices!B$2*100</f>
        <v>71.189945281123073</v>
      </c>
      <c r="C136" s="27">
        <f>Prices!C121/Prices!C$2*100</f>
        <v>65.811001734330347</v>
      </c>
      <c r="D136" s="27">
        <f>Prices!D121/Prices!D$2*100</f>
        <v>115.41716205250148</v>
      </c>
      <c r="E136" s="27">
        <f>Prices!E121/Prices!E$2*100</f>
        <v>113.95038519361374</v>
      </c>
      <c r="F136" s="27">
        <f>Prices!F121/Prices!F$2*100</f>
        <v>86.099263573565636</v>
      </c>
      <c r="G136" s="27">
        <f>Prices!G121/Prices!G$2*100</f>
        <v>90.705028293001448</v>
      </c>
      <c r="H136" s="1"/>
      <c r="I136" s="1"/>
      <c r="J136" s="1"/>
      <c r="K136" s="1"/>
      <c r="L136" s="1"/>
      <c r="M136" s="1"/>
      <c r="N136" s="1"/>
      <c r="O136" s="1"/>
    </row>
    <row r="137" spans="1:15" x14ac:dyDescent="0.3">
      <c r="A137" s="26">
        <f>Prices!A122</f>
        <v>46112</v>
      </c>
      <c r="B137" s="27">
        <f>Prices!B122/Prices!B$2*100</f>
        <v>71.544718486624006</v>
      </c>
      <c r="C137" s="27">
        <f>Prices!C122/Prices!C$2*100</f>
        <v>64.99178762873521</v>
      </c>
      <c r="D137" s="27">
        <f>Prices!D122/Prices!D$2*100</f>
        <v>117.47155069920171</v>
      </c>
      <c r="E137" s="27">
        <f>Prices!E122/Prices!E$2*100</f>
        <v>113.81626140945407</v>
      </c>
      <c r="F137" s="27">
        <f>Prices!F122/Prices!F$2*100</f>
        <v>87.495233485861789</v>
      </c>
      <c r="G137" s="27">
        <f>Prices!G122/Prices!G$2*100</f>
        <v>90.841911559655998</v>
      </c>
      <c r="H137" s="1"/>
      <c r="I137" s="1"/>
      <c r="J137" s="1"/>
      <c r="K137" s="1"/>
      <c r="L137" s="1"/>
      <c r="M137" s="1"/>
      <c r="N137" s="1"/>
      <c r="O137" s="1"/>
    </row>
    <row r="138" spans="1:15" x14ac:dyDescent="0.3">
      <c r="A138" s="26">
        <f>Prices!A123</f>
        <v>46113</v>
      </c>
      <c r="B138" s="27">
        <f>Prices!B123/Prices!B$2*100</f>
        <v>73.407247907123718</v>
      </c>
      <c r="C138" s="27">
        <f>Prices!C123/Prices!C$2*100</f>
        <v>67.012566787027296</v>
      </c>
      <c r="D138" s="27">
        <f>Prices!D123/Prices!D$2*100</f>
        <v>121.67364924795714</v>
      </c>
      <c r="E138" s="27">
        <f>Prices!E123/Prices!E$2*100</f>
        <v>117.37095395541482</v>
      </c>
      <c r="F138" s="27">
        <f>Prices!F123/Prices!F$2*100</f>
        <v>90.152060967382369</v>
      </c>
      <c r="G138" s="27">
        <f>Prices!G123/Prices!G$2*100</f>
        <v>92.695858464589605</v>
      </c>
      <c r="H138" s="1"/>
      <c r="I138" s="1"/>
      <c r="J138" s="1"/>
      <c r="K138" s="1"/>
      <c r="L138" s="1"/>
      <c r="M138" s="1"/>
      <c r="N138" s="1"/>
      <c r="O138" s="1"/>
    </row>
    <row r="139" spans="1:15" x14ac:dyDescent="0.3">
      <c r="A139" s="26">
        <f>Prices!A124</f>
        <v>46114</v>
      </c>
      <c r="B139" s="27">
        <f>Prices!B124/Prices!B$2*100</f>
        <v>72.313378811019263</v>
      </c>
      <c r="C139" s="27">
        <f>Prices!C124/Prices!C$2*100</f>
        <v>64.718734485616864</v>
      </c>
      <c r="D139" s="27">
        <f>Prices!D124/Prices!D$2*100</f>
        <v>121.39349676347922</v>
      </c>
      <c r="E139" s="27">
        <f>Prices!E124/Prices!E$2*100</f>
        <v>115.56014544734954</v>
      </c>
      <c r="F139" s="27">
        <f>Prices!F124/Prices!F$2*100</f>
        <v>89.161382252434592</v>
      </c>
      <c r="G139" s="27">
        <f>Prices!G124/Prices!G$2*100</f>
        <v>92.045368395082789</v>
      </c>
      <c r="H139" s="1"/>
      <c r="I139" s="1"/>
      <c r="J139" s="1"/>
      <c r="K139" s="1"/>
      <c r="L139" s="1"/>
      <c r="M139" s="1"/>
      <c r="N139" s="1"/>
      <c r="O139" s="1"/>
    </row>
    <row r="140" spans="1:15" x14ac:dyDescent="0.3">
      <c r="A140" s="26">
        <f>Prices!A125</f>
        <v>46120</v>
      </c>
      <c r="B140" s="27">
        <f>Prices!B125/Prices!B$2*100</f>
        <v>75.092390724872956</v>
      </c>
      <c r="C140" s="27">
        <f>Prices!C125/Prices!C$2*100</f>
        <v>69.087912832950963</v>
      </c>
      <c r="D140" s="27">
        <f>Prices!D125/Prices!D$2*100</f>
        <v>129.42412576195062</v>
      </c>
      <c r="E140" s="27">
        <f>Prices!E125/Prices!E$2*100</f>
        <v>118.91351489516082</v>
      </c>
      <c r="F140" s="27">
        <f>Prices!F125/Prices!F$2*100</f>
        <v>92.853918257949076</v>
      </c>
      <c r="G140" s="27">
        <f>Prices!G125/Prices!G$2*100</f>
        <v>94.890997488994728</v>
      </c>
      <c r="H140" s="1"/>
      <c r="I140" s="1"/>
      <c r="J140" s="1"/>
      <c r="K140" s="1"/>
      <c r="L140" s="1"/>
      <c r="M140" s="1"/>
      <c r="N140" s="1"/>
      <c r="O140" s="1"/>
    </row>
    <row r="141" spans="1:15" x14ac:dyDescent="0.3">
      <c r="A141" s="26">
        <f>Prices!A126</f>
        <v>46121</v>
      </c>
      <c r="B141" s="27">
        <f>Prices!B126/Prices!B$2*100</f>
        <v>75.166294332257294</v>
      </c>
      <c r="C141" s="27">
        <f>Prices!C126/Prices!C$2*100</f>
        <v>67.121755238530568</v>
      </c>
      <c r="D141" s="27">
        <f>Prices!D126/Prices!D$2*100</f>
        <v>129.70427824642852</v>
      </c>
      <c r="E141" s="27">
        <f>Prices!E126/Prices!E$2*100</f>
        <v>118.71232921892134</v>
      </c>
      <c r="F141" s="27">
        <f>Prices!F126/Prices!F$2*100</f>
        <v>91.908269352047398</v>
      </c>
      <c r="G141" s="27">
        <f>Prices!G126/Prices!G$2*100</f>
        <v>94.375666062893387</v>
      </c>
      <c r="H141" s="1"/>
      <c r="I141" s="1"/>
      <c r="J141" s="1"/>
      <c r="K141" s="1"/>
      <c r="L141" s="1"/>
      <c r="M141" s="1"/>
      <c r="N141" s="1"/>
      <c r="O141" s="1"/>
    </row>
    <row r="142" spans="1:15" x14ac:dyDescent="0.3">
      <c r="A142" s="26">
        <f>Prices!A127</f>
        <v>46122</v>
      </c>
      <c r="B142" s="27">
        <f>Prices!B127/Prices!B$2*100</f>
        <v>74.575020610612484</v>
      </c>
      <c r="C142" s="27">
        <f>Prices!C127/Prices!C$2*100</f>
        <v>68.541751870474172</v>
      </c>
      <c r="D142" s="27">
        <f>Prices!D127/Prices!D$2*100</f>
        <v>130.45132008530072</v>
      </c>
      <c r="E142" s="27">
        <f>Prices!E127/Prices!E$2*100</f>
        <v>119.31602366954976</v>
      </c>
      <c r="F142" s="27">
        <f>Prices!F127/Prices!F$2*100</f>
        <v>91.953299161093511</v>
      </c>
      <c r="G142" s="27">
        <f>Prices!G127/Prices!G$2*100</f>
        <v>94.892901684150317</v>
      </c>
      <c r="H142" s="1"/>
      <c r="I142" s="1"/>
      <c r="J142" s="1"/>
      <c r="K142" s="1"/>
      <c r="L142" s="1"/>
      <c r="M142" s="1"/>
      <c r="N142" s="1"/>
      <c r="O142" s="1"/>
    </row>
    <row r="143" spans="1:15" x14ac:dyDescent="0.3">
      <c r="A143" s="26">
        <f>Prices!A128</f>
        <v>46125</v>
      </c>
      <c r="B143" s="27">
        <f>Prices!B128/Prices!B$2*100</f>
        <v>72.431636546186255</v>
      </c>
      <c r="C143" s="27">
        <f>Prices!C128/Prices!C$2*100</f>
        <v>67.285619930145629</v>
      </c>
      <c r="D143" s="27">
        <f>Prices!D128/Prices!D$2*100</f>
        <v>129.61086263186701</v>
      </c>
      <c r="E143" s="27">
        <f>Prices!E128/Prices!E$2*100</f>
        <v>117.23683017125516</v>
      </c>
      <c r="F143" s="27">
        <f>Prices!F128/Prices!F$2*100</f>
        <v>91.367888727560725</v>
      </c>
      <c r="G143" s="27">
        <f>Prices!G128/Prices!G$2*100</f>
        <v>94.040156844553081</v>
      </c>
      <c r="H143" s="1"/>
      <c r="I143" s="1"/>
      <c r="J143" s="1"/>
      <c r="K143" s="1"/>
      <c r="L143" s="1"/>
      <c r="M143" s="1"/>
      <c r="N143" s="1"/>
      <c r="O143" s="1"/>
    </row>
    <row r="144" spans="1:15" x14ac:dyDescent="0.3">
      <c r="A144" s="26">
        <f>Prices!A129</f>
        <v>46126</v>
      </c>
      <c r="B144" s="27">
        <f>Prices!B129/Prices!B$2*100</f>
        <v>72.904667486854152</v>
      </c>
      <c r="C144" s="27">
        <f>Prices!C129/Prices!C$2*100</f>
        <v>67.995645584237494</v>
      </c>
      <c r="D144" s="27">
        <f>Prices!D129/Prices!D$2*100</f>
        <v>131.66525127856727</v>
      </c>
      <c r="E144" s="27">
        <f>Prices!E129/Prices!E$2*100</f>
        <v>116.70033503461656</v>
      </c>
      <c r="F144" s="27">
        <f>Prices!F129/Prices!F$2*100</f>
        <v>91.683120306816861</v>
      </c>
      <c r="G144" s="27">
        <f>Prices!G129/Prices!G$2*100</f>
        <v>94.815140452111706</v>
      </c>
      <c r="H144" s="1"/>
      <c r="I144" s="1"/>
      <c r="J144" s="1"/>
      <c r="K144" s="1"/>
      <c r="L144" s="1"/>
      <c r="M144" s="1"/>
      <c r="N144" s="1"/>
      <c r="O144" s="1"/>
    </row>
    <row r="145" spans="1:15" x14ac:dyDescent="0.3">
      <c r="A145" s="26">
        <f>Prices!A130</f>
        <v>46127</v>
      </c>
      <c r="B145" s="27">
        <f>Prices!B130/Prices!B$2*100</f>
        <v>73.762006158434573</v>
      </c>
      <c r="C145" s="27">
        <f>Prices!C130/Prices!C$2*100</f>
        <v>70.234856321776235</v>
      </c>
      <c r="D145" s="27">
        <f>Prices!D130/Prices!D$2*100</f>
        <v>132.03872501840004</v>
      </c>
      <c r="E145" s="27">
        <f>Prices!E130/Prices!E$2*100</f>
        <v>112.47488614594756</v>
      </c>
      <c r="F145" s="27">
        <f>Prices!F130/Prices!F$2*100</f>
        <v>93.214156730317967</v>
      </c>
      <c r="G145" s="27">
        <f>Prices!G130/Prices!G$2*100</f>
        <v>95.089995411058254</v>
      </c>
      <c r="H145" s="1"/>
      <c r="I145" s="1"/>
      <c r="J145" s="1"/>
      <c r="K145" s="1"/>
      <c r="L145" s="1"/>
      <c r="M145" s="1"/>
      <c r="N145" s="1"/>
      <c r="O145" s="1"/>
    </row>
    <row r="146" spans="1:15" x14ac:dyDescent="0.3">
      <c r="A146" s="26">
        <f>Prices!A131</f>
        <v>46128</v>
      </c>
      <c r="B146" s="27">
        <f>Prices!B131/Prices!B$2*100</f>
        <v>76.422760337121275</v>
      </c>
      <c r="C146" s="27">
        <f>Prices!C131/Prices!C$2*100</f>
        <v>74.167116834376912</v>
      </c>
      <c r="D146" s="27">
        <f>Prices!D131/Prices!D$2*100</f>
        <v>132.87918247183379</v>
      </c>
      <c r="E146" s="27">
        <f>Prices!E131/Prices!E$2*100</f>
        <v>113.01151870449617</v>
      </c>
      <c r="F146" s="27">
        <f>Prices!F131/Prices!F$2*100</f>
        <v>92.583716487739053</v>
      </c>
      <c r="G146" s="27">
        <f>Prices!G131/Prices!G$2*100</f>
        <v>96.727909250046125</v>
      </c>
      <c r="H146" s="1"/>
      <c r="I146" s="1"/>
      <c r="J146" s="1"/>
      <c r="K146" s="1"/>
      <c r="L146" s="1"/>
      <c r="M146" s="1"/>
      <c r="N146" s="1"/>
      <c r="O146" s="1"/>
    </row>
    <row r="147" spans="1:15" x14ac:dyDescent="0.3">
      <c r="A147" s="26">
        <f>Prices!A132</f>
        <v>46129</v>
      </c>
      <c r="B147" s="27">
        <f>Prices!B132/Prices!B$2*100</f>
        <v>75.461938670174717</v>
      </c>
      <c r="C147" s="27">
        <f>Prices!C132/Prices!C$2*100</f>
        <v>74.494791541366951</v>
      </c>
      <c r="D147" s="27">
        <f>Prices!D132/Prices!D$2*100</f>
        <v>132.13214063296158</v>
      </c>
      <c r="E147" s="27">
        <f>Prices!E132/Prices!E$2*100</f>
        <v>109.45682615853541</v>
      </c>
      <c r="F147" s="27">
        <f>Prices!F132/Prices!F$2*100</f>
        <v>91.998328970139625</v>
      </c>
      <c r="G147" s="27">
        <f>Prices!G132/Prices!G$2*100</f>
        <v>95.870619408847745</v>
      </c>
      <c r="H147" s="1"/>
      <c r="I147" s="1"/>
      <c r="J147" s="1"/>
      <c r="K147" s="1"/>
      <c r="L147" s="1"/>
      <c r="M147" s="1"/>
      <c r="N147" s="1"/>
      <c r="O147" s="1"/>
    </row>
    <row r="148" spans="1:15" x14ac:dyDescent="0.3">
      <c r="A148" s="26">
        <f>Prices!A133</f>
        <v>46132</v>
      </c>
      <c r="B148" s="27">
        <f>Prices!B133/Prices!B$2*100</f>
        <v>77.235774789299199</v>
      </c>
      <c r="C148" s="27">
        <f>Prices!C133/Prices!C$2*100</f>
        <v>74.82246624835696</v>
      </c>
      <c r="D148" s="27">
        <f>Prices!D133/Prices!D$2*100</f>
        <v>132.78576685727228</v>
      </c>
      <c r="E148" s="27">
        <f>Prices!E133/Prices!E$2*100</f>
        <v>112.00545290138879</v>
      </c>
      <c r="F148" s="27">
        <f>Prices!F133/Prices!F$2*100</f>
        <v>92.673799021764637</v>
      </c>
      <c r="G148" s="27">
        <f>Prices!G133/Prices!G$2*100</f>
        <v>96.6062786012467</v>
      </c>
      <c r="H148" s="1"/>
      <c r="I148" s="1"/>
      <c r="J148" s="1"/>
      <c r="K148" s="1"/>
      <c r="L148" s="1"/>
      <c r="M148" s="1"/>
      <c r="N148" s="1"/>
      <c r="O148" s="1"/>
    </row>
    <row r="149" spans="1:15" x14ac:dyDescent="0.3">
      <c r="A149" s="26">
        <f>Prices!A134</f>
        <v>46133</v>
      </c>
      <c r="B149" s="27">
        <f>Prices!B134/Prices!B$2*100</f>
        <v>76.718404675038727</v>
      </c>
      <c r="C149" s="27">
        <f>Prices!C134/Prices!C$2*100</f>
        <v>74.440169977495259</v>
      </c>
      <c r="D149" s="27">
        <f>Prices!D134/Prices!D$2*100</f>
        <v>134.18643492045518</v>
      </c>
      <c r="E149" s="27">
        <f>Prices!E134/Prices!E$2*100</f>
        <v>111.06644899036122</v>
      </c>
      <c r="F149" s="27">
        <f>Prices!F134/Prices!F$2*100</f>
        <v>93.934656590989093</v>
      </c>
      <c r="G149" s="27">
        <f>Prices!G134/Prices!G$2*100</f>
        <v>97.069538205665694</v>
      </c>
      <c r="H149" s="1"/>
      <c r="I149" s="1"/>
      <c r="J149" s="1"/>
      <c r="K149" s="1"/>
      <c r="L149" s="1"/>
      <c r="M149" s="1"/>
      <c r="N149" s="1"/>
      <c r="O149" s="1"/>
    </row>
    <row r="150" spans="1:15" x14ac:dyDescent="0.3">
      <c r="A150" s="26">
        <f>Prices!A135</f>
        <v>46134</v>
      </c>
      <c r="B150" s="27">
        <f>Prices!B135/Prices!B$2*100</f>
        <v>74.501117003228174</v>
      </c>
      <c r="C150" s="27">
        <f>Prices!C135/Prices!C$2*100</f>
        <v>71.818662969094788</v>
      </c>
      <c r="D150" s="27">
        <f>Prices!D135/Prices!D$2*100</f>
        <v>134.46658740493308</v>
      </c>
      <c r="E150" s="27">
        <f>Prices!E135/Prices!E$2*100</f>
        <v>111.60308154890983</v>
      </c>
      <c r="F150" s="27">
        <f>Prices!F135/Prices!F$2*100</f>
        <v>93.799567163850767</v>
      </c>
      <c r="G150" s="27">
        <f>Prices!G135/Prices!G$2*100</f>
        <v>95.881284147728152</v>
      </c>
      <c r="H150" s="1"/>
      <c r="I150" s="1"/>
      <c r="J150" s="1"/>
      <c r="K150" s="1"/>
      <c r="L150" s="1"/>
      <c r="M150" s="1"/>
      <c r="N150" s="1"/>
      <c r="O150" s="1"/>
    </row>
    <row r="151" spans="1:15" x14ac:dyDescent="0.3">
      <c r="A151" s="26">
        <f>Prices!A136</f>
        <v>46135</v>
      </c>
      <c r="B151" s="27">
        <f>Prices!B136/Prices!B$2*100</f>
        <v>73.200296870581511</v>
      </c>
      <c r="C151" s="27">
        <f>Prices!C136/Prices!C$2*100</f>
        <v>71.217880442746335</v>
      </c>
      <c r="D151" s="27">
        <f>Prices!D136/Prices!D$2*100</f>
        <v>131.75866689312875</v>
      </c>
      <c r="E151" s="27">
        <f>Prices!E136/Prices!E$2*100</f>
        <v>109.65801183477488</v>
      </c>
      <c r="F151" s="27">
        <f>Prices!F136/Prices!F$2*100</f>
        <v>92.808888448902977</v>
      </c>
      <c r="G151" s="27">
        <f>Prices!G136/Prices!G$2*100</f>
        <v>94.972280162767348</v>
      </c>
      <c r="H151" s="1"/>
      <c r="I151" s="1"/>
      <c r="J151" s="1"/>
      <c r="K151" s="1"/>
      <c r="L151" s="1"/>
      <c r="M151" s="1"/>
      <c r="N151" s="1"/>
      <c r="O151" s="1"/>
    </row>
    <row r="152" spans="1:15" x14ac:dyDescent="0.3">
      <c r="A152" s="26">
        <f>Prices!A137</f>
        <v>46136</v>
      </c>
      <c r="B152" s="27">
        <f>Prices!B137/Prices!B$2*100</f>
        <v>72.934216966455807</v>
      </c>
      <c r="C152" s="27">
        <f>Prices!C137/Prices!C$2*100</f>
        <v>71.982527660709877</v>
      </c>
      <c r="D152" s="27">
        <f>Prices!D137/Prices!D$2*100</f>
        <v>130.73147256977867</v>
      </c>
      <c r="E152" s="27">
        <f>Prices!E137/Prices!E$2*100</f>
        <v>109.52388805061521</v>
      </c>
      <c r="F152" s="27">
        <f>Prices!F137/Prices!F$2*100</f>
        <v>92.673799021764637</v>
      </c>
      <c r="G152" s="27">
        <f>Prices!G137/Prices!G$2*100</f>
        <v>95.202685944226346</v>
      </c>
      <c r="H152" s="1"/>
      <c r="I152" s="1"/>
      <c r="J152" s="1"/>
      <c r="K152" s="1"/>
      <c r="L152" s="1"/>
      <c r="M152" s="1"/>
      <c r="N152" s="1"/>
      <c r="O152" s="1"/>
    </row>
    <row r="153" spans="1:15" x14ac:dyDescent="0.3">
      <c r="A153" s="26">
        <f>Prices!A138</f>
        <v>46139</v>
      </c>
      <c r="B153" s="27">
        <f>Prices!B138/Prices!B$2*100</f>
        <v>70.746493728437002</v>
      </c>
      <c r="C153" s="27">
        <f>Prices!C138/Prices!C$2*100</f>
        <v>71.108691991243063</v>
      </c>
      <c r="D153" s="27">
        <f>Prices!D138/Prices!D$2*100</f>
        <v>130.91820943969503</v>
      </c>
      <c r="E153" s="27">
        <f>Prices!E138/Prices!E$2*100</f>
        <v>111.60308154890983</v>
      </c>
      <c r="F153" s="27">
        <f>Prices!F138/Prices!F$2*100</f>
        <v>92.763858639856863</v>
      </c>
      <c r="G153" s="27">
        <f>Prices!G138/Prices!G$2*100</f>
        <v>95.010581018059909</v>
      </c>
      <c r="H153" s="1"/>
      <c r="I153" s="1"/>
      <c r="J153" s="1"/>
      <c r="K153" s="1"/>
      <c r="L153" s="1"/>
      <c r="M153" s="1"/>
      <c r="N153" s="1"/>
      <c r="O153" s="1"/>
    </row>
    <row r="154" spans="1:15" x14ac:dyDescent="0.3">
      <c r="A154" s="26">
        <f>Prices!A139</f>
        <v>46140</v>
      </c>
      <c r="B154" s="27">
        <f>Prices!B139/Prices!B$2*100</f>
        <v>70.036962271625214</v>
      </c>
      <c r="C154" s="27">
        <f>Prices!C139/Prices!C$2*100</f>
        <v>69.087912832950963</v>
      </c>
      <c r="D154" s="27">
        <f>Prices!D139/Prices!D$2*100</f>
        <v>131.29177753873446</v>
      </c>
      <c r="E154" s="27">
        <f>Prices!E139/Prices!E$2*100</f>
        <v>111.53588223492</v>
      </c>
      <c r="F154" s="27">
        <f>Prices!F139/Prices!F$2*100</f>
        <v>91.773179924909073</v>
      </c>
      <c r="G154" s="27">
        <f>Prices!G139/Prices!G$2*100</f>
        <v>94.109529136771343</v>
      </c>
      <c r="H154" s="1"/>
      <c r="I154" s="1"/>
      <c r="J154" s="1"/>
      <c r="K154" s="1"/>
      <c r="L154" s="1"/>
      <c r="M154" s="1"/>
      <c r="N154" s="1"/>
      <c r="O154" s="1"/>
    </row>
    <row r="155" spans="1:15" x14ac:dyDescent="0.3">
      <c r="A155" s="26">
        <f>Prices!A140</f>
        <v>46141</v>
      </c>
      <c r="B155" s="27">
        <f>Prices!B140/Prices!B$2*100</f>
        <v>70.835187029812232</v>
      </c>
      <c r="C155" s="27">
        <f>Prices!C140/Prices!C$2*100</f>
        <v>71.327123570489704</v>
      </c>
      <c r="D155" s="27">
        <f>Prices!D140/Prices!D$2*100</f>
        <v>131.66525127856727</v>
      </c>
      <c r="E155" s="27">
        <f>Prices!E140/Prices!E$2*100</f>
        <v>113.95038519361374</v>
      </c>
      <c r="F155" s="27">
        <f>Prices!F140/Prices!F$2*100</f>
        <v>94.520067024521893</v>
      </c>
      <c r="G155" s="27">
        <f>Prices!G140/Prices!G$2*100</f>
        <v>95.692915416637007</v>
      </c>
      <c r="H155" s="1"/>
      <c r="I155" s="1"/>
      <c r="J155" s="1"/>
      <c r="K155" s="1"/>
      <c r="L155" s="1"/>
      <c r="M155" s="1"/>
      <c r="N155" s="1"/>
      <c r="O155" s="1"/>
    </row>
    <row r="156" spans="1:15" x14ac:dyDescent="0.3">
      <c r="A156" s="26">
        <f>Prices!A141</f>
        <v>46142</v>
      </c>
      <c r="B156" s="27">
        <f>Prices!B141/Prices!B$2*100</f>
        <v>69.150029257872887</v>
      </c>
      <c r="C156" s="27">
        <f>Prices!C141/Prices!C$2*100</f>
        <v>68.81485968983263</v>
      </c>
      <c r="D156" s="27">
        <f>Prices!D141/Prices!D$2*100</f>
        <v>130.91820943969503</v>
      </c>
      <c r="E156" s="27">
        <f>Prices!E141/Prices!E$2*100</f>
        <v>114.08464639968336</v>
      </c>
      <c r="F156" s="27">
        <f>Prices!F141/Prices!F$2*100</f>
        <v>92.853918257949076</v>
      </c>
      <c r="G156" s="27">
        <f>Prices!G141/Prices!G$2*100</f>
        <v>94.464092033812392</v>
      </c>
      <c r="H156" s="1"/>
      <c r="I156" s="1"/>
      <c r="J156" s="1"/>
      <c r="K156" s="1"/>
      <c r="L156" s="1"/>
      <c r="M156" s="1"/>
      <c r="N156" s="1"/>
      <c r="O156" s="1"/>
    </row>
    <row r="157" spans="1:15" x14ac:dyDescent="0.3">
      <c r="A157" s="26">
        <f>Prices!A142</f>
        <v>46146</v>
      </c>
      <c r="B157" s="27">
        <f>Prices!B142/Prices!B$2*100</f>
        <v>69.918704536458236</v>
      </c>
      <c r="C157" s="27">
        <f>Prices!C142/Prices!C$2*100</f>
        <v>71.927906096838186</v>
      </c>
      <c r="D157" s="27">
        <f>Prices!D142/Prices!D$2*100</f>
        <v>133.90637679518395</v>
      </c>
      <c r="E157" s="27">
        <f>Prices!E142/Prices!E$2*100</f>
        <v>115.35882234920005</v>
      </c>
      <c r="F157" s="27">
        <f>Prices!F142/Prices!F$2*100</f>
        <v>93.439305775548519</v>
      </c>
      <c r="G157" s="27">
        <f>Prices!G142/Prices!G$2*100</f>
        <v>95.634430312579241</v>
      </c>
      <c r="H157" s="1"/>
      <c r="I157" s="1"/>
      <c r="J157" s="1"/>
      <c r="K157" s="1"/>
      <c r="L157" s="1"/>
      <c r="M157" s="1"/>
      <c r="N157" s="1"/>
      <c r="O157" s="1"/>
    </row>
    <row r="158" spans="1:15" x14ac:dyDescent="0.3">
      <c r="A158" s="26">
        <f>Prices!A143</f>
        <v>46147</v>
      </c>
      <c r="B158" s="27">
        <f>Prices!B143/Prices!B$2*100</f>
        <v>69.800446801291272</v>
      </c>
      <c r="C158" s="27">
        <f>Prices!C143/Prices!C$2*100</f>
        <v>71.654798277479728</v>
      </c>
      <c r="D158" s="27">
        <f>Prices!D143/Prices!D$2*100</f>
        <v>126.99626337541754</v>
      </c>
      <c r="E158" s="27">
        <f>Prices!E143/Prices!E$2*100</f>
        <v>115.22469856504041</v>
      </c>
      <c r="F158" s="27">
        <f>Prices!F143/Prices!F$2*100</f>
        <v>94.159805636219644</v>
      </c>
      <c r="G158" s="27">
        <f>Prices!G143/Prices!G$2*100</f>
        <v>94.911482978794936</v>
      </c>
      <c r="H158" s="1"/>
      <c r="I158" s="1"/>
      <c r="J158" s="1"/>
      <c r="K158" s="1"/>
      <c r="L158" s="1"/>
      <c r="M158" s="1"/>
      <c r="N158" s="1"/>
      <c r="O158" s="1"/>
    </row>
    <row r="159" spans="1:15" x14ac:dyDescent="0.3">
      <c r="A159" s="26">
        <f>Prices!A144</f>
        <v>46148</v>
      </c>
      <c r="B159" s="27">
        <f>Prices!B144/Prices!B$2*100</f>
        <v>68.440512755251206</v>
      </c>
      <c r="C159" s="27">
        <f>Prices!C144/Prices!C$2*100</f>
        <v>73.293281164910098</v>
      </c>
      <c r="D159" s="27">
        <f>Prices!D144/Prices!D$2*100</f>
        <v>131.19836192417296</v>
      </c>
      <c r="E159" s="27">
        <f>Prices!E144/Prices!E$2*100</f>
        <v>117.303892063335</v>
      </c>
      <c r="F159" s="27">
        <f>Prices!F144/Prices!F$2*100</f>
        <v>94.835275687844671</v>
      </c>
      <c r="G159" s="27">
        <f>Prices!G144/Prices!G$2*100</f>
        <v>96.066496444470744</v>
      </c>
      <c r="H159" s="1"/>
      <c r="I159" s="1"/>
      <c r="J159" s="1"/>
      <c r="K159" s="1"/>
      <c r="L159" s="1"/>
      <c r="M159" s="1"/>
      <c r="N159" s="1"/>
      <c r="O159" s="1"/>
    </row>
    <row r="160" spans="1:15" x14ac:dyDescent="0.3">
      <c r="A160" s="26">
        <f>Prices!A145</f>
        <v>46149</v>
      </c>
      <c r="B160" s="27">
        <f>Prices!B145/Prices!B$2*100</f>
        <v>70.569107125686543</v>
      </c>
      <c r="C160" s="27">
        <f>Prices!C145/Prices!C$2*100</f>
        <v>76.952488534392444</v>
      </c>
      <c r="D160" s="27">
        <f>Prices!D145/Prices!D$2*100</f>
        <v>133.62622431070599</v>
      </c>
      <c r="E160" s="27">
        <f>Prices!E145/Prices!E$2*100</f>
        <v>119.58427123786907</v>
      </c>
      <c r="F160" s="27">
        <f>Prices!F145/Prices!F$2*100</f>
        <v>96.141163066115226</v>
      </c>
      <c r="G160" s="27">
        <f>Prices!G145/Prices!G$2*100</f>
        <v>97.578198718676745</v>
      </c>
      <c r="H160" s="1"/>
      <c r="I160" s="1"/>
      <c r="J160" s="1"/>
      <c r="K160" s="1"/>
      <c r="L160" s="1"/>
      <c r="M160" s="1"/>
      <c r="N160" s="1"/>
      <c r="O160" s="1"/>
    </row>
    <row r="161" spans="1:15" x14ac:dyDescent="0.3">
      <c r="A161" s="26">
        <f>Prices!A146</f>
        <v>46150</v>
      </c>
      <c r="B161" s="27">
        <f>Prices!B146/Prices!B$2*100</f>
        <v>69.682189066124295</v>
      </c>
      <c r="C161" s="27">
        <f>Prices!C146/Prices!C$2*100</f>
        <v>75.914788173310555</v>
      </c>
      <c r="D161" s="27">
        <f>Prices!D146/Prices!D$2*100</f>
        <v>129.5175413765121</v>
      </c>
      <c r="E161" s="27">
        <f>Prices!E146/Prices!E$2*100</f>
        <v>116.16370247606795</v>
      </c>
      <c r="F161" s="27">
        <f>Prices!F146/Prices!F$2*100</f>
        <v>95.510745739469684</v>
      </c>
      <c r="G161" s="27">
        <f>Prices!G146/Prices!G$2*100</f>
        <v>96.725897678219894</v>
      </c>
      <c r="H161" s="1"/>
      <c r="I161" s="1"/>
      <c r="J161" s="1"/>
      <c r="K161" s="1"/>
      <c r="L161" s="1"/>
      <c r="M161" s="1"/>
      <c r="N161" s="1"/>
      <c r="O161" s="1"/>
    </row>
    <row r="162" spans="1:15" x14ac:dyDescent="0.3">
      <c r="A162" s="26">
        <f>Prices!A147</f>
        <v>46153</v>
      </c>
      <c r="B162" s="27">
        <f>Prices!B147/Prices!B$2*100</f>
        <v>68.647448837603335</v>
      </c>
      <c r="C162" s="27">
        <f>Prices!C147/Prices!C$2*100</f>
        <v>73.129416473295024</v>
      </c>
      <c r="D162" s="27">
        <f>Prices!D147/Prices!D$2*100</f>
        <v>131.85198814848366</v>
      </c>
      <c r="E162" s="27">
        <f>Prices!E147/Prices!E$2*100</f>
        <v>116.16370247606795</v>
      </c>
      <c r="F162" s="27">
        <f>Prices!F147/Prices!F$2*100</f>
        <v>95.780924593746334</v>
      </c>
      <c r="G162" s="27">
        <f>Prices!G147/Prices!G$2*100</f>
        <v>96.774011588493423</v>
      </c>
      <c r="H162" s="1"/>
      <c r="I162" s="1"/>
      <c r="J162" s="1"/>
      <c r="K162" s="1"/>
      <c r="L162" s="1"/>
      <c r="M162" s="1"/>
      <c r="N162" s="1"/>
      <c r="O162" s="1"/>
    </row>
    <row r="163" spans="1:15" x14ac:dyDescent="0.3">
      <c r="A163" s="26">
        <f>Prices!A148</f>
        <v>46154</v>
      </c>
      <c r="B163" s="27">
        <f>Prices!B148/Prices!B$2*100</f>
        <v>67.583144175290627</v>
      </c>
      <c r="C163" s="27">
        <f>Prices!C148/Prices!C$2*100</f>
        <v>72.801741766305</v>
      </c>
      <c r="D163" s="27">
        <f>Prices!D148/Prices!D$2*100</f>
        <v>129.42412576195062</v>
      </c>
      <c r="E163" s="27">
        <f>Prices!E148/Prices!E$2*100</f>
        <v>115.96251679982848</v>
      </c>
      <c r="F163" s="27">
        <f>Prices!F148/Prices!F$2*100</f>
        <v>95.420686121377457</v>
      </c>
      <c r="G163" s="27">
        <f>Prices!G148/Prices!G$2*100</f>
        <v>96.558050351310257</v>
      </c>
      <c r="H163" s="1"/>
      <c r="I163" s="1"/>
      <c r="J163" s="1"/>
      <c r="K163" s="1"/>
      <c r="L163" s="1"/>
      <c r="M163" s="1"/>
      <c r="N163" s="1"/>
      <c r="O163" s="1"/>
    </row>
    <row r="164" spans="1:15" x14ac:dyDescent="0.3">
      <c r="A164" s="26">
        <f>Prices!A149</f>
        <v>46155</v>
      </c>
      <c r="B164" s="27">
        <f>Prices!B149/Prices!B$2*100</f>
        <v>68.38138388766771</v>
      </c>
      <c r="C164" s="27">
        <f>Prices!C149/Prices!C$2*100</f>
        <v>72.528688623186653</v>
      </c>
      <c r="D164" s="27">
        <f>Prices!D149/Prices!D$2*100</f>
        <v>131.75866689312875</v>
      </c>
      <c r="E164" s="27">
        <f>Prices!E149/Prices!E$2*100</f>
        <v>116.63313572062674</v>
      </c>
      <c r="F164" s="27">
        <f>Prices!F149/Prices!F$2*100</f>
        <v>95.420686121377457</v>
      </c>
      <c r="G164" s="27">
        <f>Prices!G149/Prices!G$2*100</f>
        <v>96.706579405812036</v>
      </c>
      <c r="H164" s="1"/>
      <c r="I164" s="1"/>
      <c r="J164" s="1"/>
      <c r="K164" s="1"/>
      <c r="L164" s="1"/>
      <c r="M164" s="1"/>
      <c r="N164" s="1"/>
      <c r="O164" s="1"/>
    </row>
    <row r="165" spans="1:15" x14ac:dyDescent="0.3">
      <c r="A165" s="26">
        <f>Prices!A150</f>
        <v>46156</v>
      </c>
      <c r="B165" s="27">
        <f>Prices!B150/Prices!B$2*100</f>
        <v>68.02661068216679</v>
      </c>
      <c r="C165" s="27">
        <f>Prices!C150/Prices!C$2*100</f>
        <v>75.314005646962073</v>
      </c>
      <c r="D165" s="27">
        <f>Prices!D150/Prices!D$2*100</f>
        <v>131.9305893676046</v>
      </c>
      <c r="E165" s="27">
        <f>Prices!E150/Prices!E$2*100</f>
        <v>117.63920152373413</v>
      </c>
      <c r="F165" s="27">
        <f>Prices!F150/Prices!F$2*100</f>
        <v>95.37565631233133</v>
      </c>
      <c r="G165" s="27">
        <f>Prices!G150/Prices!G$2*100</f>
        <v>96.708776779590494</v>
      </c>
      <c r="H165" s="1"/>
      <c r="I165" s="1"/>
      <c r="J165" s="1"/>
      <c r="K165" s="1"/>
      <c r="L165" s="1"/>
      <c r="M165" s="1"/>
      <c r="N165" s="1"/>
      <c r="O165" s="1"/>
    </row>
    <row r="166" spans="1:15" x14ac:dyDescent="0.3">
      <c r="A166" s="26">
        <f>Prices!A151</f>
        <v>46157</v>
      </c>
      <c r="B166" s="27">
        <f>Prices!B151/Prices!B$2*100</f>
        <v>68.250923533393987</v>
      </c>
      <c r="C166" s="27">
        <f>Prices!C151/Prices!C$2*100</f>
        <v>72.255580803828209</v>
      </c>
      <c r="D166" s="27">
        <f>Prices!D151/Prices!D$2*100</f>
        <v>130.8977334918568</v>
      </c>
      <c r="E166" s="27">
        <f>Prices!E151/Prices!E$2*100</f>
        <v>117.50507773957449</v>
      </c>
      <c r="F166" s="27">
        <f>Prices!F151/Prices!F$2*100</f>
        <v>93.754537354804654</v>
      </c>
      <c r="G166" s="27">
        <f>Prices!G151/Prices!G$2*100</f>
        <v>95.146469676236364</v>
      </c>
      <c r="H166" s="1"/>
      <c r="I166" s="1"/>
      <c r="J166" s="1"/>
      <c r="K166" s="1"/>
      <c r="L166" s="1"/>
      <c r="M166" s="1"/>
      <c r="N166" s="1"/>
      <c r="O166" s="1"/>
    </row>
    <row r="167" spans="1:15" x14ac:dyDescent="0.3">
      <c r="A167" s="26">
        <f>Prices!A152</f>
        <v>46160</v>
      </c>
      <c r="B167" s="27">
        <f>Prices!B152/Prices!B$2*100</f>
        <v>67.17422184750346</v>
      </c>
      <c r="C167" s="27">
        <f>Prices!C152/Prices!C$2*100</f>
        <v>71.927906096838186</v>
      </c>
      <c r="D167" s="27">
        <f>Prices!D152/Prices!D$2*100</f>
        <v>129.67700843571308</v>
      </c>
      <c r="E167" s="27">
        <f>Prices!E152/Prices!E$2*100</f>
        <v>116.23076436814779</v>
      </c>
      <c r="F167" s="27">
        <f>Prices!F152/Prices!F$2*100</f>
        <v>92.313537633462403</v>
      </c>
      <c r="G167" s="27">
        <f>Prices!G152/Prices!G$2*100</f>
        <v>94.092672831849072</v>
      </c>
      <c r="H167" s="1"/>
      <c r="I167" s="1"/>
      <c r="J167" s="1"/>
      <c r="K167" s="1"/>
      <c r="L167" s="1"/>
      <c r="M167" s="1"/>
      <c r="N167" s="1"/>
      <c r="O167" s="1"/>
    </row>
    <row r="168" spans="1:15" x14ac:dyDescent="0.3">
      <c r="A168" s="26">
        <f>Prices!A153</f>
        <v>46161</v>
      </c>
      <c r="B168" s="27">
        <f>Prices!B153/Prices!B$2*100</f>
        <v>68.78927437633925</v>
      </c>
      <c r="C168" s="27">
        <f>Prices!C153/Prices!C$2*100</f>
        <v>72.801741766305</v>
      </c>
      <c r="D168" s="27">
        <f>Prices!D153/Prices!D$2*100</f>
        <v>131.7428145464153</v>
      </c>
      <c r="E168" s="27">
        <f>Prices!E153/Prices!E$2*100</f>
        <v>115.29176045712022</v>
      </c>
      <c r="F168" s="27">
        <f>Prices!F153/Prices!F$2*100</f>
        <v>92.313537633462403</v>
      </c>
      <c r="G168" s="27">
        <f>Prices!G153/Prices!G$2*100</f>
        <v>94.542225236228774</v>
      </c>
      <c r="H168" s="1"/>
      <c r="I168" s="1"/>
      <c r="J168" s="1"/>
      <c r="K168" s="1"/>
      <c r="L168" s="1"/>
      <c r="M168" s="1"/>
      <c r="N168" s="1"/>
      <c r="O168" s="1"/>
    </row>
    <row r="169" spans="1:15" x14ac:dyDescent="0.3">
      <c r="A169" s="26">
        <f>Prices!A154</f>
        <v>46162</v>
      </c>
      <c r="B169" s="27">
        <f>Prices!B154/Prices!B$2*100</f>
        <v>68.071473252412233</v>
      </c>
      <c r="C169" s="27">
        <f>Prices!C154/Prices!C$2*100</f>
        <v>72.037149224581555</v>
      </c>
      <c r="D169" s="27">
        <f>Prices!D154/Prices!D$2*100</f>
        <v>130.24042725848761</v>
      </c>
      <c r="E169" s="27">
        <f>Prices!E154/Prices!E$2*100</f>
        <v>113.01151870449617</v>
      </c>
      <c r="F169" s="27">
        <f>Prices!F154/Prices!F$2*100</f>
        <v>92.583716487739053</v>
      </c>
      <c r="G169" s="27">
        <f>Prices!G154/Prices!G$2*100</f>
        <v>94.004497162179362</v>
      </c>
      <c r="H169" s="1"/>
      <c r="I169" s="1"/>
      <c r="J169" s="1"/>
      <c r="K169" s="1"/>
      <c r="L169" s="1"/>
      <c r="M169" s="1"/>
      <c r="N169" s="1"/>
      <c r="O169" s="1"/>
    </row>
    <row r="170" spans="1:15" x14ac:dyDescent="0.3">
      <c r="A170" s="26">
        <f>Prices!A155</f>
        <v>46163</v>
      </c>
      <c r="B170" s="27">
        <f>Prices!B155/Prices!B$2*100</f>
        <v>65.648894459158541</v>
      </c>
      <c r="C170" s="27">
        <f>Prices!C155/Prices!C$2*100</f>
        <v>68.81485968983263</v>
      </c>
      <c r="D170" s="27">
        <f>Prices!D155/Prices!D$2*100</f>
        <v>133.05742701315367</v>
      </c>
      <c r="E170" s="27">
        <f>Prices!E155/Prices!E$2*100</f>
        <v>114.01744708569355</v>
      </c>
      <c r="F170" s="27">
        <f>Prices!F155/Prices!F$2*100</f>
        <v>91.728127199929617</v>
      </c>
      <c r="G170" s="27">
        <f>Prices!G155/Prices!G$2*100</f>
        <v>93.034810332909046</v>
      </c>
      <c r="H170" s="1"/>
      <c r="I170" s="1"/>
      <c r="J170" s="1"/>
      <c r="K170" s="1"/>
      <c r="L170" s="1"/>
      <c r="M170" s="1"/>
      <c r="N170" s="1"/>
      <c r="O170" s="1"/>
    </row>
    <row r="171" spans="1:15" x14ac:dyDescent="0.3">
      <c r="A171" s="26">
        <f>Prices!A156</f>
        <v>46164</v>
      </c>
      <c r="B171" s="27">
        <f>Prices!B156/Prices!B$2*100</f>
        <v>66.007795021122035</v>
      </c>
      <c r="C171" s="27">
        <f>Prices!C156/Prices!C$2*100</f>
        <v>69.361020652309406</v>
      </c>
      <c r="D171" s="27">
        <f>Prices!D156/Prices!D$2*100</f>
        <v>135.1232331238559</v>
      </c>
      <c r="E171" s="27">
        <f>Prices!E156/Prices!E$2*100</f>
        <v>115.42602166318987</v>
      </c>
      <c r="F171" s="27">
        <f>Prices!F156/Prices!F$2*100</f>
        <v>92.13341839727795</v>
      </c>
      <c r="G171" s="27">
        <f>Prices!G156/Prices!G$2*100</f>
        <v>93.839255093807239</v>
      </c>
      <c r="H171" s="1"/>
      <c r="I171" s="1"/>
      <c r="J171" s="1"/>
      <c r="K171" s="1"/>
      <c r="L171" s="1"/>
      <c r="M171" s="1"/>
      <c r="N171" s="1"/>
      <c r="O171" s="1"/>
    </row>
    <row r="172" spans="1:15" x14ac:dyDescent="0.3">
      <c r="A172" s="26">
        <f>Prices!A157</f>
        <v>46168</v>
      </c>
      <c r="B172" s="27">
        <f>Prices!B157/Prices!B$2*100</f>
        <v>65.648894459158541</v>
      </c>
      <c r="C172" s="27">
        <f>Prices!C157/Prices!C$2*100</f>
        <v>69.68869535929943</v>
      </c>
      <c r="D172" s="27">
        <f>Prices!D157/Prices!D$2*100</f>
        <v>136.62571477099021</v>
      </c>
      <c r="E172" s="27">
        <f>Prices!E157/Prices!E$2*100</f>
        <v>113.07858059657599</v>
      </c>
      <c r="F172" s="27">
        <f>Prices!F157/Prices!F$2*100</f>
        <v>91.322858918514612</v>
      </c>
      <c r="G172" s="27">
        <f>Prices!G157/Prices!G$2*100</f>
        <v>93.815140785602395</v>
      </c>
      <c r="H172" s="1"/>
      <c r="I172" s="1"/>
      <c r="J172" s="1"/>
      <c r="K172" s="1"/>
      <c r="L172" s="1"/>
      <c r="M172" s="1"/>
      <c r="N172" s="1"/>
      <c r="O172" s="1"/>
    </row>
    <row r="173" spans="1:15" x14ac:dyDescent="0.3">
      <c r="A173" s="26">
        <f>Prices!A158</f>
        <v>46169</v>
      </c>
      <c r="B173" s="27">
        <f>Prices!B158/Prices!B$2*100</f>
        <v>64.961001715395142</v>
      </c>
      <c r="C173" s="27">
        <f>Prices!C158/Prices!C$2*100</f>
        <v>67.886402456494125</v>
      </c>
      <c r="D173" s="27">
        <f>Prices!D158/Prices!D$2*100</f>
        <v>137.65857064673801</v>
      </c>
      <c r="E173" s="27">
        <f>Prices!E158/Prices!E$2*100</f>
        <v>113.41389005697513</v>
      </c>
      <c r="F173" s="27">
        <f>Prices!F158/Prices!F$2*100</f>
        <v>90.557329248797373</v>
      </c>
      <c r="G173" s="27">
        <f>Prices!G158/Prices!G$2*100</f>
        <v>92.821196723548596</v>
      </c>
      <c r="H173" s="1"/>
      <c r="I173" s="1"/>
      <c r="J173" s="1"/>
      <c r="K173" s="1"/>
      <c r="L173" s="1"/>
      <c r="M173" s="1"/>
      <c r="N173" s="1"/>
      <c r="O173" s="1"/>
    </row>
    <row r="174" spans="1:15" x14ac:dyDescent="0.3">
      <c r="A174" s="26">
        <f>Prices!A159</f>
        <v>46170</v>
      </c>
      <c r="B174" s="27">
        <f>Prices!B159/Prices!B$2*100</f>
        <v>63.555307847704732</v>
      </c>
      <c r="C174" s="27">
        <f>Prices!C159/Prices!C$2*100</f>
        <v>66.521027388422198</v>
      </c>
      <c r="D174" s="27">
        <f>Prices!D159/Prices!D$2*100</f>
        <v>136.43784559059429</v>
      </c>
      <c r="E174" s="27">
        <f>Prices!E159/Prices!E$2*100</f>
        <v>112.10494636422852</v>
      </c>
      <c r="F174" s="27">
        <f>Prices!F159/Prices!F$2*100</f>
        <v>89.206412061480705</v>
      </c>
      <c r="G174" s="27">
        <f>Prices!G159/Prices!G$2*100</f>
        <v>91.640895135756566</v>
      </c>
      <c r="H174" s="1"/>
      <c r="I174" s="1"/>
      <c r="J174" s="1"/>
      <c r="K174" s="1"/>
      <c r="L174" s="1"/>
      <c r="M174" s="1"/>
      <c r="N174" s="1"/>
      <c r="O174" s="1"/>
    </row>
    <row r="175" spans="1:15" x14ac:dyDescent="0.3">
      <c r="A175" s="26">
        <f>Prices!A160</f>
        <v>46171</v>
      </c>
      <c r="B175" s="27">
        <f>Prices!B160/Prices!B$2*100</f>
        <v>63.884300029504615</v>
      </c>
      <c r="C175" s="27">
        <f>Prices!C160/Prices!C$2*100</f>
        <v>66.029487989817099</v>
      </c>
      <c r="D175" s="27">
        <f>Prices!D160/Prices!D$2*100</f>
        <v>136.250070769405</v>
      </c>
      <c r="E175" s="27">
        <f>Prices!E160/Prices!E$2*100</f>
        <v>112.24140632085818</v>
      </c>
      <c r="F175" s="27">
        <f>Prices!F160/Prices!F$2*100</f>
        <v>90.0169486243107</v>
      </c>
      <c r="G175" s="27">
        <f>Prices!G160/Prices!G$2*100</f>
        <v>92.286732460518337</v>
      </c>
      <c r="H175" s="1"/>
      <c r="I175" s="1"/>
      <c r="J175" s="1"/>
      <c r="K175" s="1"/>
      <c r="L175" s="1"/>
      <c r="M175" s="1"/>
      <c r="N175" s="1"/>
      <c r="O175" s="1"/>
    </row>
    <row r="176" spans="1:15" x14ac:dyDescent="0.3">
      <c r="A176" s="26">
        <f>Prices!A161</f>
        <v>46174</v>
      </c>
      <c r="B176" s="27">
        <f>Prices!B161/Prices!B$2*100</f>
        <v>65.200268756704148</v>
      </c>
      <c r="C176" s="27">
        <f>Prices!C161/Prices!C$2*100</f>
        <v>67.067188350898988</v>
      </c>
      <c r="D176" s="27">
        <f>Prices!D161/Prices!D$2*100</f>
        <v>137.37690841495407</v>
      </c>
      <c r="E176" s="27">
        <f>Prices!E161/Prices!E$2*100</f>
        <v>111.90018771832906</v>
      </c>
      <c r="F176" s="27">
        <f>Prices!F161/Prices!F$2*100</f>
        <v>90.107031158336284</v>
      </c>
      <c r="G176" s="27">
        <f>Prices!G161/Prices!G$2*100</f>
        <v>93.077541850139838</v>
      </c>
      <c r="H176" s="1"/>
      <c r="I176" s="1"/>
      <c r="J176" s="1"/>
      <c r="K176" s="1"/>
      <c r="L176" s="1"/>
      <c r="M176" s="1"/>
      <c r="N176" s="1"/>
      <c r="O176" s="1"/>
    </row>
    <row r="177" spans="1:15" x14ac:dyDescent="0.3">
      <c r="A177" s="26">
        <f>Prices!A162</f>
        <v>46175</v>
      </c>
      <c r="B177" s="27">
        <f>Prices!B162/Prices!B$2*100</f>
        <v>72.01937943401083</v>
      </c>
      <c r="C177" s="27">
        <f>Prices!C162/Prices!C$2*100</f>
        <v>71.490988262104764</v>
      </c>
      <c r="D177" s="27">
        <f>Prices!D162/Prices!D$2*100</f>
        <v>138.22198946951255</v>
      </c>
      <c r="E177" s="27">
        <f>Prices!E162/Prices!E$2*100</f>
        <v>112.03664767495869</v>
      </c>
      <c r="F177" s="27">
        <f>Prices!F162/Prices!F$2*100</f>
        <v>92.403597251554615</v>
      </c>
      <c r="G177" s="27">
        <f>Prices!G162/Prices!G$2*100</f>
        <v>95.423486094580056</v>
      </c>
      <c r="H177" s="1"/>
      <c r="I177" s="1"/>
      <c r="J177" s="1"/>
      <c r="K177" s="1"/>
      <c r="L177" s="1"/>
      <c r="M177" s="1"/>
      <c r="N177" s="1"/>
      <c r="O177" s="1"/>
    </row>
    <row r="178" spans="1:15" x14ac:dyDescent="0.3">
      <c r="A178" s="26">
        <f>Prices!A163</f>
        <v>46176</v>
      </c>
      <c r="B178" s="27">
        <f>Prices!B163/Prices!B$2*100</f>
        <v>69.746342541575274</v>
      </c>
      <c r="C178" s="27">
        <f>Prices!C163/Prices!C$2*100</f>
        <v>69.142534396822654</v>
      </c>
      <c r="D178" s="27">
        <f>Prices!D163/Prices!D$2*100</f>
        <v>137.94032723772858</v>
      </c>
      <c r="E178" s="27">
        <f>Prices!E163/Prices!E$2*100</f>
        <v>112.24140632085818</v>
      </c>
      <c r="F178" s="27">
        <f>Prices!F163/Prices!F$2*100</f>
        <v>92.178448206324077</v>
      </c>
      <c r="G178" s="27">
        <f>Prices!G163/Prices!G$2*100</f>
        <v>93.938868394501924</v>
      </c>
      <c r="H178" s="1"/>
      <c r="I178" s="1"/>
      <c r="J178" s="1"/>
      <c r="K178" s="1"/>
      <c r="L178" s="1"/>
      <c r="M178" s="1"/>
      <c r="N178" s="1"/>
      <c r="O178" s="1"/>
    </row>
    <row r="179" spans="1:15" x14ac:dyDescent="0.3">
      <c r="A179" s="26">
        <f>Prices!A164</f>
        <v>46177</v>
      </c>
      <c r="B179" s="27">
        <f>Prices!B164/Prices!B$2*100</f>
        <v>68.639732475521114</v>
      </c>
      <c r="C179" s="27">
        <f>Prices!C164/Prices!C$2*100</f>
        <v>67.449484621760703</v>
      </c>
      <c r="D179" s="27">
        <f>Prices!D164/Prices!D$2*100</f>
        <v>137.47079582554869</v>
      </c>
      <c r="E179" s="27">
        <f>Prices!E164/Prices!E$2*100</f>
        <v>104.66767259504786</v>
      </c>
      <c r="F179" s="27">
        <f>Prices!F164/Prices!F$2*100</f>
        <v>90.242120585474609</v>
      </c>
      <c r="G179" s="27">
        <f>Prices!G164/Prices!G$2*100</f>
        <v>92.546964402702372</v>
      </c>
      <c r="H179" s="1"/>
      <c r="I179" s="1"/>
      <c r="J179" s="1"/>
      <c r="K179" s="1"/>
      <c r="L179" s="1"/>
      <c r="M179" s="1"/>
      <c r="N179" s="1"/>
      <c r="O179" s="1"/>
    </row>
    <row r="180" spans="1:15" x14ac:dyDescent="0.3">
      <c r="A180" s="26">
        <f>Prices!A165</f>
        <v>46178</v>
      </c>
      <c r="B180" s="27">
        <f>Prices!B165/Prices!B$2*100</f>
        <v>67.772389450775975</v>
      </c>
      <c r="C180" s="27">
        <f>Prices!C165/Prices!C$2*100</f>
        <v>66.848702095412222</v>
      </c>
      <c r="D180" s="27">
        <f>Prices!D165/Prices!D$2*100</f>
        <v>133.15131442374832</v>
      </c>
      <c r="E180" s="27">
        <f>Prices!E165/Prices!E$2*100</f>
        <v>100.98311634413744</v>
      </c>
      <c r="F180" s="27">
        <f>Prices!F165/Prices!F$2*100</f>
        <v>89.251441870526818</v>
      </c>
      <c r="G180" s="27">
        <f>Prices!G165/Prices!G$2*100</f>
        <v>91.478873634556749</v>
      </c>
      <c r="H180" s="1"/>
      <c r="I180" s="1"/>
      <c r="J180" s="1"/>
      <c r="K180" s="1"/>
      <c r="L180" s="1"/>
      <c r="M180" s="1"/>
      <c r="N180" s="1"/>
      <c r="O180" s="1"/>
    </row>
    <row r="181" spans="1:15" x14ac:dyDescent="0.3">
      <c r="A181" s="26">
        <f>Prices!A166</f>
        <v>46181</v>
      </c>
      <c r="B181" s="27">
        <f>Prices!B166/Prices!B$2*100</f>
        <v>66.7555045252127</v>
      </c>
      <c r="C181" s="27">
        <f>Prices!C166/Prices!C$2*100</f>
        <v>64.882544500991827</v>
      </c>
      <c r="D181" s="27">
        <f>Prices!D166/Prices!D$2*100</f>
        <v>133.62084583592821</v>
      </c>
      <c r="E181" s="27">
        <f>Prices!E166/Prices!E$2*100</f>
        <v>99.140838218682219</v>
      </c>
      <c r="F181" s="27">
        <f>Prices!F166/Prices!F$2*100</f>
        <v>87.089942288513441</v>
      </c>
      <c r="G181" s="27">
        <f>Prices!G166/Prices!G$2*100</f>
        <v>90.361538019599877</v>
      </c>
      <c r="H181" s="1"/>
      <c r="I181" s="1"/>
      <c r="J181" s="1"/>
      <c r="K181" s="1"/>
      <c r="L181" s="1"/>
      <c r="M181" s="1"/>
      <c r="N181" s="1"/>
      <c r="O181" s="1"/>
    </row>
    <row r="182" spans="1:15" x14ac:dyDescent="0.3">
      <c r="A182" s="26">
        <f>Prices!A167</f>
        <v>46182</v>
      </c>
      <c r="B182" s="27">
        <f>Prices!B167/Prices!B$2*100</f>
        <v>67.772389450775975</v>
      </c>
      <c r="C182" s="27">
        <f>Prices!C167/Prices!C$2*100</f>
        <v>63.954087267653314</v>
      </c>
      <c r="D182" s="27">
        <f>Prices!D167/Prices!D$2*100</f>
        <v>133.43307101473891</v>
      </c>
      <c r="E182" s="27">
        <f>Prices!E167/Prices!E$2*100</f>
        <v>96.889180223338087</v>
      </c>
      <c r="F182" s="27">
        <f>Prices!F167/Prices!F$2*100</f>
        <v>86.459502045934528</v>
      </c>
      <c r="G182" s="27">
        <f>Prices!G167/Prices!G$2*100</f>
        <v>90.027460612359036</v>
      </c>
      <c r="H182" s="1"/>
      <c r="I182" s="1"/>
      <c r="J182" s="1"/>
      <c r="K182" s="1"/>
      <c r="L182" s="1"/>
      <c r="M182" s="1"/>
      <c r="N182" s="1"/>
      <c r="O182" s="1"/>
    </row>
    <row r="183" spans="1:15" x14ac:dyDescent="0.3">
      <c r="A183" s="26">
        <f>Prices!A168</f>
        <v>46183</v>
      </c>
      <c r="B183" s="27">
        <f>Prices!B168/Prices!B$2*100</f>
        <v>69.626709020920771</v>
      </c>
      <c r="C183" s="27">
        <f>Prices!C168/Prices!C$2*100</f>
        <v>62.057532526895244</v>
      </c>
      <c r="D183" s="27">
        <f>Prices!D168/Prices!D$2*100</f>
        <v>127.04778350223631</v>
      </c>
      <c r="E183" s="27">
        <f>Prices!E168/Prices!E$2*100</f>
        <v>95.865799259570736</v>
      </c>
      <c r="F183" s="27">
        <f>Prices!F168/Prices!F$2*100</f>
        <v>86.234353000703976</v>
      </c>
      <c r="G183" s="27">
        <f>Prices!G168/Prices!G$2*100</f>
        <v>89.448654548511868</v>
      </c>
      <c r="H183" s="1"/>
      <c r="I183" s="1"/>
      <c r="J183" s="1"/>
      <c r="K183" s="1"/>
      <c r="L183" s="1"/>
      <c r="M183" s="1"/>
      <c r="N183" s="1"/>
      <c r="O183" s="1"/>
    </row>
    <row r="184" spans="1:15" x14ac:dyDescent="0.3">
      <c r="A184" s="26">
        <f>Prices!A169</f>
        <v>46184</v>
      </c>
      <c r="B184" s="27">
        <f>Prices!B169/Prices!B$2*100</f>
        <v>68.37055705404849</v>
      </c>
      <c r="C184" s="27">
        <f>Prices!C169/Prices!C$2*100</f>
        <v>58.722281880075322</v>
      </c>
      <c r="D184" s="27">
        <f>Prices!D169/Prices!D$2*100</f>
        <v>130.05265243729832</v>
      </c>
      <c r="E184" s="27">
        <f>Prices!E169/Prices!E$2*100</f>
        <v>100.64203516351833</v>
      </c>
      <c r="F184" s="27">
        <f>Prices!F169/Prices!F$2*100</f>
        <v>84.207965761762296</v>
      </c>
      <c r="G184" s="27">
        <f>Prices!G169/Prices!G$2*100</f>
        <v>88.867164800845543</v>
      </c>
      <c r="H184" s="1"/>
      <c r="I184" s="1"/>
      <c r="J184" s="1"/>
      <c r="K184" s="1"/>
      <c r="L184" s="1"/>
      <c r="M184" s="1"/>
      <c r="N184" s="1"/>
      <c r="O184" s="1"/>
    </row>
    <row r="185" spans="1:15" x14ac:dyDescent="0.3">
      <c r="A185" s="26">
        <f>Prices!A170</f>
        <v>46185</v>
      </c>
      <c r="B185" s="27">
        <f>Prices!B170/Prices!B$2*100</f>
        <v>69.327625219284513</v>
      </c>
      <c r="C185" s="27">
        <f>Prices!C170/Prices!C$2*100</f>
        <v>60.253216603205772</v>
      </c>
      <c r="D185" s="27">
        <f>Prices!D170/Prices!D$2*100</f>
        <v>134.0903772481081</v>
      </c>
      <c r="E185" s="27">
        <f>Prices!E170/Prices!E$2*100</f>
        <v>101.73371481655546</v>
      </c>
      <c r="F185" s="27">
        <f>Prices!F170/Prices!F$2*100</f>
        <v>85.69399529215066</v>
      </c>
      <c r="G185" s="27">
        <f>Prices!G170/Prices!G$2*100</f>
        <v>90.585230010595012</v>
      </c>
      <c r="H185" s="1"/>
      <c r="I185" s="1"/>
      <c r="J185" s="1"/>
      <c r="K185" s="1"/>
      <c r="L185" s="1"/>
      <c r="M185" s="1"/>
      <c r="N185" s="1"/>
      <c r="O185" s="1"/>
    </row>
    <row r="186" spans="1:15" x14ac:dyDescent="0.3">
      <c r="A186" s="26">
        <f>Prices!A171</f>
        <v>46188</v>
      </c>
      <c r="B186" s="27">
        <f>Prices!B171/Prices!B$2*100</f>
        <v>68.729457616011985</v>
      </c>
      <c r="C186" s="27">
        <f>Prices!C171/Prices!C$2*100</f>
        <v>59.761130442199558</v>
      </c>
      <c r="D186" s="27">
        <f>Prices!D171/Prices!D$2*100</f>
        <v>136.90737700277418</v>
      </c>
      <c r="E186" s="27">
        <f>Prices!E171/Prices!E$2*100</f>
        <v>104.39475268178857</v>
      </c>
      <c r="F186" s="27">
        <f>Prices!F171/Prices!F$2*100</f>
        <v>87.089942288513441</v>
      </c>
      <c r="G186" s="27">
        <f>Prices!G171/Prices!G$2*100</f>
        <v>91.041746873161117</v>
      </c>
      <c r="H186" s="1"/>
      <c r="I186" s="1"/>
      <c r="J186" s="1"/>
      <c r="K186" s="1"/>
      <c r="L186" s="1"/>
      <c r="M186" s="1"/>
      <c r="N186" s="1"/>
      <c r="O186" s="1"/>
    </row>
    <row r="187" spans="1:15" x14ac:dyDescent="0.3">
      <c r="A187" s="26">
        <f>Prices!A172</f>
        <v>46189</v>
      </c>
      <c r="B187" s="27">
        <f>Prices!B172/Prices!B$2*100</f>
        <v>66.905046426030822</v>
      </c>
      <c r="C187" s="27">
        <f>Prices!C172/Prices!C$2*100</f>
        <v>58.503576919628109</v>
      </c>
      <c r="D187" s="27">
        <f>Prices!D172/Prices!D$2*100</f>
        <v>137.09515182396345</v>
      </c>
      <c r="E187" s="27">
        <f>Prices!E172/Prices!E$2*100</f>
        <v>102.62063582369319</v>
      </c>
      <c r="F187" s="27">
        <f>Prices!F172/Prices!F$2*100</f>
        <v>86.909823052328989</v>
      </c>
      <c r="G187" s="27">
        <f>Prices!G172/Prices!G$2*100</f>
        <v>89.763778690730305</v>
      </c>
      <c r="H187" s="1"/>
      <c r="I187" s="1"/>
      <c r="J187" s="1"/>
      <c r="K187" s="1"/>
      <c r="L187" s="1"/>
      <c r="M187" s="1"/>
      <c r="N187" s="1"/>
      <c r="O187" s="1"/>
    </row>
    <row r="188" spans="1:15" x14ac:dyDescent="0.3">
      <c r="A188" s="26">
        <f>Prices!A173</f>
        <v>46190</v>
      </c>
      <c r="B188" s="27">
        <f>Prices!B173/Prices!B$2*100</f>
        <v>66.605962624394564</v>
      </c>
      <c r="C188" s="27">
        <f>Prices!C173/Prices!C$2*100</f>
        <v>58.448900679516314</v>
      </c>
      <c r="D188" s="27">
        <f>Prices!D173/Prices!D$2*100</f>
        <v>138.97318311347641</v>
      </c>
      <c r="E188" s="27">
        <f>Prices!E173/Prices!E$2*100</f>
        <v>102.41601459970371</v>
      </c>
      <c r="F188" s="27">
        <f>Prices!F173/Prices!F$2*100</f>
        <v>86.324412618796202</v>
      </c>
      <c r="G188" s="27">
        <f>Prices!G173/Prices!G$2*100</f>
        <v>89.097570582304513</v>
      </c>
      <c r="H188" s="1"/>
      <c r="I188" s="1"/>
      <c r="J188" s="1"/>
      <c r="K188" s="1"/>
      <c r="L188" s="1"/>
      <c r="M188" s="1"/>
      <c r="N188" s="1"/>
      <c r="O188" s="1"/>
    </row>
    <row r="189" spans="1:15" x14ac:dyDescent="0.3">
      <c r="A189" s="26">
        <f>Prices!A174</f>
        <v>46191</v>
      </c>
      <c r="B189" s="27">
        <f>Prices!B174/Prices!B$2*100</f>
        <v>65.828344740140281</v>
      </c>
      <c r="C189" s="27">
        <f>Prices!C174/Prices!C$2*100</f>
        <v>57.355375877280281</v>
      </c>
      <c r="D189" s="27">
        <f>Prices!D174/Prices!D$2*100</f>
        <v>139.91224593783616</v>
      </c>
      <c r="E189" s="27">
        <f>Prices!E174/Prices!E$2*100</f>
        <v>100.57373647424851</v>
      </c>
      <c r="F189" s="27">
        <f>Prices!F174/Prices!F$2*100</f>
        <v>84.388084997946734</v>
      </c>
      <c r="G189" s="27">
        <f>Prices!G174/Prices!G$2*100</f>
        <v>87.678037437085095</v>
      </c>
      <c r="H189" s="1"/>
      <c r="I189" s="1"/>
      <c r="J189" s="1"/>
      <c r="K189" s="1"/>
      <c r="L189" s="1"/>
      <c r="M189" s="1"/>
      <c r="N189" s="1"/>
      <c r="O189" s="1"/>
    </row>
    <row r="190" spans="1:15" x14ac:dyDescent="0.3">
      <c r="A190" s="26">
        <f>Prices!A175</f>
        <v>46195</v>
      </c>
      <c r="B190" s="27">
        <f>Prices!B175/Prices!B$2*100</f>
        <v>64.751643054249769</v>
      </c>
      <c r="C190" s="27">
        <f>Prices!C175/Prices!C$2*100</f>
        <v>56.261851075044234</v>
      </c>
      <c r="D190" s="27">
        <f>Prices!D175/Prices!D$2*100</f>
        <v>138.87929570288173</v>
      </c>
      <c r="E190" s="27">
        <f>Prices!E175/Prices!E$2*100</f>
        <v>101.32433494666655</v>
      </c>
      <c r="F190" s="27">
        <f>Prices!F175/Prices!F$2*100</f>
        <v>85.018525240525648</v>
      </c>
      <c r="G190" s="27">
        <f>Prices!G175/Prices!G$2*100</f>
        <v>87.105272685235562</v>
      </c>
      <c r="H190" s="1"/>
      <c r="I190" s="1"/>
      <c r="J190" s="1"/>
      <c r="K190" s="1"/>
      <c r="L190" s="1"/>
      <c r="M190" s="1"/>
      <c r="N190" s="1"/>
      <c r="O190" s="1"/>
    </row>
    <row r="191" spans="1:15" x14ac:dyDescent="0.3">
      <c r="A191" s="26">
        <f>Prices!A176</f>
        <v>46196</v>
      </c>
      <c r="B191" s="27">
        <f>Prices!B176/Prices!B$2*100</f>
        <v>62.029980459359827</v>
      </c>
      <c r="C191" s="27">
        <f>Prices!C176/Prices!C$2*100</f>
        <v>54.102139590628049</v>
      </c>
      <c r="D191" s="27">
        <f>Prices!D176/Prices!D$2*100</f>
        <v>139.63048934684556</v>
      </c>
      <c r="E191" s="27">
        <f>Prices!E176/Prices!E$2*100</f>
        <v>99.550218088571157</v>
      </c>
      <c r="F191" s="27">
        <f>Prices!F176/Prices!F$2*100</f>
        <v>83.532495710137283</v>
      </c>
      <c r="G191" s="27">
        <f>Prices!G176/Prices!G$2*100</f>
        <v>85.521227852888288</v>
      </c>
      <c r="H191" s="1"/>
      <c r="I191" s="1"/>
      <c r="J191" s="1"/>
      <c r="K191" s="1"/>
      <c r="L191" s="1"/>
      <c r="M191" s="1"/>
      <c r="N191" s="1"/>
      <c r="O191" s="1"/>
    </row>
    <row r="192" spans="1:15" x14ac:dyDescent="0.3">
      <c r="A192" s="26">
        <f>Prices!A177</f>
        <v>46197</v>
      </c>
      <c r="B192" s="27">
        <f>Prices!B177/Prices!B$2*100</f>
        <v>64.123567070813621</v>
      </c>
      <c r="C192" s="27">
        <f>Prices!C177/Prices!C$2*100</f>
        <v>54.348182671131163</v>
      </c>
      <c r="D192" s="27">
        <f>Prices!D177/Prices!D$2*100</f>
        <v>139.16095793466567</v>
      </c>
      <c r="E192" s="27">
        <f>Prices!E177/Prices!E$2*100</f>
        <v>100.50557520688868</v>
      </c>
      <c r="F192" s="27">
        <f>Prices!F177/Prices!F$2*100</f>
        <v>83.577525519183396</v>
      </c>
      <c r="G192" s="27">
        <f>Prices!G177/Prices!G$2*100</f>
        <v>85.799382537235317</v>
      </c>
      <c r="H192" s="1"/>
      <c r="I192" s="1"/>
      <c r="J192" s="1"/>
      <c r="K192" s="1"/>
      <c r="L192" s="1"/>
      <c r="M192" s="1"/>
      <c r="N192" s="1"/>
      <c r="O192" s="1"/>
    </row>
    <row r="193" spans="1:15" x14ac:dyDescent="0.3">
      <c r="A193" s="26">
        <f>Prices!A178</f>
        <v>46198</v>
      </c>
      <c r="B193" s="27">
        <f>Prices!B178/Prices!B$2*100</f>
        <v>63.016957004759469</v>
      </c>
      <c r="C193" s="27">
        <f>Prices!C178/Prices!C$2*100</f>
        <v>51.942428106211878</v>
      </c>
      <c r="D193" s="27">
        <f>Prices!D178/Prices!D$2*100</f>
        <v>139.25493970446695</v>
      </c>
      <c r="E193" s="27">
        <f>Prices!E178/Prices!E$2*100</f>
        <v>98.526837124803819</v>
      </c>
      <c r="F193" s="27">
        <f>Prices!F178/Prices!F$2*100</f>
        <v>82.541816995189492</v>
      </c>
      <c r="G193" s="27">
        <f>Prices!G178/Prices!G$2*100</f>
        <v>84.570709408454917</v>
      </c>
      <c r="H193" s="1"/>
      <c r="I193" s="1"/>
      <c r="J193" s="1"/>
      <c r="K193" s="1"/>
      <c r="L193" s="1"/>
      <c r="M193" s="1"/>
      <c r="N193" s="1"/>
      <c r="O193" s="1"/>
    </row>
    <row r="194" spans="1:15" x14ac:dyDescent="0.3">
      <c r="A194" s="26">
        <f>Prices!A179</f>
        <v>46199</v>
      </c>
      <c r="B194" s="27">
        <f>Prices!B179/Prices!B$2*100</f>
        <v>61.581354756905441</v>
      </c>
      <c r="C194" s="27">
        <f>Prices!C179/Prices!C$2*100</f>
        <v>48.935234900062767</v>
      </c>
      <c r="D194" s="27">
        <f>Prices!D179/Prices!D$2*100</f>
        <v>138.69152088169244</v>
      </c>
      <c r="E194" s="27">
        <f>Prices!E179/Prices!E$2*100</f>
        <v>96.616260310078786</v>
      </c>
      <c r="F194" s="27">
        <f>Prices!F179/Prices!F$2*100</f>
        <v>81.551138280241702</v>
      </c>
      <c r="G194" s="27">
        <f>Prices!G179/Prices!G$2*100</f>
        <v>83.086306461718053</v>
      </c>
      <c r="H194" s="1"/>
      <c r="I194" s="1"/>
      <c r="J194" s="1"/>
      <c r="K194" s="1"/>
      <c r="L194" s="1"/>
      <c r="M194" s="1"/>
      <c r="N194" s="1"/>
      <c r="O194" s="1"/>
    </row>
    <row r="195" spans="1:15" x14ac:dyDescent="0.3">
      <c r="A195" s="26">
        <f>Prices!A180</f>
        <v>46202</v>
      </c>
      <c r="B195" s="27">
        <f>Prices!B180/Prices!B$2*100</f>
        <v>62.837506723777715</v>
      </c>
      <c r="C195" s="27">
        <f>Prices!C180/Prices!C$2*100</f>
        <v>50.848903303975831</v>
      </c>
      <c r="D195" s="27">
        <f>Prices!D180/Prices!D$2*100</f>
        <v>138.59763347109779</v>
      </c>
      <c r="E195" s="27">
        <f>Prices!E180/Prices!E$2*100</f>
        <v>98.526837124803819</v>
      </c>
      <c r="F195" s="27">
        <f>Prices!F180/Prices!F$2*100</f>
        <v>82.631876613281705</v>
      </c>
      <c r="G195" s="27">
        <f>Prices!G180/Prices!G$2*100</f>
        <v>84.386628048250074</v>
      </c>
      <c r="H195" s="1"/>
      <c r="I195" s="1"/>
      <c r="J195" s="1"/>
      <c r="K195" s="1"/>
      <c r="L195" s="1"/>
      <c r="M195" s="1"/>
      <c r="N195" s="1"/>
      <c r="O195" s="1"/>
    </row>
    <row r="196" spans="1:15" x14ac:dyDescent="0.3">
      <c r="A196" s="26">
        <f>Prices!A181</f>
        <v>46203</v>
      </c>
      <c r="B196" s="27">
        <f>Prices!B181/Prices!B$2*100</f>
        <v>64.273108971631757</v>
      </c>
      <c r="C196" s="27">
        <f>Prices!C181/Prices!C$2*100</f>
        <v>50.766888943808134</v>
      </c>
      <c r="D196" s="27">
        <f>Prices!D181/Prices!D$2*100</f>
        <v>138.87929570288173</v>
      </c>
      <c r="E196" s="27">
        <f>Prices!E181/Prices!E$2*100</f>
        <v>97.503318739126485</v>
      </c>
      <c r="F196" s="27">
        <f>Prices!F181/Prices!F$2*100</f>
        <v>81.731257516426155</v>
      </c>
      <c r="G196" s="27">
        <f>Prices!G181/Prices!G$2*100</f>
        <v>83.852822337701454</v>
      </c>
      <c r="H196" s="1"/>
      <c r="I196" s="1"/>
      <c r="J196" s="1"/>
      <c r="K196" s="1"/>
      <c r="L196" s="1"/>
      <c r="M196" s="1"/>
      <c r="N196" s="1"/>
      <c r="O196" s="1"/>
    </row>
    <row r="197" spans="1:15" x14ac:dyDescent="0.3">
      <c r="A197" s="26">
        <f>Prices!A182</f>
        <v>46205</v>
      </c>
      <c r="B197" s="27">
        <f>Prices!B182/Prices!B$2*100</f>
        <v>64.332925731958994</v>
      </c>
      <c r="C197" s="27">
        <f>Prices!C182/Prices!C$2*100</f>
        <v>51.66904690565287</v>
      </c>
      <c r="D197" s="27">
        <f>Prices!D182/Prices!D$2*100</f>
        <v>140.38168299080942</v>
      </c>
      <c r="E197" s="27">
        <f>Prices!E182/Prices!E$2*100</f>
        <v>99.345596864581694</v>
      </c>
      <c r="F197" s="27">
        <f>Prices!F182/Prices!F$2*100</f>
        <v>82.766966040420044</v>
      </c>
      <c r="G197" s="27">
        <f>Prices!G182/Prices!G$2*100</f>
        <v>84.490521756838731</v>
      </c>
      <c r="H197" s="1"/>
      <c r="I197" s="1"/>
      <c r="J197" s="1"/>
      <c r="K197" s="1"/>
      <c r="L197" s="1"/>
      <c r="M197" s="1"/>
      <c r="N197" s="1"/>
      <c r="O197" s="1"/>
    </row>
    <row r="198" spans="1:15" x14ac:dyDescent="0.3">
      <c r="A198" s="26">
        <f>Prices!A183</f>
        <v>46206</v>
      </c>
      <c r="B198" s="27">
        <f>Prices!B183/Prices!B$2*100</f>
        <v>64.48246763277713</v>
      </c>
      <c r="C198" s="27">
        <f>Prices!C183/Prices!C$2*100</f>
        <v>51.450341945205658</v>
      </c>
      <c r="D198" s="27">
        <f>Prices!D183/Prices!D$2*100</f>
        <v>142.72924569250222</v>
      </c>
      <c r="E198" s="27">
        <f>Prices!E183/Prices!E$2*100</f>
        <v>99.959597958460094</v>
      </c>
      <c r="F198" s="27">
        <f>Prices!F183/Prices!F$2*100</f>
        <v>84.433114806992847</v>
      </c>
      <c r="G198" s="27">
        <f>Prices!G183/Prices!G$2*100</f>
        <v>85.571617928695147</v>
      </c>
      <c r="H198" s="1"/>
      <c r="I198" s="1"/>
      <c r="J198" s="1"/>
      <c r="K198" s="1"/>
      <c r="L198" s="1"/>
      <c r="M198" s="1"/>
      <c r="N198" s="1"/>
      <c r="O198" s="1"/>
    </row>
    <row r="199" spans="1:15" x14ac:dyDescent="0.3">
      <c r="A199" s="26">
        <f>Prices!A184</f>
        <v>46209</v>
      </c>
      <c r="B199" s="27">
        <f>Prices!B184/Prices!B$2*100</f>
        <v>67.592939169794207</v>
      </c>
      <c r="C199" s="27">
        <f>Prices!C184/Prices!C$2*100</f>
        <v>52.461852387274</v>
      </c>
      <c r="D199" s="27">
        <f>Prices!D184/Prices!D$2*100</f>
        <v>142.72924569250222</v>
      </c>
      <c r="E199" s="27">
        <f>Prices!E184/Prices!E$2*100</f>
        <v>100.98311634413744</v>
      </c>
      <c r="F199" s="27">
        <f>Prices!F184/Prices!F$2*100</f>
        <v>84.748323470315626</v>
      </c>
      <c r="G199" s="27">
        <f>Prices!G184/Prices!G$2*100</f>
        <v>86.547503286999614</v>
      </c>
      <c r="H199" s="1"/>
      <c r="I199" s="1"/>
      <c r="J199" s="1"/>
      <c r="K199" s="1"/>
      <c r="L199" s="1"/>
      <c r="M199" s="1"/>
      <c r="N199" s="1"/>
      <c r="O199" s="1"/>
    </row>
    <row r="200" spans="1:15" x14ac:dyDescent="0.3">
      <c r="A200" s="26">
        <f>Prices!A185</f>
        <v>46210</v>
      </c>
      <c r="B200" s="27">
        <f>Prices!B185/Prices!B$2*100</f>
        <v>68.968724657321005</v>
      </c>
      <c r="C200" s="27">
        <f>Prices!C185/Prices!C$2*100</f>
        <v>52.379838027106288</v>
      </c>
      <c r="D200" s="27">
        <f>Prices!D185/Prices!D$2*100</f>
        <v>143.94997074864594</v>
      </c>
      <c r="E200" s="27">
        <f>Prices!E185/Prices!E$2*100</f>
        <v>99.072676951322407</v>
      </c>
      <c r="F200" s="27">
        <f>Prices!F185/Prices!F$2*100</f>
        <v>84.613234043177286</v>
      </c>
      <c r="G200" s="27">
        <f>Prices!G185/Prices!G$2*100</f>
        <v>86.10982534979297</v>
      </c>
      <c r="H200" s="1"/>
      <c r="I200" s="1"/>
      <c r="J200" s="1"/>
      <c r="K200" s="1"/>
      <c r="L200" s="1"/>
      <c r="M200" s="1"/>
      <c r="N200" s="1"/>
      <c r="O200" s="1"/>
    </row>
    <row r="201" spans="1:15" x14ac:dyDescent="0.3">
      <c r="A201" s="26">
        <f>Prices!A186</f>
        <v>46211</v>
      </c>
      <c r="B201" s="27">
        <f>Prices!B186/Prices!B$2*100</f>
        <v>71.600662111720069</v>
      </c>
      <c r="C201" s="27">
        <f>Prices!C186/Prices!C$2*100</f>
        <v>58.776958120187132</v>
      </c>
      <c r="D201" s="27">
        <f>Prices!D186/Prices!D$2*100</f>
        <v>142.6353582819076</v>
      </c>
      <c r="E201" s="27">
        <f>Prices!E186/Prices!E$2*100</f>
        <v>100.57373647424851</v>
      </c>
      <c r="F201" s="27">
        <f>Prices!F186/Prices!F$2*100</f>
        <v>85.739002185263416</v>
      </c>
      <c r="G201" s="27">
        <f>Prices!G186/Prices!G$2*100</f>
        <v>88.684557762640452</v>
      </c>
      <c r="H201" s="1"/>
      <c r="I201" s="1"/>
      <c r="J201" s="1"/>
      <c r="K201" s="1"/>
      <c r="L201" s="1"/>
      <c r="M201" s="1"/>
      <c r="N201" s="1"/>
      <c r="O201" s="1"/>
    </row>
    <row r="202" spans="1:15" x14ac:dyDescent="0.3">
      <c r="A202" s="26">
        <f>Prices!A187</f>
        <v>46212</v>
      </c>
      <c r="B202" s="27">
        <f>Prices!B187/Prices!B$2*100</f>
        <v>70.224876624193286</v>
      </c>
      <c r="C202" s="27">
        <f>Prices!C187/Prices!C$2*100</f>
        <v>59.05033932074614</v>
      </c>
      <c r="D202" s="27">
        <f>Prices!D187/Prices!D$2*100</f>
        <v>143.01090792428619</v>
      </c>
      <c r="E202" s="27">
        <f>Prices!E187/Prices!E$2*100</f>
        <v>98.66329708143347</v>
      </c>
      <c r="F202" s="27">
        <f>Prices!F187/Prices!F$2*100</f>
        <v>85.648942567171176</v>
      </c>
      <c r="G202" s="27">
        <f>Prices!G187/Prices!G$2*100</f>
        <v>88.064187398954843</v>
      </c>
      <c r="H202" s="1"/>
      <c r="I202" s="1"/>
      <c r="J202" s="1"/>
      <c r="K202" s="1"/>
      <c r="L202" s="1"/>
      <c r="M202" s="1"/>
      <c r="N202" s="1"/>
      <c r="O202" s="1"/>
    </row>
    <row r="203" spans="1:15" x14ac:dyDescent="0.3">
      <c r="A203" s="26">
        <f>Prices!A188</f>
        <v>46213</v>
      </c>
      <c r="B203" s="27">
        <f>Prices!B188/Prices!B$2*100</f>
        <v>68.819182756502869</v>
      </c>
      <c r="C203" s="27">
        <f>Prices!C188/Prices!C$2*100</f>
        <v>60.253216603205772</v>
      </c>
      <c r="D203" s="27">
        <f>Prices!D188/Prices!D$2*100</f>
        <v>144.13774556983526</v>
      </c>
      <c r="E203" s="27">
        <f>Prices!E188/Prices!E$2*100</f>
        <v>99.140838218682219</v>
      </c>
      <c r="F203" s="27">
        <f>Prices!F188/Prices!F$2*100</f>
        <v>86.684674007098437</v>
      </c>
      <c r="G203" s="27">
        <f>Prices!G188/Prices!G$2*100</f>
        <v>88.595351570111333</v>
      </c>
      <c r="H203" s="1"/>
      <c r="I203" s="1"/>
      <c r="J203" s="1"/>
      <c r="K203" s="1"/>
      <c r="L203" s="1"/>
      <c r="M203" s="1"/>
      <c r="N203" s="1"/>
      <c r="O203" s="1"/>
    </row>
    <row r="204" spans="1:15" x14ac:dyDescent="0.3">
      <c r="A204" s="26">
        <f>Prices!A189</f>
        <v>46216</v>
      </c>
      <c r="B204" s="27">
        <f>Prices!B189/Prices!B$2*100</f>
        <v>68.430373814375727</v>
      </c>
      <c r="C204" s="27">
        <f>Prices!C189/Prices!C$2*100</f>
        <v>60.526597803764794</v>
      </c>
      <c r="D204" s="27">
        <f>Prices!D189/Prices!D$2*100</f>
        <v>144.4194078016192</v>
      </c>
      <c r="E204" s="27">
        <f>Prices!E189/Prices!E$2*100</f>
        <v>98.79975703806312</v>
      </c>
      <c r="F204" s="27">
        <f>Prices!F189/Prices!F$2*100</f>
        <v>87.27006152469788</v>
      </c>
      <c r="G204" s="27">
        <f>Prices!G189/Prices!G$2*100</f>
        <v>88.736816119221615</v>
      </c>
      <c r="H204" s="1"/>
      <c r="I204" s="1"/>
      <c r="J204" s="1"/>
      <c r="K204" s="1"/>
      <c r="L204" s="1"/>
      <c r="M204" s="1"/>
      <c r="N204" s="1"/>
      <c r="O204" s="1"/>
    </row>
    <row r="205" spans="1:15" x14ac:dyDescent="0.3">
      <c r="A205" s="26">
        <f>Prices!A190</f>
        <v>46217</v>
      </c>
      <c r="B205" s="27">
        <f>Prices!B190/Prices!B$2*100</f>
        <v>68.221015153230354</v>
      </c>
      <c r="C205" s="27">
        <f>Prices!C190/Prices!C$2*100</f>
        <v>60.58127404387659</v>
      </c>
      <c r="D205" s="27">
        <f>Prices!D190/Prices!D$2*100</f>
        <v>143.29266451527675</v>
      </c>
      <c r="E205" s="27">
        <f>Prices!E190/Prices!E$2*100</f>
        <v>101.11957630076706</v>
      </c>
      <c r="F205" s="27">
        <f>Prices!F190/Prices!F$2*100</f>
        <v>87.585293103954015</v>
      </c>
      <c r="G205" s="27">
        <f>Prices!G190/Prices!G$2*100</f>
        <v>89.202273097419067</v>
      </c>
      <c r="H205" s="1"/>
      <c r="I205" s="1"/>
      <c r="J205" s="1"/>
      <c r="K205" s="1"/>
      <c r="L205" s="1"/>
      <c r="M205" s="1"/>
      <c r="N205" s="1"/>
      <c r="O205" s="1"/>
    </row>
    <row r="206" spans="1:15" x14ac:dyDescent="0.3">
      <c r="A206" s="26">
        <f>Prices!A191</f>
        <v>46218</v>
      </c>
      <c r="B206" s="27">
        <f>Prices!B191/Prices!B$2*100</f>
        <v>70.882860987793052</v>
      </c>
      <c r="C206" s="27">
        <f>Prices!C191/Prices!C$2*100</f>
        <v>62.002856286783448</v>
      </c>
      <c r="D206" s="27">
        <f>Prices!D191/Prices!D$2*100</f>
        <v>145.82790767895224</v>
      </c>
      <c r="E206" s="27">
        <f>Prices!E191/Prices!E$2*100</f>
        <v>103.98537281189964</v>
      </c>
      <c r="F206" s="27">
        <f>Prices!F191/Prices!F$2*100</f>
        <v>88.575971818901806</v>
      </c>
      <c r="G206" s="27">
        <f>Prices!G191/Prices!G$2*100</f>
        <v>90.449634897514713</v>
      </c>
      <c r="H206" s="1"/>
      <c r="I206" s="1"/>
      <c r="J206" s="1"/>
      <c r="K206" s="1"/>
      <c r="L206" s="1"/>
      <c r="M206" s="1"/>
      <c r="N206" s="1"/>
      <c r="O206" s="1"/>
    </row>
    <row r="207" spans="1:15" x14ac:dyDescent="0.3">
      <c r="A207" s="26">
        <f>Prices!A192</f>
        <v>46219</v>
      </c>
      <c r="B207" s="27">
        <f>Prices!B192/Prices!B$2*100</f>
        <v>72.378279995974339</v>
      </c>
      <c r="C207" s="27">
        <f>Prices!C192/Prices!C$2*100</f>
        <v>63.916524690696505</v>
      </c>
      <c r="D207" s="27">
        <f>Prices!D192/Prices!D$2*100</f>
        <v>147.33038932608656</v>
      </c>
      <c r="E207" s="27">
        <f>Prices!E192/Prices!E$2*100</f>
        <v>103.84891285526999</v>
      </c>
      <c r="F207" s="27">
        <f>Prices!F192/Prices!F$2*100</f>
        <v>89.206412061480705</v>
      </c>
      <c r="G207" s="27">
        <f>Prices!G192/Prices!G$2*100</f>
        <v>91.649834884914625</v>
      </c>
      <c r="H207" s="1"/>
      <c r="I207" s="1"/>
      <c r="J207" s="1"/>
      <c r="K207" s="1"/>
      <c r="L207" s="1"/>
      <c r="M207" s="1"/>
      <c r="N207" s="1"/>
      <c r="O207" s="1"/>
    </row>
    <row r="208" spans="1:15" x14ac:dyDescent="0.3">
      <c r="A208" s="26">
        <f>Prices!A193</f>
        <v>46220</v>
      </c>
      <c r="B208" s="27">
        <f>Prices!B193/Prices!B$2*100</f>
        <v>69.028541417648242</v>
      </c>
      <c r="C208" s="27">
        <f>Prices!C193/Prices!C$2*100</f>
        <v>61.565446365889024</v>
      </c>
      <c r="D208" s="27">
        <f>Prices!D193/Prices!D$2*100</f>
        <v>147.33038932608656</v>
      </c>
      <c r="E208" s="27">
        <f>Prices!E193/Prices!E$2*100</f>
        <v>103.09831438285192</v>
      </c>
      <c r="F208" s="27">
        <f>Prices!F193/Prices!F$2*100</f>
        <v>88.035591194415119</v>
      </c>
      <c r="G208" s="27">
        <f>Prices!G193/Prices!G$2*100</f>
        <v>90.0140469574159</v>
      </c>
      <c r="H208" s="1"/>
      <c r="I208" s="1"/>
      <c r="J208" s="1"/>
      <c r="K208" s="1"/>
      <c r="L208" s="1"/>
      <c r="M208" s="1"/>
      <c r="N208" s="1"/>
      <c r="O208" s="1"/>
    </row>
    <row r="209" spans="1:15" x14ac:dyDescent="0.3">
      <c r="A209" s="26">
        <f>Prices!A194</f>
        <v>46223</v>
      </c>
      <c r="B209" s="27">
        <f>Prices!B194/Prices!B$2*100</f>
        <v>71.451120210901948</v>
      </c>
      <c r="C209" s="27">
        <f>Prices!C194/Prices!C$2*100</f>
        <v>63.861848450584702</v>
      </c>
      <c r="D209" s="27">
        <f>Prices!D194/Prices!D$2*100</f>
        <v>148.17547038064504</v>
      </c>
      <c r="E209" s="27">
        <f>Prices!E194/Prices!E$2*100</f>
        <v>103.37123429611124</v>
      </c>
      <c r="F209" s="27">
        <f>Prices!F194/Prices!F$2*100</f>
        <v>89.47659091575737</v>
      </c>
      <c r="G209" s="27">
        <f>Prices!G194/Prices!G$2*100</f>
        <v>92.142562605665461</v>
      </c>
      <c r="H209" s="1"/>
      <c r="I209" s="1"/>
      <c r="J209" s="1"/>
      <c r="K209" s="1"/>
      <c r="L209" s="1"/>
      <c r="M209" s="1"/>
      <c r="N209" s="1"/>
      <c r="O209" s="1"/>
    </row>
    <row r="210" spans="1:15" x14ac:dyDescent="0.3">
      <c r="A210" s="26">
        <f>Prices!A195</f>
        <v>46224</v>
      </c>
      <c r="B210" s="27">
        <f>Prices!B195/Prices!B$2*100</f>
        <v>70.882860987793052</v>
      </c>
      <c r="C210" s="27">
        <f>Prices!C195/Prices!C$2*100</f>
        <v>63.971200930808315</v>
      </c>
      <c r="D210" s="27">
        <f>Prices!D195/Prices!D$2*100</f>
        <v>146.95474532450132</v>
      </c>
      <c r="E210" s="27">
        <f>Prices!E195/Prices!E$2*100</f>
        <v>105.00875377566696</v>
      </c>
      <c r="F210" s="27">
        <f>Prices!F195/Prices!F$2*100</f>
        <v>89.971918815264587</v>
      </c>
      <c r="G210" s="27">
        <f>Prices!G195/Prices!G$2*100</f>
        <v>92.103123850842877</v>
      </c>
      <c r="H210" s="1"/>
      <c r="I210" s="1"/>
      <c r="J210" s="1"/>
      <c r="K210" s="1"/>
      <c r="L210" s="1"/>
      <c r="M210" s="1"/>
      <c r="N210" s="1"/>
      <c r="O210" s="1"/>
    </row>
    <row r="211" spans="1:15" x14ac:dyDescent="0.3">
      <c r="A211" s="26">
        <f>Prices!A196</f>
        <v>46225</v>
      </c>
      <c r="B211" s="27">
        <f>Prices!B196/Prices!B$2*100</f>
        <v>65.888161500467547</v>
      </c>
      <c r="C211" s="27">
        <f>Prices!C196/Prices!C$2*100</f>
        <v>62.11220876700704</v>
      </c>
      <c r="D211" s="27">
        <f>Prices!D196/Prices!D$2*100</f>
        <v>149.20842061559947</v>
      </c>
      <c r="E211" s="27">
        <f>Prices!E196/Prices!E$2*100</f>
        <v>104.94059250830713</v>
      </c>
      <c r="F211" s="27">
        <f>Prices!F196/Prices!F$2*100</f>
        <v>90.197090776428496</v>
      </c>
      <c r="G211" s="27">
        <f>Prices!G196/Prices!G$2*100</f>
        <v>91.224947964550779</v>
      </c>
      <c r="H211" s="1"/>
      <c r="I211" s="1"/>
      <c r="J211" s="1"/>
      <c r="K211" s="1"/>
      <c r="L211" s="1"/>
      <c r="M211" s="1"/>
      <c r="N211" s="1"/>
      <c r="O211" s="1"/>
    </row>
    <row r="212" spans="1:15" x14ac:dyDescent="0.3">
      <c r="A212" s="26">
        <f>Prices!A197</f>
        <v>46226</v>
      </c>
      <c r="B212" s="27">
        <f>Prices!B197/Prices!B$2*100</f>
        <v>66.576054244230932</v>
      </c>
      <c r="C212" s="27">
        <f>Prices!C197/Prices!C$2*100</f>
        <v>62.822999888460473</v>
      </c>
      <c r="D212" s="27">
        <f>Prices!D197/Prices!D$2*100</f>
        <v>151.64977636868028</v>
      </c>
      <c r="E212" s="27">
        <f>Prices!E197/Prices!E$2*100</f>
        <v>107.26041177101111</v>
      </c>
      <c r="F212" s="27">
        <f>Prices!F197/Prices!F$2*100</f>
        <v>91.457948345652937</v>
      </c>
      <c r="G212" s="27">
        <f>Prices!G197/Prices!G$2*100</f>
        <v>92.390883799821879</v>
      </c>
      <c r="H212" s="1"/>
      <c r="I212" s="1"/>
      <c r="J212" s="1"/>
      <c r="K212" s="1"/>
      <c r="L212" s="1"/>
      <c r="M212" s="1"/>
      <c r="N212" s="1"/>
      <c r="O212" s="1"/>
    </row>
    <row r="213" spans="1:15" x14ac:dyDescent="0.3">
      <c r="A213" s="26">
        <f>Prices!A198</f>
        <v>46227</v>
      </c>
      <c r="B213" s="27">
        <f>Prices!B198/Prices!B$2*100</f>
        <v>64.990910095558775</v>
      </c>
      <c r="C213" s="27">
        <f>Prices!C198/Prices!C$2*100</f>
        <v>60.143864122982173</v>
      </c>
      <c r="D213" s="27">
        <f>Prices!D198/Prices!D$2*100</f>
        <v>151.55588895808566</v>
      </c>
      <c r="E213" s="27">
        <f>Prices!E198/Prices!E$2*100</f>
        <v>106.57811198786288</v>
      </c>
      <c r="F213" s="27">
        <f>Prices!F198/Prices!F$2*100</f>
        <v>89.836829388126262</v>
      </c>
      <c r="G213" s="27">
        <f>Prices!G198/Prices!G$2*100</f>
        <v>91.483569256675395</v>
      </c>
      <c r="H213" s="1"/>
      <c r="I213" s="1"/>
      <c r="J213" s="1"/>
      <c r="K213" s="1"/>
      <c r="L213" s="1"/>
      <c r="M213" s="1"/>
      <c r="N213" s="1"/>
      <c r="O213" s="1"/>
    </row>
    <row r="214" spans="1:15" x14ac:dyDescent="0.3">
      <c r="A214" s="26">
        <f>Prices!A199</f>
        <v>46230</v>
      </c>
      <c r="B214" s="27">
        <f>Prices!B199/Prices!B$2*100</f>
        <v>66.247062062431056</v>
      </c>
      <c r="C214" s="27">
        <f>Prices!C199/Prices!C$2*100</f>
        <v>60.690626524100189</v>
      </c>
      <c r="D214" s="27">
        <f>Prices!D199/Prices!D$2*100</f>
        <v>152.870501424824</v>
      </c>
      <c r="E214" s="27">
        <f>Prices!E199/Prices!E$2*100</f>
        <v>106.37349076387341</v>
      </c>
      <c r="F214" s="27">
        <f>Prices!F199/Prices!F$2*100</f>
        <v>90.152060967382369</v>
      </c>
      <c r="G214" s="27">
        <f>Prices!G199/Prices!G$2*100</f>
        <v>92.377577888022628</v>
      </c>
      <c r="H214" s="1"/>
      <c r="I214" s="1"/>
      <c r="J214" s="1"/>
      <c r="K214" s="1"/>
      <c r="L214" s="1"/>
      <c r="M214" s="1"/>
      <c r="N214" s="1"/>
      <c r="O214" s="1"/>
    </row>
    <row r="215" spans="1:15" x14ac:dyDescent="0.3">
      <c r="A215" s="26">
        <f>Prices!A200</f>
        <v>46231</v>
      </c>
      <c r="B215" s="27">
        <f>Prices!B200/Prices!B$2*100</f>
        <v>66.875138045867189</v>
      </c>
      <c r="C215" s="27">
        <f>Prices!C200/Prices!C$2*100</f>
        <v>61.23738892521822</v>
      </c>
      <c r="D215" s="27">
        <f>Prices!D200/Prices!D$2*100</f>
        <v>152.11930778086017</v>
      </c>
      <c r="E215" s="27">
        <f>Prices!E200/Prices!E$2*100</f>
        <v>106.30519207460361</v>
      </c>
      <c r="F215" s="27">
        <f>Prices!F200/Prices!F$2*100</f>
        <v>90.962620446145721</v>
      </c>
      <c r="G215" s="27">
        <f>Prices!G200/Prices!G$2*100</f>
        <v>92.757500369469199</v>
      </c>
      <c r="H215" s="1"/>
      <c r="I215" s="1"/>
      <c r="J215" s="1"/>
      <c r="K215" s="1"/>
      <c r="L215" s="1"/>
      <c r="M215" s="1"/>
      <c r="N215" s="1"/>
      <c r="O215" s="1"/>
    </row>
    <row r="216" spans="1:15" x14ac:dyDescent="0.3">
      <c r="A216" s="26">
        <f>Prices!A201</f>
        <v>46232</v>
      </c>
      <c r="B216" s="27">
        <f>Prices!B201/Prices!B$2*100</f>
        <v>69.746342541575274</v>
      </c>
      <c r="C216" s="27">
        <f>Prices!C201/Prices!C$2*100</f>
        <v>62.11220876700704</v>
      </c>
      <c r="D216" s="27">
        <f>Prices!D201/Prices!D$2*100</f>
        <v>154.65464530374229</v>
      </c>
      <c r="E216" s="27">
        <f>Prices!E201/Prices!E$2*100</f>
        <v>106.64641067713269</v>
      </c>
      <c r="F216" s="27">
        <f>Prices!F201/Prices!F$2*100</f>
        <v>91.818186818021815</v>
      </c>
      <c r="G216" s="27">
        <f>Prices!G201/Prices!G$2*100</f>
        <v>94.579130194803156</v>
      </c>
      <c r="H216" s="1"/>
      <c r="I216" s="1"/>
      <c r="J216" s="1"/>
      <c r="K216" s="1"/>
      <c r="L216" s="1"/>
      <c r="M216" s="1"/>
      <c r="N216" s="1"/>
      <c r="O216" s="1"/>
    </row>
    <row r="217" spans="1:15" x14ac:dyDescent="0.3">
      <c r="A217" s="26">
        <f>Prices!A202</f>
        <v>46233</v>
      </c>
      <c r="B217" s="27">
        <f>Prices!B202/Prices!B$2*100</f>
        <v>70.553868805993176</v>
      </c>
      <c r="C217" s="27">
        <f>Prices!C202/Prices!C$2*100</f>
        <v>61.128036444994606</v>
      </c>
      <c r="D217" s="27">
        <f>Prices!D202/Prices!D$2*100</f>
        <v>154.46687048255299</v>
      </c>
      <c r="E217" s="27">
        <f>Prices!E202/Prices!E$2*100</f>
        <v>108.69331002657738</v>
      </c>
      <c r="F217" s="27">
        <f>Prices!F202/Prices!F$2*100</f>
        <v>91.683120306816861</v>
      </c>
      <c r="G217" s="27">
        <f>Prices!G202/Prices!G$2*100</f>
        <v>94.765888642308155</v>
      </c>
      <c r="H217" s="1"/>
      <c r="I217" s="1"/>
      <c r="J217" s="1"/>
      <c r="K217" s="1"/>
      <c r="L217" s="1"/>
      <c r="M217" s="1"/>
      <c r="N217" s="1"/>
      <c r="O217" s="1"/>
    </row>
    <row r="218" spans="1:15" x14ac:dyDescent="0.3">
      <c r="A218" s="26">
        <f>Prices!A203</f>
        <v>46234</v>
      </c>
      <c r="B218" s="27">
        <f>Prices!B203/Prices!B$2*100</f>
        <v>71.062311268774806</v>
      </c>
      <c r="C218" s="27">
        <f>Prices!C203/Prices!C$2*100</f>
        <v>63.971200930808315</v>
      </c>
      <c r="D218" s="27">
        <f>Prices!D203/Prices!D$2*100</f>
        <v>157.94117647058826</v>
      </c>
      <c r="E218" s="27">
        <f>Prices!E203/Prices!E$2*100</f>
        <v>108.14747020005882</v>
      </c>
      <c r="F218" s="27">
        <f>Prices!F203/Prices!F$2*100</f>
        <v>91.998328970139625</v>
      </c>
      <c r="G218" s="27">
        <f>Prices!G203/Prices!G$2*100</f>
        <v>94.859518167309943</v>
      </c>
      <c r="H218" s="1"/>
      <c r="I218" s="1"/>
      <c r="J218" s="1"/>
      <c r="K218" s="1"/>
      <c r="L218" s="1"/>
      <c r="M218" s="1"/>
      <c r="N218" s="1"/>
      <c r="O218" s="1"/>
    </row>
    <row r="219" spans="1:15" x14ac:dyDescent="0.3">
      <c r="A219" s="26">
        <f>Prices!A204</f>
        <v>46237</v>
      </c>
      <c r="B219" s="27">
        <f>Prices!B204/Prices!B$2*100</f>
        <v>73.335348161210362</v>
      </c>
      <c r="C219" s="27">
        <f>Prices!C204/Prices!C$2*100</f>
        <v>68.454652619976073</v>
      </c>
      <c r="D219" s="27">
        <f>Prices!D204/Prices!D$2*100</f>
        <v>157.94117647058826</v>
      </c>
      <c r="E219" s="27">
        <f>Prices!E204/Prices!E$2*100</f>
        <v>107.19225050365128</v>
      </c>
      <c r="F219" s="27">
        <f>Prices!F204/Prices!F$2*100</f>
        <v>92.088388588231837</v>
      </c>
      <c r="G219" s="27">
        <f>Prices!G204/Prices!G$2*100</f>
        <v>95.31750238888354</v>
      </c>
      <c r="H219" s="1"/>
      <c r="I219" s="1"/>
      <c r="J219" s="1"/>
      <c r="K219" s="1"/>
      <c r="L219" s="1"/>
      <c r="M219" s="1"/>
      <c r="N219" s="1"/>
      <c r="O219" s="1"/>
    </row>
    <row r="220" spans="1:15" x14ac:dyDescent="0.3">
      <c r="A220" s="26">
        <f>Prices!A205</f>
        <v>46238</v>
      </c>
      <c r="B220" s="27">
        <f>Prices!B205/Prices!B$2*100</f>
        <v>72.916630838919602</v>
      </c>
      <c r="C220" s="27">
        <f>Prices!C205/Prices!C$2*100</f>
        <v>68.782710060646878</v>
      </c>
      <c r="D220" s="27">
        <f>Prices!D205/Prices!D$2*100</f>
        <v>156.34480741285927</v>
      </c>
      <c r="E220" s="27">
        <f>Prices!E205/Prices!E$2*100</f>
        <v>106.50995072050307</v>
      </c>
      <c r="F220" s="27">
        <f>Prices!F205/Prices!F$2*100</f>
        <v>91.863239543001313</v>
      </c>
      <c r="G220" s="27">
        <f>Prices!G205/Prices!G$2*100</f>
        <v>94.744043170171082</v>
      </c>
      <c r="H220" s="1"/>
      <c r="I220" s="1"/>
      <c r="J220" s="1"/>
      <c r="K220" s="1"/>
      <c r="L220" s="1"/>
      <c r="M220" s="1"/>
      <c r="N220" s="1"/>
      <c r="O220" s="1"/>
    </row>
    <row r="221" spans="1:15" x14ac:dyDescent="0.3">
      <c r="A221" s="26">
        <f>Prices!A206</f>
        <v>46239</v>
      </c>
      <c r="B221" s="27">
        <f>Prices!B206/Prices!B$2*100</f>
        <v>73.604523582682987</v>
      </c>
      <c r="C221" s="27">
        <f>Prices!C206/Prices!C$2*100</f>
        <v>70.040263583218334</v>
      </c>
      <c r="D221" s="27">
        <f>Prices!D206/Prices!D$2*100</f>
        <v>152.21319519145484</v>
      </c>
      <c r="E221" s="27">
        <f>Prices!E206/Prices!E$2*100</f>
        <v>106.10057085061413</v>
      </c>
      <c r="F221" s="27">
        <f>Prices!F206/Prices!F$2*100</f>
        <v>93.349246157456307</v>
      </c>
      <c r="G221" s="27">
        <f>Prices!G206/Prices!G$2*100</f>
        <v>94.974556328300693</v>
      </c>
      <c r="H221" s="1"/>
      <c r="I221" s="1"/>
      <c r="J221" s="1"/>
      <c r="K221" s="1"/>
      <c r="L221" s="1"/>
      <c r="M221" s="1"/>
      <c r="N221" s="1"/>
      <c r="O221" s="1"/>
    </row>
    <row r="222" spans="1:15" x14ac:dyDescent="0.3">
      <c r="A222" s="26">
        <f>Prices!A207</f>
        <v>46240</v>
      </c>
      <c r="B222" s="27">
        <f>Prices!B207/Prices!B$2*100</f>
        <v>71.660478872047321</v>
      </c>
      <c r="C222" s="27">
        <f>Prices!C207/Prices!C$2*100</f>
        <v>68.017242699081663</v>
      </c>
      <c r="D222" s="27">
        <f>Prices!D207/Prices!D$2*100</f>
        <v>150.33516390194194</v>
      </c>
      <c r="E222" s="27">
        <f>Prices!E207/Prices!E$2*100</f>
        <v>99.823138001830443</v>
      </c>
      <c r="F222" s="27">
        <f>Prices!F207/Prices!F$2*100</f>
        <v>92.313537633462403</v>
      </c>
      <c r="G222" s="27">
        <f>Prices!G207/Prices!G$2*100</f>
        <v>93.561651585271235</v>
      </c>
      <c r="H222" s="1"/>
      <c r="I222" s="1"/>
      <c r="J222" s="1"/>
      <c r="K222" s="1"/>
      <c r="L222" s="1"/>
      <c r="M222" s="1"/>
      <c r="N222" s="1"/>
      <c r="O222" s="1"/>
    </row>
    <row r="223" spans="1:15" x14ac:dyDescent="0.3">
      <c r="A223" s="26">
        <f>Prices!A208</f>
        <v>46241</v>
      </c>
      <c r="B223" s="27">
        <f>Prices!B208/Prices!B$2*100</f>
        <v>71.600662111720069</v>
      </c>
      <c r="C223" s="27">
        <f>Prices!C208/Prices!C$2*100</f>
        <v>67.689185258410845</v>
      </c>
      <c r="D223" s="27">
        <f>Prices!D208/Prices!D$2*100</f>
        <v>151.36811413689634</v>
      </c>
      <c r="E223" s="27">
        <f>Prices!E208/Prices!E$2*100</f>
        <v>101.1878749900369</v>
      </c>
      <c r="F223" s="27">
        <f>Prices!F208/Prices!F$2*100</f>
        <v>92.673799021764637</v>
      </c>
      <c r="G223" s="27">
        <f>Prices!G208/Prices!G$2*100</f>
        <v>94.066468526536383</v>
      </c>
      <c r="H223" s="1"/>
      <c r="I223" s="1"/>
      <c r="J223" s="1"/>
      <c r="K223" s="1"/>
      <c r="L223" s="1"/>
      <c r="M223" s="1"/>
      <c r="N223" s="1"/>
      <c r="O223" s="1"/>
    </row>
    <row r="224" spans="1:15" x14ac:dyDescent="0.3">
      <c r="A224" s="26">
        <f>Prices!A209</f>
        <v>46244</v>
      </c>
      <c r="B224" s="27">
        <f>Prices!B209/Prices!B$2*100</f>
        <v>71.989471053847197</v>
      </c>
      <c r="C224" s="27">
        <f>Prices!C209/Prices!C$2*100</f>
        <v>69.274796221653105</v>
      </c>
      <c r="D224" s="27">
        <f>Prices!D209/Prices!D$2*100</f>
        <v>152.58883919304006</v>
      </c>
      <c r="E224" s="27">
        <f>Prices!E209/Prices!E$2*100</f>
        <v>101.66541612728568</v>
      </c>
      <c r="F224" s="27">
        <f>Prices!F209/Prices!F$2*100</f>
        <v>93.844596972896866</v>
      </c>
      <c r="G224" s="27">
        <f>Prices!G209/Prices!G$2*100</f>
        <v>95.053970721299052</v>
      </c>
      <c r="H224" s="1"/>
      <c r="I224" s="1"/>
      <c r="J224" s="1"/>
      <c r="K224" s="1"/>
      <c r="L224" s="1"/>
      <c r="M224" s="1"/>
      <c r="N224" s="1"/>
      <c r="O224" s="1"/>
    </row>
    <row r="225" spans="1:15" x14ac:dyDescent="0.3">
      <c r="A225" s="26">
        <f>Prices!A210</f>
        <v>46245</v>
      </c>
      <c r="B225" s="27">
        <f>Prices!B210/Prices!B$2*100</f>
        <v>70.40432690517504</v>
      </c>
      <c r="C225" s="27">
        <f>Prices!C210/Prices!C$2*100</f>
        <v>69.110767501317696</v>
      </c>
      <c r="D225" s="27">
        <f>Prices!D210/Prices!D$2*100</f>
        <v>151.83764554907623</v>
      </c>
      <c r="E225" s="27">
        <f>Prices!E210/Prices!E$2*100</f>
        <v>99.413758131941506</v>
      </c>
      <c r="F225" s="27">
        <f>Prices!F210/Prices!F$2*100</f>
        <v>91.277829109468499</v>
      </c>
      <c r="G225" s="27">
        <f>Prices!G210/Prices!G$2*100</f>
        <v>94.010731605594813</v>
      </c>
      <c r="H225" s="1"/>
      <c r="I225" s="1"/>
      <c r="J225" s="1"/>
      <c r="K225" s="1"/>
      <c r="L225" s="1"/>
      <c r="M225" s="1"/>
      <c r="N225" s="1"/>
      <c r="O225" s="1"/>
    </row>
    <row r="226" spans="1:15" x14ac:dyDescent="0.3">
      <c r="A226" s="26">
        <f>Prices!A211</f>
        <v>46246</v>
      </c>
      <c r="B226" s="27">
        <f>Prices!B211/Prices!B$2*100</f>
        <v>69.028541417648242</v>
      </c>
      <c r="C226" s="27">
        <f>Prices!C211/Prices!C$2*100</f>
        <v>67.033070377069208</v>
      </c>
      <c r="D226" s="27">
        <f>Prices!D211/Prices!D$2*100</f>
        <v>151.55588895808566</v>
      </c>
      <c r="E226" s="27">
        <f>Prices!E211/Prices!E$2*100</f>
        <v>99.140838218682219</v>
      </c>
      <c r="F226" s="27">
        <f>Prices!F211/Prices!F$2*100</f>
        <v>91.548007963745164</v>
      </c>
      <c r="G226" s="27">
        <f>Prices!G211/Prices!G$2*100</f>
        <v>93.2314247127686</v>
      </c>
      <c r="H226" s="1"/>
      <c r="I226" s="1"/>
      <c r="J226" s="1"/>
      <c r="K226" s="1"/>
      <c r="L226" s="1"/>
      <c r="M226" s="1"/>
      <c r="N226" s="1"/>
      <c r="O226" s="1"/>
    </row>
    <row r="227" spans="1:15" x14ac:dyDescent="0.3">
      <c r="A227" s="26">
        <f>Prices!A212</f>
        <v>46247</v>
      </c>
      <c r="B227" s="27">
        <f>Prices!B212/Prices!B$2*100</f>
        <v>65.947978260794798</v>
      </c>
      <c r="C227" s="27">
        <f>Prices!C212/Prices!C$2*100</f>
        <v>66.650336696286601</v>
      </c>
      <c r="D227" s="27">
        <f>Prices!D212/Prices!D$2*100</f>
        <v>153.80550680329881</v>
      </c>
      <c r="E227" s="27">
        <f>Prices!E212/Prices!E$2*100</f>
        <v>99.004378262052583</v>
      </c>
      <c r="F227" s="27">
        <f>Prices!F212/Prices!F$2*100</f>
        <v>91.908269352047398</v>
      </c>
      <c r="G227" s="27">
        <f>Prices!G212/Prices!G$2*100</f>
        <v>93.071422112860574</v>
      </c>
      <c r="H227" s="1"/>
      <c r="I227" s="1"/>
      <c r="J227" s="1"/>
      <c r="K227" s="1"/>
      <c r="L227" s="1"/>
      <c r="M227" s="1"/>
      <c r="N227" s="1"/>
      <c r="O227" s="1"/>
    </row>
    <row r="228" spans="1:15" x14ac:dyDescent="0.3">
      <c r="A228" s="26">
        <f>Prices!A213</f>
        <v>46248</v>
      </c>
      <c r="B228" s="27">
        <f>Prices!B213/Prices!B$2*100</f>
        <v>65.798436359976662</v>
      </c>
      <c r="C228" s="27">
        <f>Prices!C213/Prices!C$2*100</f>
        <v>65.556811894050568</v>
      </c>
      <c r="D228" s="27">
        <f>Prices!D213/Prices!D$2*100</f>
        <v>151.72960425748744</v>
      </c>
      <c r="E228" s="27">
        <f>Prices!E213/Prices!E$2*100</f>
        <v>96.070420483560198</v>
      </c>
      <c r="F228" s="27">
        <f>Prices!F213/Prices!F$2*100</f>
        <v>91.502978154699051</v>
      </c>
      <c r="G228" s="27">
        <f>Prices!G213/Prices!G$2*100</f>
        <v>92.04654220899414</v>
      </c>
      <c r="H228" s="1"/>
      <c r="I228" s="1"/>
      <c r="J228" s="1"/>
      <c r="K228" s="1"/>
      <c r="L228" s="1"/>
      <c r="M228" s="1"/>
      <c r="N228" s="1"/>
      <c r="O228" s="1"/>
    </row>
    <row r="229" spans="1:15" x14ac:dyDescent="0.3">
      <c r="A229" s="26">
        <f>Prices!A214</f>
        <v>46251</v>
      </c>
      <c r="B229" s="27">
        <f>Prices!B214/Prices!B$2*100</f>
        <v>66.7555045252127</v>
      </c>
      <c r="C229" s="27">
        <f>Prices!C214/Prices!C$2*100</f>
        <v>66.81436541662201</v>
      </c>
      <c r="D229" s="27">
        <f>Prices!D214/Prices!D$2*100</f>
        <v>154.27730283643777</v>
      </c>
      <c r="E229" s="27">
        <f>Prices!E214/Prices!E$2*100</f>
        <v>100.16435660435957</v>
      </c>
      <c r="F229" s="27">
        <f>Prices!F214/Prices!F$2*100</f>
        <v>91.457948345652937</v>
      </c>
      <c r="G229" s="27">
        <f>Prices!G214/Prices!G$2*100</f>
        <v>93.279288321792833</v>
      </c>
      <c r="H229" s="1"/>
      <c r="I229" s="1"/>
      <c r="J229" s="1"/>
      <c r="K229" s="1"/>
      <c r="L229" s="1"/>
      <c r="M229" s="1"/>
      <c r="N229" s="1"/>
      <c r="O229" s="1"/>
    </row>
    <row r="230" spans="1:15" x14ac:dyDescent="0.3">
      <c r="A230" s="26">
        <f>Prices!A215</f>
        <v>46252</v>
      </c>
      <c r="B230" s="27">
        <f>Prices!B215/Prices!B$2*100</f>
        <v>66.157336921940171</v>
      </c>
      <c r="C230" s="27">
        <f>Prices!C215/Prices!C$2*100</f>
        <v>69.274796221653105</v>
      </c>
      <c r="D230" s="27">
        <f>Prices!D215/Prices!D$2*100</f>
        <v>152.95627394364868</v>
      </c>
      <c r="E230" s="27">
        <f>Prices!E215/Prices!E$2*100</f>
        <v>99.004378262052583</v>
      </c>
      <c r="F230" s="27">
        <f>Prices!F215/Prices!F$2*100</f>
        <v>91.187769491376287</v>
      </c>
      <c r="G230" s="27">
        <f>Prices!G215/Prices!G$2*100</f>
        <v>93.344959966843845</v>
      </c>
      <c r="H230" s="1"/>
      <c r="I230" s="1"/>
      <c r="J230" s="1"/>
      <c r="K230" s="1"/>
      <c r="L230" s="1"/>
      <c r="M230" s="1"/>
      <c r="N230" s="1"/>
      <c r="O230" s="1"/>
    </row>
    <row r="231" spans="1:15" x14ac:dyDescent="0.3">
      <c r="A231" s="26">
        <f>Prices!A216</f>
        <v>46253</v>
      </c>
      <c r="B231" s="27">
        <f>Prices!B216/Prices!B$2*100</f>
        <v>66.875138045867189</v>
      </c>
      <c r="C231" s="27">
        <f>Prices!C216/Prices!C$2*100</f>
        <v>67.907890218858057</v>
      </c>
      <c r="D231" s="27">
        <f>Prices!D216/Prices!D$2*100</f>
        <v>152.10704108399858</v>
      </c>
      <c r="E231" s="27">
        <f>Prices!E216/Prices!E$2*100</f>
        <v>99.618516777840981</v>
      </c>
      <c r="F231" s="27">
        <f>Prices!F216/Prices!F$2*100</f>
        <v>93.349246157456307</v>
      </c>
      <c r="G231" s="27">
        <f>Prices!G216/Prices!G$2*100</f>
        <v>93.432620008610584</v>
      </c>
      <c r="H231" s="1"/>
      <c r="I231" s="1"/>
      <c r="J231" s="1"/>
      <c r="K231" s="1"/>
      <c r="L231" s="1"/>
      <c r="M231" s="1"/>
      <c r="N231" s="1"/>
      <c r="O231" s="1"/>
    </row>
    <row r="232" spans="1:15" x14ac:dyDescent="0.3">
      <c r="A232" s="26">
        <f>Prices!A217</f>
        <v>46254</v>
      </c>
      <c r="B232" s="27">
        <f>Prices!B217/Prices!B$2*100</f>
        <v>67.503214029303336</v>
      </c>
      <c r="C232" s="27">
        <f>Prices!C217/Prices!C$2*100</f>
        <v>69.00141502109409</v>
      </c>
      <c r="D232" s="27">
        <f>Prices!D217/Prices!D$2*100</f>
        <v>151.25780822434848</v>
      </c>
      <c r="E232" s="27">
        <f>Prices!E217/Prices!E$2*100</f>
        <v>99.27729817531187</v>
      </c>
      <c r="F232" s="27">
        <f>Prices!F217/Prices!F$2*100</f>
        <v>94.069746018127432</v>
      </c>
      <c r="G232" s="27">
        <f>Prices!G217/Prices!G$2*100</f>
        <v>94.178099585456053</v>
      </c>
      <c r="H232" s="1"/>
      <c r="I232" s="1"/>
      <c r="J232" s="1"/>
      <c r="K232" s="1"/>
      <c r="L232" s="1"/>
      <c r="M232" s="1"/>
      <c r="N232" s="1"/>
      <c r="O232" s="1"/>
    </row>
    <row r="233" spans="1:15" x14ac:dyDescent="0.3">
      <c r="A233" s="26">
        <f>Prices!A218</f>
        <v>46255</v>
      </c>
      <c r="B233" s="27">
        <f>Prices!B218/Prices!B$2*100</f>
        <v>68.340648673884857</v>
      </c>
      <c r="C233" s="27">
        <f>Prices!C218/Prices!C$2*100</f>
        <v>67.251775337516435</v>
      </c>
      <c r="D233" s="27">
        <f>Prices!D218/Prices!D$2*100</f>
        <v>153.71114759667103</v>
      </c>
      <c r="E233" s="27">
        <f>Prices!E218/Prices!E$2*100</f>
        <v>102.55247455633337</v>
      </c>
      <c r="F233" s="27">
        <f>Prices!F218/Prices!F$2*100</f>
        <v>94.790245878798558</v>
      </c>
      <c r="G233" s="27">
        <f>Prices!G218/Prices!G$2*100</f>
        <v>95.317724105217096</v>
      </c>
      <c r="H233" s="1"/>
      <c r="I233" s="1"/>
      <c r="J233" s="1"/>
      <c r="K233" s="1"/>
      <c r="L233" s="1"/>
      <c r="M233" s="1"/>
      <c r="N233" s="1"/>
      <c r="O233" s="1"/>
    </row>
    <row r="234" spans="1:15" x14ac:dyDescent="0.3">
      <c r="A234" s="26">
        <f>Prices!A219</f>
        <v>46258</v>
      </c>
      <c r="B234" s="27">
        <f>Prices!B219/Prices!B$2*100</f>
        <v>65.798436359976662</v>
      </c>
      <c r="C234" s="27">
        <f>Prices!C219/Prices!C$2*100</f>
        <v>61.510770125777228</v>
      </c>
      <c r="D234" s="27">
        <f>Prices!D219/Prices!D$2*100</f>
        <v>152.39011870388194</v>
      </c>
      <c r="E234" s="27">
        <f>Prices!E219/Prices!E$2*100</f>
        <v>101.80187608391532</v>
      </c>
      <c r="F234" s="27">
        <f>Prices!F219/Prices!F$2*100</f>
        <v>94.069746018127432</v>
      </c>
      <c r="G234" s="27">
        <f>Prices!G219/Prices!G$2*100</f>
        <v>93.51419622747936</v>
      </c>
      <c r="H234" s="1"/>
      <c r="I234" s="1"/>
      <c r="J234" s="1"/>
      <c r="K234" s="1"/>
      <c r="L234" s="1"/>
      <c r="M234" s="1"/>
      <c r="N234" s="1"/>
      <c r="O234" s="1"/>
    </row>
    <row r="235" spans="1:15" x14ac:dyDescent="0.3">
      <c r="A235" s="26">
        <f>Prices!A220</f>
        <v>46259</v>
      </c>
      <c r="B235" s="27">
        <f>Prices!B220/Prices!B$2*100</f>
        <v>66.09752016161292</v>
      </c>
      <c r="C235" s="27">
        <f>Prices!C220/Prices!C$2*100</f>
        <v>62.440266207677851</v>
      </c>
      <c r="D235" s="27">
        <f>Prices!D220/Prices!D$2*100</f>
        <v>153.99422521655438</v>
      </c>
      <c r="E235" s="27">
        <f>Prices!E220/Prices!E$2*100</f>
        <v>101.46079490329618</v>
      </c>
      <c r="F235" s="27">
        <f>Prices!F220/Prices!F$2*100</f>
        <v>94.069746018127432</v>
      </c>
      <c r="G235" s="27">
        <f>Prices!G220/Prices!G$2*100</f>
        <v>93.491363109856479</v>
      </c>
      <c r="H235" s="1"/>
      <c r="I235" s="1"/>
      <c r="J235" s="1"/>
      <c r="K235" s="1"/>
      <c r="L235" s="1"/>
      <c r="M235" s="1"/>
      <c r="N235" s="1"/>
      <c r="O235" s="1"/>
    </row>
    <row r="236" spans="1:15" x14ac:dyDescent="0.3">
      <c r="A236" s="26">
        <f>Prices!A221</f>
        <v>46260</v>
      </c>
      <c r="B236" s="27">
        <f>Prices!B221/Prices!B$2*100</f>
        <v>66.605962624394564</v>
      </c>
      <c r="C236" s="27">
        <f>Prices!C221/Prices!C$2*100</f>
        <v>63.752495970361103</v>
      </c>
      <c r="D236" s="27">
        <f>Prices!D221/Prices!D$2*100</f>
        <v>152.57883711713751</v>
      </c>
      <c r="E236" s="27">
        <f>Prices!E221/Prices!E$2*100</f>
        <v>101.25603625739672</v>
      </c>
      <c r="F236" s="27">
        <f>Prices!F221/Prices!F$2*100</f>
        <v>94.745216069752445</v>
      </c>
      <c r="G236" s="27">
        <f>Prices!G221/Prices!G$2*100</f>
        <v>94.011282781405839</v>
      </c>
      <c r="H236" s="1"/>
      <c r="I236" s="1"/>
      <c r="J236" s="1"/>
      <c r="K236" s="1"/>
      <c r="L236" s="1"/>
      <c r="M236" s="1"/>
      <c r="N236" s="1"/>
      <c r="O236" s="1"/>
    </row>
    <row r="237" spans="1:15" x14ac:dyDescent="0.3">
      <c r="A237" s="26">
        <f>Prices!A222</f>
        <v>46261</v>
      </c>
      <c r="B237" s="27">
        <f>Prices!B222/Prices!B$2*100</f>
        <v>66.964863186358073</v>
      </c>
      <c r="C237" s="27">
        <f>Prices!C222/Prices!C$2*100</f>
        <v>63.151057329131277</v>
      </c>
      <c r="D237" s="27">
        <f>Prices!D222/Prices!D$2*100</f>
        <v>152.67319632376532</v>
      </c>
      <c r="E237" s="27">
        <f>Prices!E222/Prices!E$2*100</f>
        <v>101.87017477318511</v>
      </c>
      <c r="F237" s="27">
        <f>Prices!F222/Prices!F$2*100</f>
        <v>95.060424733075223</v>
      </c>
      <c r="G237" s="27">
        <f>Prices!G222/Prices!G$2*100</f>
        <v>93.691606308120669</v>
      </c>
      <c r="H237" s="1"/>
      <c r="I237" s="1"/>
      <c r="J237" s="1"/>
      <c r="K237" s="1"/>
      <c r="L237" s="1"/>
      <c r="M237" s="1"/>
      <c r="N237" s="1"/>
      <c r="O237" s="1"/>
    </row>
    <row r="238" spans="1:15" x14ac:dyDescent="0.3">
      <c r="A238" s="26">
        <f>Prices!A223</f>
        <v>46262</v>
      </c>
      <c r="B238" s="27">
        <f>Prices!B223/Prices!B$2*100</f>
        <v>68.071473252412233</v>
      </c>
      <c r="C238" s="27">
        <f>Prices!C223/Prices!C$2*100</f>
        <v>62.276237487342456</v>
      </c>
      <c r="D238" s="27">
        <f>Prices!D223/Prices!D$2*100</f>
        <v>152.29575949725415</v>
      </c>
      <c r="E238" s="27">
        <f>Prices!E223/Prices!E$2*100</f>
        <v>103.03001569358213</v>
      </c>
      <c r="F238" s="27">
        <f>Prices!F223/Prices!F$2*100</f>
        <v>95.465715930423571</v>
      </c>
      <c r="G238" s="27">
        <f>Prices!G223/Prices!G$2*100</f>
        <v>93.761415436487042</v>
      </c>
      <c r="H238" s="1"/>
      <c r="I238" s="1"/>
      <c r="J238" s="1"/>
      <c r="K238" s="1"/>
      <c r="L238" s="1"/>
      <c r="M238" s="1"/>
      <c r="N238" s="1"/>
      <c r="O238" s="1"/>
    </row>
    <row r="239" spans="1:15" x14ac:dyDescent="0.3">
      <c r="A239" s="26">
        <f>Prices!A224</f>
        <v>46265</v>
      </c>
      <c r="B239" s="27">
        <f>Prices!B224/Prices!B$2*100</f>
        <v>67.742481070612342</v>
      </c>
      <c r="C239" s="27">
        <f>Prices!C224/Prices!C$2*100</f>
        <v>62.440266207677851</v>
      </c>
      <c r="D239" s="27">
        <f>Prices!D224/Prices!D$2*100</f>
        <v>151.91832267074298</v>
      </c>
      <c r="E239" s="27">
        <f>Prices!E224/Prices!E$2*100</f>
        <v>104.05353407925946</v>
      </c>
      <c r="F239" s="27">
        <f>Prices!F224/Prices!F$2*100</f>
        <v>95.735894784700221</v>
      </c>
      <c r="G239" s="27">
        <f>Prices!G224/Prices!G$2*100</f>
        <v>93.696187224103113</v>
      </c>
      <c r="H239" s="1"/>
      <c r="I239" s="1"/>
      <c r="J239" s="1"/>
      <c r="K239" s="1"/>
      <c r="L239" s="1"/>
      <c r="M239" s="1"/>
      <c r="N239" s="1"/>
      <c r="O239" s="1"/>
    </row>
    <row r="240" spans="1:15" x14ac:dyDescent="0.3">
      <c r="A240" s="26">
        <f>Prices!A225</f>
        <v>46266</v>
      </c>
      <c r="B240" s="27">
        <f>Prices!B225/Prices!B$2*100</f>
        <v>66.007795021122035</v>
      </c>
      <c r="C240" s="27">
        <f>Prices!C225/Prices!C$2*100</f>
        <v>60.362569083429385</v>
      </c>
      <c r="D240" s="27">
        <f>Prices!D225/Prices!D$2*100</f>
        <v>151.54088584423181</v>
      </c>
      <c r="E240" s="27">
        <f>Prices!E225/Prices!E$2*100</f>
        <v>103.64415420937053</v>
      </c>
      <c r="F240" s="27">
        <f>Prices!F225/Prices!F$2*100</f>
        <v>92.947025695177771</v>
      </c>
      <c r="G240" s="27">
        <f>Prices!G225/Prices!G$2*100</f>
        <v>92.82669382272752</v>
      </c>
      <c r="H240" s="1"/>
      <c r="I240" s="1"/>
      <c r="J240" s="1"/>
      <c r="K240" s="1"/>
      <c r="L240" s="1"/>
      <c r="M240" s="1"/>
      <c r="N240" s="1"/>
      <c r="O240" s="1"/>
    </row>
    <row r="241" spans="1:15" x14ac:dyDescent="0.3">
      <c r="A241" s="26">
        <f>Prices!A226</f>
        <v>46267</v>
      </c>
      <c r="B241" s="27">
        <f>Prices!B226/Prices!B$2*100</f>
        <v>65.529260938504024</v>
      </c>
      <c r="C241" s="27">
        <f>Prices!C226/Prices!C$2*100</f>
        <v>60.089187882870377</v>
      </c>
      <c r="D241" s="27">
        <f>Prices!D226/Prices!D$2*100</f>
        <v>153.42806997678764</v>
      </c>
      <c r="E241" s="27">
        <f>Prices!E226/Prices!E$2*100</f>
        <v>103.71245289864035</v>
      </c>
      <c r="F241" s="27">
        <f>Prices!F226/Prices!F$2*100</f>
        <v>92.672034494896167</v>
      </c>
      <c r="G241" s="27">
        <f>Prices!G226/Prices!G$2*100</f>
        <v>92.758824437424764</v>
      </c>
      <c r="H241" s="1"/>
      <c r="I241" s="1"/>
      <c r="J241" s="1"/>
      <c r="K241" s="1"/>
      <c r="L241" s="1"/>
      <c r="M241" s="1"/>
      <c r="N241" s="1"/>
      <c r="O241" s="1"/>
    </row>
    <row r="242" spans="1:15" x14ac:dyDescent="0.3">
      <c r="A242" s="26">
        <f>Prices!A227</f>
        <v>46268</v>
      </c>
      <c r="B242" s="27">
        <f>Prices!B227/Prices!B$2*100</f>
        <v>64.751643054249769</v>
      </c>
      <c r="C242" s="27">
        <f>Prices!C227/Prices!C$2*100</f>
        <v>58.776958120187132</v>
      </c>
      <c r="D242" s="27">
        <f>Prices!D227/Prices!D$2*100</f>
        <v>154.27730283643777</v>
      </c>
      <c r="E242" s="27">
        <f>Prices!E227/Prices!E$2*100</f>
        <v>105.48643233482574</v>
      </c>
      <c r="F242" s="27">
        <f>Prices!F227/Prices!F$2*100</f>
        <v>92.442875161328175</v>
      </c>
      <c r="G242" s="27">
        <f>Prices!G227/Prices!G$2*100</f>
        <v>92.400045631786753</v>
      </c>
      <c r="H242" s="1"/>
      <c r="I242" s="1"/>
      <c r="J242" s="1"/>
      <c r="K242" s="1"/>
      <c r="L242" s="1"/>
      <c r="M242" s="1"/>
      <c r="N242" s="1"/>
      <c r="O242" s="1"/>
    </row>
    <row r="243" spans="1:15" x14ac:dyDescent="0.3">
      <c r="A243" s="26">
        <f>Prices!A228</f>
        <v>46269</v>
      </c>
      <c r="B243" s="27">
        <f>Prices!B228/Prices!B$2*100</f>
        <v>66.217153682267423</v>
      </c>
      <c r="C243" s="27">
        <f>Prices!C228/Prices!C$2*100</f>
        <v>60.198540363093969</v>
      </c>
      <c r="D243" s="27">
        <f>Prices!D228/Prices!D$2*100</f>
        <v>157.29679744852706</v>
      </c>
      <c r="E243" s="27">
        <f>Prices!E228/Prices!E$2*100</f>
        <v>106.50198024972309</v>
      </c>
      <c r="F243" s="27">
        <f>Prices!F228/Prices!F$2*100</f>
        <v>93.680335562595346</v>
      </c>
      <c r="G243" s="27">
        <f>Prices!G228/Prices!G$2*100</f>
        <v>94.003580978982853</v>
      </c>
      <c r="H243" s="1"/>
      <c r="I243" s="1"/>
      <c r="J243" s="1"/>
      <c r="K243" s="1"/>
      <c r="L243" s="1"/>
      <c r="M243" s="1"/>
      <c r="N243" s="1"/>
      <c r="O243" s="1"/>
    </row>
    <row r="244" spans="1:15" x14ac:dyDescent="0.3">
      <c r="A244" s="26">
        <f>Prices!A229</f>
        <v>46272</v>
      </c>
      <c r="B244" s="27">
        <f>Prices!B229/Prices!B$2*100</f>
        <v>65.559169318667657</v>
      </c>
      <c r="C244" s="27">
        <f>Prices!C229/Prices!C$2*100</f>
        <v>59.92515916253496</v>
      </c>
      <c r="D244" s="27">
        <f>Prices!D229/Prices!D$2*100</f>
        <v>158.14603030817719</v>
      </c>
      <c r="E244" s="27">
        <f>Prices!E229/Prices!E$2*100</f>
        <v>105.95229260972449</v>
      </c>
      <c r="F244" s="27">
        <f>Prices!F229/Prices!F$2*100</f>
        <v>92.580370761468984</v>
      </c>
      <c r="G244" s="27">
        <f>Prices!G229/Prices!G$2*100</f>
        <v>93.132290759122313</v>
      </c>
      <c r="H244" s="1"/>
      <c r="I244" s="1"/>
      <c r="J244" s="1"/>
      <c r="K244" s="1"/>
      <c r="L244" s="1"/>
      <c r="M244" s="1"/>
      <c r="N244" s="1"/>
      <c r="O244" s="1"/>
    </row>
    <row r="245" spans="1:15" x14ac:dyDescent="0.3">
      <c r="A245" s="26">
        <f>Prices!A230</f>
        <v>46273</v>
      </c>
      <c r="B245" s="27">
        <f>Prices!B230/Prices!B$2*100</f>
        <v>65.110543616213263</v>
      </c>
      <c r="C245" s="27">
        <f>Prices!C230/Prices!C$2*100</f>
        <v>59.870482922423164</v>
      </c>
      <c r="D245" s="27">
        <f>Prices!D230/Prices!D$2*100</f>
        <v>155.59833172922683</v>
      </c>
      <c r="E245" s="27">
        <f>Prices!E230/Prices!E$2*100</f>
        <v>105.67744878972525</v>
      </c>
      <c r="F245" s="27">
        <f>Prices!F230/Prices!F$2*100</f>
        <v>92.122052094332986</v>
      </c>
      <c r="G245" s="27">
        <f>Prices!G230/Prices!G$2*100</f>
        <v>92.780698494477562</v>
      </c>
      <c r="H245" s="1"/>
      <c r="I245" s="1"/>
      <c r="J245" s="1"/>
      <c r="K245" s="1"/>
      <c r="L245" s="1"/>
      <c r="M245" s="1"/>
      <c r="N245" s="1"/>
      <c r="O245" s="1"/>
    </row>
    <row r="246" spans="1:15" x14ac:dyDescent="0.3">
      <c r="A246" s="26">
        <f>Prices!A231</f>
        <v>46274</v>
      </c>
      <c r="B246" s="27">
        <f>Prices!B231/Prices!B$2*100</f>
        <v>64.90118495506789</v>
      </c>
      <c r="C246" s="27">
        <f>Prices!C231/Prices!C$2*100</f>
        <v>60.034511642758574</v>
      </c>
      <c r="D246" s="27">
        <f>Prices!D231/Prices!D$2*100</f>
        <v>156.63628300213253</v>
      </c>
      <c r="E246" s="27">
        <f>Prices!E231/Prices!E$2*100</f>
        <v>105.74615974472505</v>
      </c>
      <c r="F246" s="27">
        <f>Prices!F231/Prices!F$2*100</f>
        <v>91.755397160624199</v>
      </c>
      <c r="G246" s="27">
        <f>Prices!G231/Prices!G$2*100</f>
        <v>92.625977873933934</v>
      </c>
      <c r="H246" s="1"/>
      <c r="I246" s="1"/>
      <c r="J246" s="1"/>
      <c r="K246" s="1"/>
      <c r="L246" s="1"/>
      <c r="M246" s="1"/>
      <c r="N246" s="1"/>
      <c r="O246" s="1"/>
    </row>
    <row r="247" spans="1:15" x14ac:dyDescent="0.3">
      <c r="A247" s="26">
        <f>Prices!A232</f>
        <v>46275</v>
      </c>
      <c r="B247" s="27">
        <f>Prices!B232/Prices!B$2*100</f>
        <v>63.645032988195616</v>
      </c>
      <c r="C247" s="27">
        <f>Prices!C232/Prices!C$2*100</f>
        <v>58.448900679516314</v>
      </c>
      <c r="D247" s="27">
        <f>Prices!D232/Prices!D$2*100</f>
        <v>155.40961331597123</v>
      </c>
      <c r="E247" s="27">
        <f>Prices!E232/Prices!E$2*100</f>
        <v>103.47869822973095</v>
      </c>
      <c r="F247" s="27">
        <f>Prices!F232/Prices!F$2*100</f>
        <v>90.976255426493026</v>
      </c>
      <c r="G247" s="27">
        <f>Prices!G232/Prices!G$2*100</f>
        <v>91.451466930416998</v>
      </c>
      <c r="H247" s="1"/>
      <c r="I247" s="1"/>
      <c r="J247" s="1"/>
      <c r="K247" s="1"/>
      <c r="L247" s="1"/>
      <c r="M247" s="1"/>
      <c r="N247" s="1"/>
      <c r="O247" s="1"/>
    </row>
    <row r="248" spans="1:15" x14ac:dyDescent="0.3">
      <c r="A248" s="26">
        <f>Prices!A233</f>
        <v>46276</v>
      </c>
      <c r="B248" s="27">
        <f>Prices!B233/Prices!B$2*100</f>
        <v>64.06375031048637</v>
      </c>
      <c r="C248" s="27">
        <f>Prices!C233/Prices!C$2*100</f>
        <v>58.776958120187132</v>
      </c>
      <c r="D248" s="27">
        <f>Prices!D233/Prices!D$2*100</f>
        <v>154.0885844231822</v>
      </c>
      <c r="E248" s="27">
        <f>Prices!E233/Prices!E$2*100</f>
        <v>103.13514345473183</v>
      </c>
      <c r="F248" s="27">
        <f>Prices!F233/Prices!F$2*100</f>
        <v>89.967954358793861</v>
      </c>
      <c r="G248" s="27">
        <f>Prices!G233/Prices!G$2*100</f>
        <v>90.906008835502178</v>
      </c>
      <c r="H248" s="1"/>
      <c r="I248" s="1"/>
      <c r="J248" s="1"/>
      <c r="K248" s="1"/>
      <c r="L248" s="1"/>
      <c r="M248" s="1"/>
      <c r="N248" s="1"/>
      <c r="O248" s="1"/>
    </row>
    <row r="249" spans="1:15" x14ac:dyDescent="0.3">
      <c r="A249" s="26">
        <f>Prices!A234</f>
        <v>46279</v>
      </c>
      <c r="B249" s="27">
        <f>Prices!B234/Prices!B$2*100</f>
        <v>64.39274249228626</v>
      </c>
      <c r="C249" s="27">
        <f>Prices!C234/Prices!C$2*100</f>
        <v>57.902138278398297</v>
      </c>
      <c r="D249" s="27">
        <f>Prices!D234/Prices!D$2*100</f>
        <v>155.59833172922683</v>
      </c>
      <c r="E249" s="27">
        <f>Prices!E234/Prices!E$2*100</f>
        <v>103.68483109473041</v>
      </c>
      <c r="F249" s="27">
        <f>Prices!F234/Prices!F$2*100</f>
        <v>91.067919159920223</v>
      </c>
      <c r="G249" s="27">
        <f>Prices!G234/Prices!G$2*100</f>
        <v>91.316344201392823</v>
      </c>
      <c r="H249" s="1"/>
      <c r="I249" s="1"/>
      <c r="J249" s="1"/>
      <c r="K249" s="1"/>
      <c r="L249" s="1"/>
      <c r="M249" s="1"/>
      <c r="N249" s="1"/>
      <c r="O249" s="1"/>
    </row>
    <row r="250" spans="1:15" x14ac:dyDescent="0.3">
      <c r="A250" s="26">
        <f>Prices!A235</f>
        <v>46280</v>
      </c>
      <c r="B250" s="27">
        <f>Prices!B235/Prices!B$2*100</f>
        <v>65.618986078994908</v>
      </c>
      <c r="C250" s="27">
        <f>Prices!C235/Prices!C$2*100</f>
        <v>58.612929399851723</v>
      </c>
      <c r="D250" s="27">
        <f>Prices!D235/Prices!D$2*100</f>
        <v>150.59729377795392</v>
      </c>
      <c r="E250" s="27">
        <f>Prices!E235/Prices!E$2*100</f>
        <v>104.50936255472827</v>
      </c>
      <c r="F250" s="27">
        <f>Prices!F235/Prices!F$2*100</f>
        <v>90.242945559075451</v>
      </c>
      <c r="G250" s="27">
        <f>Prices!G235/Prices!G$2*100</f>
        <v>90.398843899941056</v>
      </c>
      <c r="H250" s="1"/>
      <c r="I250" s="1"/>
      <c r="J250" s="1"/>
      <c r="K250" s="1"/>
      <c r="L250" s="1"/>
      <c r="M250" s="1"/>
      <c r="N250" s="1"/>
      <c r="O250" s="1"/>
    </row>
    <row r="251" spans="1:15" x14ac:dyDescent="0.3">
      <c r="A251" s="26">
        <f>Prices!A236</f>
        <v>46281</v>
      </c>
      <c r="B251" s="27">
        <f>Prices!B236/Prices!B$2*100</f>
        <v>64.811459814577006</v>
      </c>
      <c r="C251" s="27">
        <f>Prices!C236/Prices!C$2*100</f>
        <v>58.066166998733706</v>
      </c>
      <c r="D251" s="27">
        <f>Prices!D236/Prices!D$2*100</f>
        <v>151.8239634641152</v>
      </c>
      <c r="E251" s="27">
        <f>Prices!E236/Prices!E$2*100</f>
        <v>105.81487069972486</v>
      </c>
      <c r="F251" s="27">
        <f>Prices!F236/Prices!F$2*100</f>
        <v>90.655432359497851</v>
      </c>
      <c r="G251" s="27">
        <f>Prices!G236/Prices!G$2*100</f>
        <v>90.569397265539848</v>
      </c>
      <c r="H251" s="1"/>
      <c r="I251" s="1"/>
      <c r="J251" s="1"/>
      <c r="K251" s="1"/>
      <c r="L251" s="1"/>
      <c r="M251" s="1"/>
      <c r="N251" s="1"/>
      <c r="O251" s="1"/>
    </row>
    <row r="252" spans="1:15" x14ac:dyDescent="0.3">
      <c r="A252" s="26">
        <f>Prices!A237</f>
        <v>46282</v>
      </c>
      <c r="B252" s="27">
        <f>Prices!B237/Prices!B$2*100</f>
        <v>63.704849748522861</v>
      </c>
      <c r="C252" s="27">
        <f>Prices!C237/Prices!C$2*100</f>
        <v>57.464728357503873</v>
      </c>
      <c r="D252" s="27">
        <f>Prices!D237/Prices!D$2*100</f>
        <v>150.78601219120949</v>
      </c>
      <c r="E252" s="27">
        <f>Prices!E237/Prices!E$2*100</f>
        <v>106.29584738472361</v>
      </c>
      <c r="F252" s="27">
        <f>Prices!F237/Prices!F$2*100</f>
        <v>89.051317024521893</v>
      </c>
      <c r="G252" s="27">
        <f>Prices!G237/Prices!G$2*100</f>
        <v>90.168144939859189</v>
      </c>
      <c r="H252" s="1"/>
      <c r="I252" s="1"/>
      <c r="J252" s="1"/>
      <c r="K252" s="1"/>
      <c r="L252" s="1"/>
      <c r="M252" s="1"/>
      <c r="N252" s="1"/>
      <c r="O252" s="1"/>
    </row>
    <row r="253" spans="1:15" x14ac:dyDescent="0.3">
      <c r="A253" s="26">
        <f>Prices!A238</f>
        <v>46283</v>
      </c>
      <c r="B253" s="27">
        <f>Prices!B238/Prices!B$2*100</f>
        <v>62.65805644279596</v>
      </c>
      <c r="C253" s="27">
        <f>Prices!C238/Prices!C$2*100</f>
        <v>59.761130442199558</v>
      </c>
      <c r="D253" s="27">
        <f>Prices!D238/Prices!D$2*100</f>
        <v>152.48447791050975</v>
      </c>
      <c r="E253" s="27">
        <f>Prices!E238/Prices!E$2*100</f>
        <v>105.47131592472576</v>
      </c>
      <c r="F253" s="27">
        <f>Prices!F238/Prices!F$2*100</f>
        <v>88.913821424381084</v>
      </c>
      <c r="G253" s="27">
        <f>Prices!G238/Prices!G$2*100</f>
        <v>90.704992378620133</v>
      </c>
      <c r="H253" s="1"/>
      <c r="I253" s="1"/>
      <c r="J253" s="1"/>
      <c r="K253" s="1"/>
      <c r="L253" s="1"/>
      <c r="M253" s="1"/>
      <c r="N253" s="1"/>
      <c r="O253" s="1"/>
    </row>
    <row r="254" spans="1:15" x14ac:dyDescent="0.3">
      <c r="A254" s="26">
        <f>Prices!A239</f>
        <v>46286</v>
      </c>
      <c r="B254" s="27">
        <f>Prices!B239/Prices!B$2*100</f>
        <v>64.303017351795376</v>
      </c>
      <c r="C254" s="27">
        <f>Prices!C239/Prices!C$2*100</f>
        <v>61.565446365889024</v>
      </c>
      <c r="D254" s="27">
        <f>Prices!D239/Prices!D$2*100</f>
        <v>152.39011870388194</v>
      </c>
      <c r="E254" s="27">
        <f>Prices!E239/Prices!E$2*100</f>
        <v>106.29584738472361</v>
      </c>
      <c r="F254" s="27">
        <f>Prices!F239/Prices!F$2*100</f>
        <v>89.647131291798672</v>
      </c>
      <c r="G254" s="27">
        <f>Prices!G239/Prices!G$2*100</f>
        <v>91.774843684396117</v>
      </c>
      <c r="H254" s="1"/>
      <c r="I254" s="1"/>
      <c r="J254" s="1"/>
      <c r="K254" s="1"/>
      <c r="L254" s="1"/>
      <c r="M254" s="1"/>
      <c r="N254" s="1"/>
      <c r="O254" s="1"/>
    </row>
    <row r="255" spans="1:15" x14ac:dyDescent="0.3">
      <c r="A255" s="26">
        <f>Prices!A240</f>
        <v>46287</v>
      </c>
      <c r="B255" s="27">
        <f>Prices!B240/Prices!B$2*100</f>
        <v>67.533122409466955</v>
      </c>
      <c r="C255" s="27">
        <f>Prices!C240/Prices!C$2*100</f>
        <v>62.76832364834867</v>
      </c>
      <c r="D255" s="27">
        <f>Prices!D240/Prices!D$2*100</f>
        <v>150.31421615807056</v>
      </c>
      <c r="E255" s="27">
        <f>Prices!E240/Prices!E$2*100</f>
        <v>104.78420637472756</v>
      </c>
      <c r="F255" s="27">
        <f>Prices!F240/Prices!F$2*100</f>
        <v>91.067919159920223</v>
      </c>
      <c r="G255" s="27">
        <f>Prices!G240/Prices!G$2*100</f>
        <v>91.939899950815985</v>
      </c>
      <c r="H255" s="1"/>
      <c r="I255" s="1"/>
      <c r="J255" s="1"/>
      <c r="K255" s="1"/>
      <c r="L255" s="1"/>
      <c r="M255" s="1"/>
      <c r="N255" s="1"/>
      <c r="O255" s="1"/>
    </row>
    <row r="256" spans="1:15" x14ac:dyDescent="0.3">
      <c r="A256" s="26">
        <f>Prices!A241</f>
        <v>46288</v>
      </c>
      <c r="B256" s="27">
        <f>Prices!B241/Prices!B$2*100</f>
        <v>65.947978260794798</v>
      </c>
      <c r="C256" s="27">
        <f>Prices!C241/Prices!C$2*100</f>
        <v>60.034511642758574</v>
      </c>
      <c r="D256" s="27">
        <f>Prices!D241/Prices!D$2*100</f>
        <v>150.50293457132614</v>
      </c>
      <c r="E256" s="27">
        <f>Prices!E241/Prices!E$2*100</f>
        <v>103.54740918473075</v>
      </c>
      <c r="F256" s="27">
        <f>Prices!F241/Prices!F$2*100</f>
        <v>90.701264226211435</v>
      </c>
      <c r="G256" s="27">
        <f>Prices!G241/Prices!G$2*100</f>
        <v>91.010410476054986</v>
      </c>
      <c r="H256" s="1"/>
      <c r="I256" s="1"/>
      <c r="J256" s="1"/>
      <c r="K256" s="1"/>
      <c r="L256" s="1"/>
      <c r="M256" s="1"/>
      <c r="N256" s="1"/>
      <c r="O256" s="1"/>
    </row>
    <row r="257" spans="1:15" x14ac:dyDescent="0.3">
      <c r="A257" s="26">
        <f>Prices!A242</f>
        <v>46289</v>
      </c>
      <c r="B257" s="27">
        <f>Prices!B242/Prices!B$2*100</f>
        <v>65.559169318667657</v>
      </c>
      <c r="C257" s="27">
        <f>Prices!C242/Prices!C$2*100</f>
        <v>60.143864122982173</v>
      </c>
      <c r="D257" s="27">
        <f>Prices!D242/Prices!D$2*100</f>
        <v>148.04959519900359</v>
      </c>
      <c r="E257" s="27">
        <f>Prices!E242/Prices!E$2*100</f>
        <v>104.16580777972915</v>
      </c>
      <c r="F257" s="27">
        <f>Prices!F242/Prices!F$2*100</f>
        <v>90.15128182564824</v>
      </c>
      <c r="G257" s="27">
        <f>Prices!G242/Prices!G$2*100</f>
        <v>90.742928226527226</v>
      </c>
      <c r="H257" s="1"/>
      <c r="I257" s="1"/>
      <c r="J257" s="1"/>
      <c r="K257" s="1"/>
      <c r="L257" s="1"/>
      <c r="M257" s="1"/>
      <c r="N257" s="1"/>
      <c r="O257" s="1"/>
    </row>
    <row r="258" spans="1:15" x14ac:dyDescent="0.3">
      <c r="A258" s="26">
        <f>Prices!A243</f>
        <v>46290</v>
      </c>
      <c r="B258" s="27">
        <f>Prices!B243/Prices!B$2*100</f>
        <v>65.289993897195032</v>
      </c>
      <c r="C258" s="27">
        <f>Prices!C243/Prices!C$2*100</f>
        <v>59.269044281193338</v>
      </c>
      <c r="D258" s="27">
        <f>Prices!D243/Prices!D$2*100</f>
        <v>148.71010964539809</v>
      </c>
      <c r="E258" s="27">
        <f>Prices!E243/Prices!E$2*100</f>
        <v>101.34865862473647</v>
      </c>
      <c r="F258" s="27">
        <f>Prices!F243/Prices!F$2*100</f>
        <v>89.00548515780828</v>
      </c>
      <c r="G258" s="27">
        <f>Prices!G243/Prices!G$2*100</f>
        <v>89.822929676735285</v>
      </c>
      <c r="H258" s="1"/>
      <c r="I258" s="1"/>
      <c r="J258" s="1"/>
      <c r="K258" s="1"/>
      <c r="L258" s="1"/>
      <c r="M258" s="1"/>
      <c r="N258" s="1"/>
      <c r="O258" s="1"/>
    </row>
    <row r="259" spans="1:15" x14ac:dyDescent="0.3">
      <c r="A259" s="26">
        <f>Prices!A244</f>
        <v>46293</v>
      </c>
      <c r="B259" s="27">
        <f>Prices!B244/Prices!B$2*100</f>
        <v>65.768527979813044</v>
      </c>
      <c r="C259" s="27">
        <f>Prices!C244/Prices!C$2*100</f>
        <v>58.886310600410731</v>
      </c>
      <c r="D259" s="27">
        <f>Prices!D244/Prices!D$2*100</f>
        <v>149.93677933155939</v>
      </c>
      <c r="E259" s="27">
        <f>Prices!E244/Prices!E$2*100</f>
        <v>101.76092435473541</v>
      </c>
      <c r="F259" s="27">
        <f>Prices!F244/Prices!F$2*100</f>
        <v>89.051317024521893</v>
      </c>
      <c r="G259" s="27">
        <f>Prices!G244/Prices!G$2*100</f>
        <v>90.308213592251292</v>
      </c>
      <c r="H259" s="1"/>
      <c r="I259" s="1"/>
      <c r="J259" s="1"/>
      <c r="K259" s="1"/>
      <c r="L259" s="1"/>
      <c r="M259" s="1"/>
      <c r="N259" s="1"/>
      <c r="O259" s="1"/>
    </row>
    <row r="260" spans="1:15" x14ac:dyDescent="0.3">
      <c r="A260" s="26">
        <f>Prices!A245</f>
        <v>46294</v>
      </c>
      <c r="B260" s="27">
        <f>Prices!B245/Prices!B$2*100</f>
        <v>64.602101153431633</v>
      </c>
      <c r="C260" s="27">
        <f>Prices!C245/Prices!C$2*100</f>
        <v>58.066166998733706</v>
      </c>
      <c r="D260" s="27">
        <f>Prices!D245/Prices!D$2*100</f>
        <v>150.03113853818718</v>
      </c>
      <c r="E260" s="27">
        <f>Prices!E245/Prices!E$2*100</f>
        <v>101.55479148973596</v>
      </c>
      <c r="F260" s="27">
        <f>Prices!F245/Prices!F$2*100</f>
        <v>88.638830224099507</v>
      </c>
      <c r="G260" s="27">
        <f>Prices!G245/Prices!G$2*100</f>
        <v>89.872332107056323</v>
      </c>
      <c r="H260" s="1"/>
      <c r="I260" s="1"/>
      <c r="J260" s="1"/>
      <c r="K260" s="1"/>
      <c r="L260" s="1"/>
      <c r="M260" s="1"/>
      <c r="N260" s="1"/>
      <c r="O260" s="1"/>
    </row>
    <row r="261" spans="1:15" x14ac:dyDescent="0.3">
      <c r="A261" s="26">
        <f>Prices!A246</f>
        <v>46295</v>
      </c>
      <c r="B261" s="27">
        <f>Prices!B246/Prices!B$2*100</f>
        <v>64.452559252613511</v>
      </c>
      <c r="C261" s="27">
        <f>Prices!C246/Prices!C$2*100</f>
        <v>58.284871959180904</v>
      </c>
      <c r="D261" s="27">
        <f>Prices!D246/Prices!D$2*100</f>
        <v>149.08754647190926</v>
      </c>
      <c r="E261" s="27">
        <f>Prices!E246/Prices!E$2*100</f>
        <v>101.14252575973701</v>
      </c>
      <c r="F261" s="27">
        <f>Prices!F246/Prices!F$2*100</f>
        <v>88.867989557667499</v>
      </c>
      <c r="G261" s="27">
        <f>Prices!G246/Prices!G$2*100</f>
        <v>90.201055706170166</v>
      </c>
      <c r="H261" s="1"/>
      <c r="I261" s="1"/>
      <c r="J261" s="1"/>
      <c r="K261" s="1"/>
      <c r="L261" s="1"/>
      <c r="M261" s="1"/>
      <c r="N261" s="1"/>
      <c r="O261" s="1"/>
    </row>
    <row r="262" spans="1:15" x14ac:dyDescent="0.3">
      <c r="A262" s="26">
        <f>Prices!A247</f>
        <v>46297</v>
      </c>
      <c r="B262" s="27">
        <f>Prices!B247/Prices!B$2*100</f>
        <v>62.987048624595843</v>
      </c>
      <c r="C262" s="27">
        <f>Prices!C247/Prices!C$2*100</f>
        <v>57.081994676721258</v>
      </c>
      <c r="D262" s="27">
        <f>Prices!D247/Prices!D$2*100</f>
        <v>141.06701390854707</v>
      </c>
      <c r="E262" s="27">
        <f>Prices!E247/Prices!E$2*100</f>
        <v>95.095961719752736</v>
      </c>
      <c r="F262" s="27">
        <f>Prices!F247/Prices!F$2*100</f>
        <v>86.118077554851595</v>
      </c>
      <c r="G262" s="27">
        <f>Prices!G247/Prices!G$2*100</f>
        <v>87.852033819136295</v>
      </c>
      <c r="H262" s="1"/>
      <c r="I262" s="1"/>
      <c r="J262" s="1"/>
      <c r="K262" s="1"/>
      <c r="L262" s="1"/>
      <c r="M262" s="1"/>
      <c r="N262" s="1"/>
      <c r="O262" s="1"/>
    </row>
    <row r="263" spans="1:15" x14ac:dyDescent="0.3">
      <c r="A263" s="26">
        <f>Prices!A248</f>
        <v>46300</v>
      </c>
      <c r="B263" s="27">
        <f>Prices!B248/Prices!B$2*100</f>
        <v>63.256224046068475</v>
      </c>
      <c r="C263" s="27">
        <f>Prices!C248/Prices!C$2*100</f>
        <v>57.628757077839289</v>
      </c>
      <c r="D263" s="27">
        <f>Prices!D248/Prices!D$2*100</f>
        <v>141.44445073505821</v>
      </c>
      <c r="E263" s="27">
        <f>Prices!E248/Prices!E$2*100</f>
        <v>94.752406944753645</v>
      </c>
      <c r="F263" s="27">
        <f>Prices!F248/Prices!F$2*100</f>
        <v>86.622228088701164</v>
      </c>
      <c r="G263" s="27">
        <f>Prices!G248/Prices!G$2*100</f>
        <v>88.101421450533422</v>
      </c>
      <c r="H263" s="1"/>
      <c r="I263" s="1"/>
      <c r="J263" s="1"/>
      <c r="K263" s="1"/>
      <c r="L263" s="1"/>
      <c r="M263" s="1"/>
      <c r="N263" s="1"/>
      <c r="O263" s="1"/>
    </row>
    <row r="264" spans="1:15" x14ac:dyDescent="0.3">
      <c r="A264" s="26">
        <f>Prices!A249</f>
        <v>46301</v>
      </c>
      <c r="B264" s="27">
        <f>Prices!B249/Prices!B$2*100</f>
        <v>64.033841930322737</v>
      </c>
      <c r="C264" s="27">
        <f>Prices!C249/Prices!C$2*100</f>
        <v>59.159691800969739</v>
      </c>
      <c r="D264" s="27">
        <f>Prices!D249/Prices!D$2*100</f>
        <v>144.18086772726417</v>
      </c>
      <c r="E264" s="27">
        <f>Prices!E249/Prices!E$2*100</f>
        <v>94.54627407975417</v>
      </c>
      <c r="F264" s="27">
        <f>Prices!F249/Prices!F$2*100</f>
        <v>87.080546755837148</v>
      </c>
      <c r="G264" s="27">
        <f>Prices!G249/Prices!G$2*100</f>
        <v>88.981766125688225</v>
      </c>
      <c r="H264" s="1"/>
      <c r="I264" s="1"/>
      <c r="J264" s="1"/>
      <c r="K264" s="1"/>
      <c r="L264" s="1"/>
      <c r="M264" s="1"/>
      <c r="N264" s="1"/>
      <c r="O264" s="1"/>
    </row>
    <row r="265" spans="1:15" x14ac:dyDescent="0.3">
      <c r="A265" s="26">
        <f>Prices!A250</f>
        <v>46302</v>
      </c>
      <c r="B265" s="27">
        <f>Prices!B250/Prices!B$2*100</f>
        <v>62.897323484104973</v>
      </c>
      <c r="C265" s="27">
        <f>Prices!C250/Prices!C$2*100</f>
        <v>57.628757077839289</v>
      </c>
      <c r="D265" s="27">
        <f>Prices!D250/Prices!D$2*100</f>
        <v>141.44445073505821</v>
      </c>
      <c r="E265" s="27">
        <f>Prices!E250/Prices!E$2*100</f>
        <v>94.54627407975417</v>
      </c>
      <c r="F265" s="27">
        <f>Prices!F250/Prices!F$2*100</f>
        <v>86.851387422269156</v>
      </c>
      <c r="G265" s="27">
        <f>Prices!G250/Prices!G$2*100</f>
        <v>88.431834491461586</v>
      </c>
      <c r="H265" s="1"/>
      <c r="I265" s="1"/>
      <c r="J265" s="1"/>
      <c r="K265" s="1"/>
      <c r="L265" s="1"/>
      <c r="M265" s="1"/>
      <c r="N265" s="1"/>
      <c r="O265" s="1"/>
    </row>
    <row r="266" spans="1:15" x14ac:dyDescent="0.3">
      <c r="A266" s="26">
        <f>Prices!A251</f>
        <v>46303</v>
      </c>
      <c r="B266" s="27">
        <f>Prices!B251/Prices!B$2*100</f>
        <v>61.521537996578182</v>
      </c>
      <c r="C266" s="27">
        <f>Prices!C251/Prices!C$2*100</f>
        <v>57.027318436609455</v>
      </c>
      <c r="D266" s="27">
        <f>Prices!D251/Prices!D$2*100</f>
        <v>134.5562286512295</v>
      </c>
      <c r="E266" s="27">
        <f>Prices!E251/Prices!E$2*100</f>
        <v>95.164672674752566</v>
      </c>
      <c r="F266" s="27">
        <f>Prices!F251/Prices!F$2*100</f>
        <v>85.934750087997188</v>
      </c>
      <c r="G266" s="27">
        <f>Prices!G251/Prices!G$2*100</f>
        <v>87.168561154555888</v>
      </c>
      <c r="H266" s="1"/>
      <c r="I266" s="1"/>
      <c r="J266" s="1"/>
      <c r="K266" s="1"/>
      <c r="L266" s="1"/>
      <c r="M266" s="1"/>
      <c r="N266" s="1"/>
      <c r="O266" s="1"/>
    </row>
    <row r="267" spans="1:15" x14ac:dyDescent="0.3">
      <c r="A267" s="26">
        <f>Prices!A252</f>
        <v>46304</v>
      </c>
      <c r="B267" s="27">
        <f>Prices!B252/Prices!B$2*100</f>
        <v>63.525399467541114</v>
      </c>
      <c r="C267" s="27">
        <f>Prices!C252/Prices!C$2*100</f>
        <v>58.503576919628109</v>
      </c>
      <c r="D267" s="27">
        <f>Prices!D252/Prices!D$2*100</f>
        <v>137.00956802355208</v>
      </c>
      <c r="E267" s="27">
        <f>Prices!E252/Prices!E$2*100</f>
        <v>97.913110874745414</v>
      </c>
      <c r="F267" s="27">
        <f>Prices!F252/Prices!F$2*100</f>
        <v>86.576396221987579</v>
      </c>
      <c r="G267" s="27">
        <f>Prices!G252/Prices!G$2*100</f>
        <v>88.72812667131285</v>
      </c>
      <c r="H267" s="1"/>
      <c r="I267" s="1"/>
      <c r="J267" s="1"/>
      <c r="K267" s="1"/>
      <c r="L267" s="1"/>
      <c r="M267" s="1"/>
      <c r="N267" s="1"/>
      <c r="O267" s="1"/>
    </row>
    <row r="268" spans="1:15" x14ac:dyDescent="0.3">
      <c r="A268" s="26">
        <f>Prices!A253</f>
        <v>46307</v>
      </c>
      <c r="B268" s="27">
        <f>Prices!B253/Prices!B$2*100</f>
        <v>63.674941368359242</v>
      </c>
      <c r="C268" s="27">
        <f>Prices!C253/Prices!C$2*100</f>
        <v>59.159691800969739</v>
      </c>
      <c r="D268" s="27">
        <f>Prices!D253/Prices!D$2*100</f>
        <v>139.74598501575798</v>
      </c>
      <c r="E268" s="27">
        <f>Prices!E253/Prices!E$2*100</f>
        <v>98.8063532897431</v>
      </c>
      <c r="F268" s="27">
        <f>Prices!F253/Prices!F$2*100</f>
        <v>86.026413821424384</v>
      </c>
      <c r="G268" s="27">
        <f>Prices!G253/Prices!G$2*100</f>
        <v>88.947459462659069</v>
      </c>
      <c r="H268" s="1"/>
      <c r="I268" s="1"/>
      <c r="J268" s="1"/>
      <c r="K268" s="1"/>
      <c r="L268" s="1"/>
      <c r="M268" s="1"/>
      <c r="N268" s="1"/>
      <c r="O268" s="1"/>
    </row>
    <row r="269" spans="1:15" x14ac:dyDescent="0.3">
      <c r="A269" s="26">
        <f>Prices!A254</f>
        <v>46308</v>
      </c>
      <c r="B269" s="27">
        <f>Prices!B254/Prices!B$2*100</f>
        <v>63.585216227868358</v>
      </c>
      <c r="C269" s="27">
        <f>Prices!C254/Prices!C$2*100</f>
        <v>58.612929399851723</v>
      </c>
      <c r="D269" s="27">
        <f>Prices!D254/Prices!D$2*100</f>
        <v>142.19932438808053</v>
      </c>
      <c r="E269" s="27">
        <f>Prices!E254/Prices!E$2*100</f>
        <v>100.38670525473898</v>
      </c>
      <c r="F269" s="27">
        <f>Prices!F254/Prices!F$2*100</f>
        <v>86.988883022409951</v>
      </c>
      <c r="G269" s="27">
        <f>Prices!G254/Prices!G$2*100</f>
        <v>89.218728480574555</v>
      </c>
      <c r="H269" s="1"/>
      <c r="I269" s="1"/>
      <c r="J269" s="1"/>
      <c r="K269" s="1"/>
      <c r="L269" s="1"/>
      <c r="M269" s="1"/>
      <c r="N269" s="1"/>
      <c r="O269" s="1"/>
    </row>
    <row r="270" spans="1:15" x14ac:dyDescent="0.3">
      <c r="A270" s="26">
        <f>Prices!A255</f>
        <v>46309</v>
      </c>
      <c r="B270" s="27">
        <f>Prices!B255/Prices!B$2*100</f>
        <v>63.316040806395726</v>
      </c>
      <c r="C270" s="27">
        <f>Prices!C255/Prices!C$2*100</f>
        <v>60.417245323541181</v>
      </c>
      <c r="D270" s="27">
        <f>Prices!D255/Prices!D$2*100</f>
        <v>139.65162580913019</v>
      </c>
      <c r="E270" s="27">
        <f>Prices!E255/Prices!E$2*100</f>
        <v>99.974439524740049</v>
      </c>
      <c r="F270" s="27">
        <f>Prices!F255/Prices!F$2*100</f>
        <v>85.613927021001999</v>
      </c>
      <c r="G270" s="27">
        <f>Prices!G255/Prices!G$2*100</f>
        <v>89.104935595784468</v>
      </c>
      <c r="H270" s="1"/>
      <c r="I270" s="1"/>
      <c r="J270" s="1"/>
      <c r="K270" s="1"/>
      <c r="L270" s="1"/>
      <c r="M270" s="1"/>
      <c r="N270" s="1"/>
      <c r="O270" s="1"/>
    </row>
    <row r="271" spans="1:15" x14ac:dyDescent="0.3">
      <c r="A271" s="26">
        <f>Prices!A256</f>
        <v>46310</v>
      </c>
      <c r="B271" s="27">
        <f>Prices!B256/Prices!B$2*100</f>
        <v>62.478606161814213</v>
      </c>
      <c r="C271" s="27">
        <f>Prices!C256/Prices!C$2*100</f>
        <v>58.175519478957305</v>
      </c>
      <c r="D271" s="27">
        <f>Prices!D256/Prices!D$2*100</f>
        <v>139.55726660250244</v>
      </c>
      <c r="E271" s="27">
        <f>Prices!E256/Prices!E$2*100</f>
        <v>99.562173794741142</v>
      </c>
      <c r="F271" s="27">
        <f>Prices!F256/Prices!F$2*100</f>
        <v>85.109776487152416</v>
      </c>
      <c r="G271" s="27">
        <f>Prices!G256/Prices!G$2*100</f>
        <v>88.183441468542583</v>
      </c>
      <c r="H271" s="1"/>
      <c r="I271" s="1"/>
      <c r="J271" s="1"/>
      <c r="K271" s="1"/>
      <c r="L271" s="1"/>
      <c r="M271" s="1"/>
      <c r="N271" s="1"/>
      <c r="O271" s="1"/>
    </row>
    <row r="272" spans="1:15" x14ac:dyDescent="0.3">
      <c r="A272" s="26">
        <f>Prices!A257</f>
        <v>46311</v>
      </c>
      <c r="B272" s="27">
        <f>Prices!B257/Prices!B$2*100</f>
        <v>62.478606161814213</v>
      </c>
      <c r="C272" s="27">
        <f>Prices!C257/Prices!C$2*100</f>
        <v>59.487749241640543</v>
      </c>
      <c r="D272" s="27">
        <f>Prices!D257/Prices!D$2*100</f>
        <v>141.25573232180264</v>
      </c>
      <c r="E272" s="27">
        <f>Prices!E257/Prices!E$2*100</f>
        <v>100.73026002973808</v>
      </c>
      <c r="F272" s="27">
        <f>Prices!F257/Prices!F$2*100</f>
        <v>85.843086354569991</v>
      </c>
      <c r="G272" s="27">
        <f>Prices!G257/Prices!G$2*100</f>
        <v>88.638269255767639</v>
      </c>
      <c r="H272" s="1"/>
      <c r="I272" s="1"/>
      <c r="J272" s="1"/>
      <c r="K272" s="1"/>
      <c r="L272" s="1"/>
      <c r="M272" s="1"/>
      <c r="N272" s="1"/>
      <c r="O272" s="1"/>
    </row>
  </sheetData>
  <phoneticPr fontId="12" type="noConversion"/>
  <conditionalFormatting sqref="E5:E10">
    <cfRule type="colorScale" priority="2">
      <colorScale>
        <cfvo type="min"/>
        <cfvo type="num" val="0"/>
        <cfvo type="max"/>
        <color rgb="FFF8696B"/>
        <color rgb="FFFFFFFF"/>
        <color rgb="FF63BE7B"/>
      </colorScale>
    </cfRule>
  </conditionalFormatting>
  <conditionalFormatting sqref="H5:H10">
    <cfRule type="colorScale" priority="3">
      <colorScale>
        <cfvo type="min"/>
        <cfvo type="num" val="0"/>
        <cfvo type="max"/>
        <color rgb="FFF8696B"/>
        <color rgb="FFFFFFFF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3"/>
  <sheetViews>
    <sheetView zoomScaleNormal="100" workbookViewId="0"/>
  </sheetViews>
  <sheetFormatPr defaultColWidth="8.6640625" defaultRowHeight="14.4" x14ac:dyDescent="0.3"/>
  <cols>
    <col min="1" max="1" width="12" customWidth="1"/>
    <col min="2" max="7" width="11" customWidth="1"/>
  </cols>
  <sheetData>
    <row r="1" spans="1:7" ht="21" x14ac:dyDescent="0.4">
      <c r="A1" s="2" t="s">
        <v>74</v>
      </c>
      <c r="B1" s="1"/>
      <c r="C1" s="1"/>
      <c r="D1" s="1"/>
      <c r="E1" s="1"/>
      <c r="F1" s="1"/>
      <c r="G1" s="1"/>
    </row>
    <row r="2" spans="1:7" x14ac:dyDescent="0.3">
      <c r="A2" s="1"/>
      <c r="B2" s="1"/>
      <c r="C2" s="1"/>
      <c r="D2" s="1"/>
      <c r="E2" s="1"/>
      <c r="F2" s="1"/>
      <c r="G2" s="1"/>
    </row>
    <row r="3" spans="1:7" x14ac:dyDescent="0.3">
      <c r="A3" s="20"/>
      <c r="B3" s="20" t="s">
        <v>26</v>
      </c>
      <c r="C3" s="20" t="s">
        <v>61</v>
      </c>
      <c r="D3" s="20" t="s">
        <v>63</v>
      </c>
      <c r="E3" s="20" t="s">
        <v>65</v>
      </c>
      <c r="F3" s="20" t="s">
        <v>67</v>
      </c>
      <c r="G3" s="20" t="s">
        <v>69</v>
      </c>
    </row>
    <row r="4" spans="1:7" x14ac:dyDescent="0.3">
      <c r="A4" s="28" t="s">
        <v>26</v>
      </c>
      <c r="B4" s="29">
        <f>CORREL(INDEX(Returns!$B$3:$G$257,0,MATCH($A4,Prices!$B$1:$G$1,0)),INDEX(Returns!$B$3:$G$257,0,MATCH(B$3,Prices!$B$1:$G$1,0)))</f>
        <v>0.99999999999999989</v>
      </c>
      <c r="C4" s="29">
        <f>CORREL(INDEX(Returns!$B$3:$G$257,0,MATCH($A4,Prices!$B$1:$G$1,0)),INDEX(Returns!$B$3:$G$257,0,MATCH(C$3,Prices!$B$1:$G$1,0)))</f>
        <v>0.67107220747053298</v>
      </c>
      <c r="D4" s="29">
        <f>CORREL(INDEX(Returns!$B$3:$G$257,0,MATCH($A4,Prices!$B$1:$G$1,0)),INDEX(Returns!$B$3:$G$257,0,MATCH(D$3,Prices!$B$1:$G$1,0)))</f>
        <v>0.29068087659856051</v>
      </c>
      <c r="E4" s="29">
        <f>CORREL(INDEX(Returns!$B$3:$G$257,0,MATCH($A4,Prices!$B$1:$G$1,0)),INDEX(Returns!$B$3:$G$257,0,MATCH(E$3,Prices!$B$1:$G$1,0)))</f>
        <v>0.37156601990238469</v>
      </c>
      <c r="F4" s="29">
        <f>CORREL(INDEX(Returns!$B$3:$G$257,0,MATCH($A4,Prices!$B$1:$G$1,0)),INDEX(Returns!$B$3:$G$257,0,MATCH(F$3,Prices!$B$1:$G$1,0)))</f>
        <v>0.60484477921537161</v>
      </c>
      <c r="G4" s="29">
        <f>CORREL(INDEX(Returns!$B$3:$G$257,0,MATCH($A4,Prices!$B$1:$G$1,0)),INDEX(Returns!$B$3:$G$257,0,MATCH(G$3,Prices!$B$1:$G$1,0)))</f>
        <v>0.73815199314800739</v>
      </c>
    </row>
    <row r="5" spans="1:7" x14ac:dyDescent="0.3">
      <c r="A5" s="28" t="s">
        <v>61</v>
      </c>
      <c r="B5" s="29">
        <f>CORREL(INDEX(Returns!$B$3:$G$257,0,MATCH($A5,Prices!$B$1:$G$1,0)),INDEX(Returns!$B$3:$G$257,0,MATCH(B$3,Prices!$B$1:$G$1,0)))</f>
        <v>0.67107220747053298</v>
      </c>
      <c r="C5" s="29">
        <f>CORREL(INDEX(Returns!$B$3:$G$257,0,MATCH($A5,Prices!$B$1:$G$1,0)),INDEX(Returns!$B$3:$G$257,0,MATCH(C$3,Prices!$B$1:$G$1,0)))</f>
        <v>1</v>
      </c>
      <c r="D5" s="29">
        <f>CORREL(INDEX(Returns!$B$3:$G$257,0,MATCH($A5,Prices!$B$1:$G$1,0)),INDEX(Returns!$B$3:$G$257,0,MATCH(D$3,Prices!$B$1:$G$1,0)))</f>
        <v>0.329368023734254</v>
      </c>
      <c r="E5" s="29">
        <f>CORREL(INDEX(Returns!$B$3:$G$257,0,MATCH($A5,Prices!$B$1:$G$1,0)),INDEX(Returns!$B$3:$G$257,0,MATCH(E$3,Prices!$B$1:$G$1,0)))</f>
        <v>0.31247041733066611</v>
      </c>
      <c r="F5" s="29">
        <f>CORREL(INDEX(Returns!$B$3:$G$257,0,MATCH($A5,Prices!$B$1:$G$1,0)),INDEX(Returns!$B$3:$G$257,0,MATCH(F$3,Prices!$B$1:$G$1,0)))</f>
        <v>0.59656590689808175</v>
      </c>
      <c r="G5" s="29">
        <f>CORREL(INDEX(Returns!$B$3:$G$257,0,MATCH($A5,Prices!$B$1:$G$1,0)),INDEX(Returns!$B$3:$G$257,0,MATCH(G$3,Prices!$B$1:$G$1,0)))</f>
        <v>0.78807879383021651</v>
      </c>
    </row>
    <row r="6" spans="1:7" x14ac:dyDescent="0.3">
      <c r="A6" s="28" t="s">
        <v>63</v>
      </c>
      <c r="B6" s="29">
        <f>CORREL(INDEX(Returns!$B$3:$G$257,0,MATCH($A6,Prices!$B$1:$G$1,0)),INDEX(Returns!$B$3:$G$257,0,MATCH(B$3,Prices!$B$1:$G$1,0)))</f>
        <v>0.29068087659856051</v>
      </c>
      <c r="C6" s="29">
        <f>CORREL(INDEX(Returns!$B$3:$G$257,0,MATCH($A6,Prices!$B$1:$G$1,0)),INDEX(Returns!$B$3:$G$257,0,MATCH(C$3,Prices!$B$1:$G$1,0)))</f>
        <v>0.329368023734254</v>
      </c>
      <c r="D6" s="29">
        <f>CORREL(INDEX(Returns!$B$3:$G$257,0,MATCH($A6,Prices!$B$1:$G$1,0)),INDEX(Returns!$B$3:$G$257,0,MATCH(D$3,Prices!$B$1:$G$1,0)))</f>
        <v>1.0000000000000002</v>
      </c>
      <c r="E6" s="29">
        <f>CORREL(INDEX(Returns!$B$3:$G$257,0,MATCH($A6,Prices!$B$1:$G$1,0)),INDEX(Returns!$B$3:$G$257,0,MATCH(E$3,Prices!$B$1:$G$1,0)))</f>
        <v>0.57420630548763996</v>
      </c>
      <c r="F6" s="29">
        <f>CORREL(INDEX(Returns!$B$3:$G$257,0,MATCH($A6,Prices!$B$1:$G$1,0)),INDEX(Returns!$B$3:$G$257,0,MATCH(F$3,Prices!$B$1:$G$1,0)))</f>
        <v>0.46308441287556606</v>
      </c>
      <c r="G6" s="29">
        <f>CORREL(INDEX(Returns!$B$3:$G$257,0,MATCH($A6,Prices!$B$1:$G$1,0)),INDEX(Returns!$B$3:$G$257,0,MATCH(G$3,Prices!$B$1:$G$1,0)))</f>
        <v>0.60059016153839251</v>
      </c>
    </row>
    <row r="7" spans="1:7" x14ac:dyDescent="0.3">
      <c r="A7" s="28" t="s">
        <v>65</v>
      </c>
      <c r="B7" s="29">
        <f>CORREL(INDEX(Returns!$B$3:$G$257,0,MATCH($A7,Prices!$B$1:$G$1,0)),INDEX(Returns!$B$3:$G$257,0,MATCH(B$3,Prices!$B$1:$G$1,0)))</f>
        <v>0.37156601990238469</v>
      </c>
      <c r="C7" s="29">
        <f>CORREL(INDEX(Returns!$B$3:$G$257,0,MATCH($A7,Prices!$B$1:$G$1,0)),INDEX(Returns!$B$3:$G$257,0,MATCH(C$3,Prices!$B$1:$G$1,0)))</f>
        <v>0.31247041733066611</v>
      </c>
      <c r="D7" s="29">
        <f>CORREL(INDEX(Returns!$B$3:$G$257,0,MATCH($A7,Prices!$B$1:$G$1,0)),INDEX(Returns!$B$3:$G$257,0,MATCH(D$3,Prices!$B$1:$G$1,0)))</f>
        <v>0.57420630548763996</v>
      </c>
      <c r="E7" s="29">
        <f>CORREL(INDEX(Returns!$B$3:$G$257,0,MATCH($A7,Prices!$B$1:$G$1,0)),INDEX(Returns!$B$3:$G$257,0,MATCH(E$3,Prices!$B$1:$G$1,0)))</f>
        <v>0.99999999999999989</v>
      </c>
      <c r="F7" s="29">
        <f>CORREL(INDEX(Returns!$B$3:$G$257,0,MATCH($A7,Prices!$B$1:$G$1,0)),INDEX(Returns!$B$3:$G$257,0,MATCH(F$3,Prices!$B$1:$G$1,0)))</f>
        <v>0.60014266239233705</v>
      </c>
      <c r="G7" s="29">
        <f>CORREL(INDEX(Returns!$B$3:$G$257,0,MATCH($A7,Prices!$B$1:$G$1,0)),INDEX(Returns!$B$3:$G$257,0,MATCH(G$3,Prices!$B$1:$G$1,0)))</f>
        <v>0.65098087175278252</v>
      </c>
    </row>
    <row r="8" spans="1:7" x14ac:dyDescent="0.3">
      <c r="A8" s="28" t="s">
        <v>67</v>
      </c>
      <c r="B8" s="29">
        <f>CORREL(INDEX(Returns!$B$3:$G$257,0,MATCH($A8,Prices!$B$1:$G$1,0)),INDEX(Returns!$B$3:$G$257,0,MATCH(B$3,Prices!$B$1:$G$1,0)))</f>
        <v>0.60484477921537161</v>
      </c>
      <c r="C8" s="29">
        <f>CORREL(INDEX(Returns!$B$3:$G$257,0,MATCH($A8,Prices!$B$1:$G$1,0)),INDEX(Returns!$B$3:$G$257,0,MATCH(C$3,Prices!$B$1:$G$1,0)))</f>
        <v>0.59656590689808175</v>
      </c>
      <c r="D8" s="29">
        <f>CORREL(INDEX(Returns!$B$3:$G$257,0,MATCH($A8,Prices!$B$1:$G$1,0)),INDEX(Returns!$B$3:$G$257,0,MATCH(D$3,Prices!$B$1:$G$1,0)))</f>
        <v>0.46308441287556606</v>
      </c>
      <c r="E8" s="29">
        <f>CORREL(INDEX(Returns!$B$3:$G$257,0,MATCH($A8,Prices!$B$1:$G$1,0)),INDEX(Returns!$B$3:$G$257,0,MATCH(E$3,Prices!$B$1:$G$1,0)))</f>
        <v>0.60014266239233705</v>
      </c>
      <c r="F8" s="29">
        <f>CORREL(INDEX(Returns!$B$3:$G$257,0,MATCH($A8,Prices!$B$1:$G$1,0)),INDEX(Returns!$B$3:$G$257,0,MATCH(F$3,Prices!$B$1:$G$1,0)))</f>
        <v>1</v>
      </c>
      <c r="G8" s="29">
        <f>CORREL(INDEX(Returns!$B$3:$G$257,0,MATCH($A8,Prices!$B$1:$G$1,0)),INDEX(Returns!$B$3:$G$257,0,MATCH(G$3,Prices!$B$1:$G$1,0)))</f>
        <v>0.81969147420911859</v>
      </c>
    </row>
    <row r="9" spans="1:7" x14ac:dyDescent="0.3">
      <c r="A9" s="28" t="s">
        <v>69</v>
      </c>
      <c r="B9" s="29">
        <f>CORREL(INDEX(Returns!$B$3:$G$257,0,MATCH($A9,Prices!$B$1:$G$1,0)),INDEX(Returns!$B$3:$G$257,0,MATCH(B$3,Prices!$B$1:$G$1,0)))</f>
        <v>0.73815199314800739</v>
      </c>
      <c r="C9" s="29">
        <f>CORREL(INDEX(Returns!$B$3:$G$257,0,MATCH($A9,Prices!$B$1:$G$1,0)),INDEX(Returns!$B$3:$G$257,0,MATCH(C$3,Prices!$B$1:$G$1,0)))</f>
        <v>0.78807879383021651</v>
      </c>
      <c r="D9" s="29">
        <f>CORREL(INDEX(Returns!$B$3:$G$257,0,MATCH($A9,Prices!$B$1:$G$1,0)),INDEX(Returns!$B$3:$G$257,0,MATCH(D$3,Prices!$B$1:$G$1,0)))</f>
        <v>0.60059016153839251</v>
      </c>
      <c r="E9" s="29">
        <f>CORREL(INDEX(Returns!$B$3:$G$257,0,MATCH($A9,Prices!$B$1:$G$1,0)),INDEX(Returns!$B$3:$G$257,0,MATCH(E$3,Prices!$B$1:$G$1,0)))</f>
        <v>0.65098087175278252</v>
      </c>
      <c r="F9" s="29">
        <f>CORREL(INDEX(Returns!$B$3:$G$257,0,MATCH($A9,Prices!$B$1:$G$1,0)),INDEX(Returns!$B$3:$G$257,0,MATCH(F$3,Prices!$B$1:$G$1,0)))</f>
        <v>0.81969147420911859</v>
      </c>
      <c r="G9" s="29">
        <f>CORREL(INDEX(Returns!$B$3:$G$257,0,MATCH($A9,Prices!$B$1:$G$1,0)),INDEX(Returns!$B$3:$G$257,0,MATCH(G$3,Prices!$B$1:$G$1,0)))</f>
        <v>0.99999999999999978</v>
      </c>
    </row>
    <row r="10" spans="1:7" x14ac:dyDescent="0.3">
      <c r="A10" s="1"/>
      <c r="B10" s="1"/>
      <c r="C10" s="1"/>
      <c r="D10" s="1"/>
      <c r="E10" s="1"/>
      <c r="F10" s="1"/>
      <c r="G10" s="1"/>
    </row>
    <row r="11" spans="1:7" x14ac:dyDescent="0.3">
      <c r="A11" s="19" t="s">
        <v>75</v>
      </c>
      <c r="B11" s="1"/>
      <c r="C11" s="1"/>
      <c r="D11" s="1"/>
      <c r="E11" s="1"/>
      <c r="F11" s="1"/>
      <c r="G11" s="1"/>
    </row>
    <row r="12" spans="1:7" x14ac:dyDescent="0.3">
      <c r="A12" s="1"/>
      <c r="B12" s="1"/>
      <c r="C12" s="1"/>
      <c r="D12" s="1"/>
      <c r="E12" s="1"/>
      <c r="F12" s="1"/>
      <c r="G12" s="1"/>
    </row>
    <row r="13" spans="1:7" x14ac:dyDescent="0.3">
      <c r="A13" s="4" t="s">
        <v>76</v>
      </c>
      <c r="B13" s="1"/>
      <c r="C13" s="1"/>
      <c r="D13" s="30">
        <f>MIN(B4:F8)</f>
        <v>0.29068087659856051</v>
      </c>
      <c r="E13" s="1"/>
      <c r="F13" s="1"/>
      <c r="G13" s="1"/>
    </row>
  </sheetData>
  <phoneticPr fontId="12" type="noConversion"/>
  <conditionalFormatting sqref="B4:G9">
    <cfRule type="colorScale" priority="2">
      <colorScale>
        <cfvo type="num" val="0"/>
        <cfvo type="num" val="1"/>
        <color rgb="FFFFFFFF"/>
        <color rgb="FF4472C4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8"/>
  <sheetViews>
    <sheetView zoomScaleNormal="100" workbookViewId="0"/>
  </sheetViews>
  <sheetFormatPr defaultColWidth="8.6640625" defaultRowHeight="14.4" x14ac:dyDescent="0.3"/>
  <cols>
    <col min="1" max="7" width="12" customWidth="1"/>
  </cols>
  <sheetData>
    <row r="1" spans="1:7" ht="21" x14ac:dyDescent="0.4">
      <c r="A1" s="2" t="s">
        <v>77</v>
      </c>
      <c r="B1" s="1"/>
      <c r="C1" s="1"/>
      <c r="D1" s="1"/>
      <c r="E1" s="1"/>
      <c r="F1" s="1"/>
      <c r="G1" s="1"/>
    </row>
    <row r="2" spans="1:7" x14ac:dyDescent="0.3">
      <c r="A2" s="1"/>
      <c r="B2" s="1"/>
      <c r="C2" s="1"/>
      <c r="D2" s="1"/>
      <c r="E2" s="1"/>
      <c r="F2" s="1"/>
      <c r="G2" s="1"/>
    </row>
    <row r="3" spans="1:7" x14ac:dyDescent="0.3">
      <c r="A3" s="4" t="s">
        <v>78</v>
      </c>
      <c r="B3" s="1"/>
      <c r="C3" s="1"/>
      <c r="D3" s="1"/>
      <c r="E3" s="1"/>
      <c r="F3" s="1"/>
      <c r="G3" s="1"/>
    </row>
    <row r="4" spans="1:7" x14ac:dyDescent="0.3">
      <c r="A4" s="20" t="s">
        <v>79</v>
      </c>
      <c r="B4" s="20" t="s">
        <v>26</v>
      </c>
      <c r="C4" s="20" t="s">
        <v>61</v>
      </c>
      <c r="D4" s="20" t="s">
        <v>63</v>
      </c>
      <c r="E4" s="20" t="s">
        <v>65</v>
      </c>
      <c r="F4" s="20" t="s">
        <v>67</v>
      </c>
      <c r="G4" s="20" t="s">
        <v>69</v>
      </c>
    </row>
    <row r="5" spans="1:7" x14ac:dyDescent="0.3">
      <c r="A5" s="31">
        <v>45962</v>
      </c>
      <c r="B5" s="23">
        <f>INDEX(INDEX(Prices!$B$2:$G$257,0,MATCH(B$4,Prices!$B$1:$G$1,0)),MATCH(EOMONTH($A5,0),Prices!$A$2:$A$257,1))/INDEX(INDEX(Prices!$B$2:$G$257,0,MATCH(B$4,Prices!$B$1:$G$1,0)),MATCH(EOMONTH($A5,-1),Prices!$A$2:$A$257,1))-1</f>
        <v>-2.7822007346933519E-2</v>
      </c>
      <c r="C5" s="23">
        <f>INDEX(INDEX(Prices!$B$2:$G$257,0,MATCH(C$4,Prices!$B$1:$G$1,0)),MATCH(EOMONTH($A5,0),Prices!$A$2:$A$257,1))/INDEX(INDEX(Prices!$B$2:$G$257,0,MATCH(C$4,Prices!$B$1:$G$1,0)),MATCH(EOMONTH($A5,-1),Prices!$A$2:$A$257,1))-1</f>
        <v>-8.2374000166146266E-2</v>
      </c>
      <c r="D5" s="23">
        <f>INDEX(INDEX(Prices!$B$2:$G$257,0,MATCH(D$4,Prices!$B$1:$G$1,0)),MATCH(EOMONTH($A5,0),Prices!$A$2:$A$257,1))/INDEX(INDEX(Prices!$B$2:$G$257,0,MATCH(D$4,Prices!$B$1:$G$1,0)),MATCH(EOMONTH($A5,-1),Prices!$A$2:$A$257,1))-1</f>
        <v>1.8421498034247197E-2</v>
      </c>
      <c r="E5" s="23">
        <f>INDEX(INDEX(Prices!$B$2:$G$257,0,MATCH(E$4,Prices!$B$1:$G$1,0)),MATCH(EOMONTH($A5,0),Prices!$A$2:$A$257,1))/INDEX(INDEX(Prices!$B$2:$G$257,0,MATCH(E$4,Prices!$B$1:$G$1,0)),MATCH(EOMONTH($A5,-1),Prices!$A$2:$A$257,1))-1</f>
        <v>6.8257949057057177E-2</v>
      </c>
      <c r="F5" s="23">
        <f>INDEX(INDEX(Prices!$B$2:$G$257,0,MATCH(F$4,Prices!$B$1:$G$1,0)),MATCH(EOMONTH($A5,0),Prices!$A$2:$A$257,1))/INDEX(INDEX(Prices!$B$2:$G$257,0,MATCH(F$4,Prices!$B$1:$G$1,0)),MATCH(EOMONTH($A5,-1),Prices!$A$2:$A$257,1))-1</f>
        <v>-2.97450988480642E-2</v>
      </c>
      <c r="G5" s="23">
        <f>INDEX(INDEX(Prices!$B$2:$G$257,0,MATCH(G$4,Prices!$B$1:$G$1,0)),MATCH(EOMONTH($A5,0),Prices!$A$2:$A$257,1))/INDEX(INDEX(Prices!$B$2:$G$257,0,MATCH(G$4,Prices!$B$1:$G$1,0)),MATCH(EOMONTH($A5,-1),Prices!$A$2:$A$257,1))-1</f>
        <v>-1.8435343536344906E-3</v>
      </c>
    </row>
    <row r="6" spans="1:7" x14ac:dyDescent="0.3">
      <c r="A6" s="31">
        <v>45992</v>
      </c>
      <c r="B6" s="23">
        <f>INDEX(INDEX(Prices!$B$2:$G$257,0,MATCH(B$4,Prices!$B$1:$G$1,0)),MATCH(EOMONTH($A6,0),Prices!$A$2:$A$257,1))/INDEX(INDEX(Prices!$B$2:$G$257,0,MATCH(B$4,Prices!$B$1:$G$1,0)),MATCH(EOMONTH($A6,-1),Prices!$A$2:$A$257,1))-1</f>
        <v>-2.0441635681582193E-2</v>
      </c>
      <c r="C6" s="23">
        <f>INDEX(INDEX(Prices!$B$2:$G$257,0,MATCH(C$4,Prices!$B$1:$G$1,0)),MATCH(EOMONTH($A6,0),Prices!$A$2:$A$257,1))/INDEX(INDEX(Prices!$B$2:$G$257,0,MATCH(C$4,Prices!$B$1:$G$1,0)),MATCH(EOMONTH($A6,-1),Prices!$A$2:$A$257,1))-1</f>
        <v>-5.742607886594997E-2</v>
      </c>
      <c r="D6" s="23">
        <f>INDEX(INDEX(Prices!$B$2:$G$257,0,MATCH(D$4,Prices!$B$1:$G$1,0)),MATCH(EOMONTH($A6,0),Prices!$A$2:$A$257,1))/INDEX(INDEX(Prices!$B$2:$G$257,0,MATCH(D$4,Prices!$B$1:$G$1,0)),MATCH(EOMONTH($A6,-1),Prices!$A$2:$A$257,1))-1</f>
        <v>0.11802351752418327</v>
      </c>
      <c r="E6" s="23">
        <f>INDEX(INDEX(Prices!$B$2:$G$257,0,MATCH(E$4,Prices!$B$1:$G$1,0)),MATCH(EOMONTH($A6,0),Prices!$A$2:$A$257,1))/INDEX(INDEX(Prices!$B$2:$G$257,0,MATCH(E$4,Prices!$B$1:$G$1,0)),MATCH(EOMONTH($A6,-1),Prices!$A$2:$A$257,1))-1</f>
        <v>-6.2040747844588351E-3</v>
      </c>
      <c r="F6" s="23">
        <f>INDEX(INDEX(Prices!$B$2:$G$257,0,MATCH(F$4,Prices!$B$1:$G$1,0)),MATCH(EOMONTH($A6,0),Prices!$A$2:$A$257,1))/INDEX(INDEX(Prices!$B$2:$G$257,0,MATCH(F$4,Prices!$B$1:$G$1,0)),MATCH(EOMONTH($A6,-1),Prices!$A$2:$A$257,1))-1</f>
        <v>-7.7859472068049218E-3</v>
      </c>
      <c r="G6" s="23">
        <f>INDEX(INDEX(Prices!$B$2:$G$257,0,MATCH(G$4,Prices!$B$1:$G$1,0)),MATCH(EOMONTH($A6,0),Prices!$A$2:$A$257,1))/INDEX(INDEX(Prices!$B$2:$G$257,0,MATCH(G$4,Prices!$B$1:$G$1,0)),MATCH(EOMONTH($A6,-1),Prices!$A$2:$A$257,1))-1</f>
        <v>-8.8306765952286259E-3</v>
      </c>
    </row>
    <row r="7" spans="1:7" x14ac:dyDescent="0.3">
      <c r="A7" s="31">
        <v>46023</v>
      </c>
      <c r="B7" s="23">
        <f>INDEX(INDEX(Prices!$B$2:$G$257,0,MATCH(B$4,Prices!$B$1:$G$1,0)),MATCH(EOMONTH($A7,0),Prices!$A$2:$A$257,1))/INDEX(INDEX(Prices!$B$2:$G$257,0,MATCH(B$4,Prices!$B$1:$G$1,0)),MATCH(EOMONTH($A7,-1),Prices!$A$2:$A$257,1))-1</f>
        <v>1.1686342913561631E-2</v>
      </c>
      <c r="C7" s="23">
        <f>INDEX(INDEX(Prices!$B$2:$G$257,0,MATCH(C$4,Prices!$B$1:$G$1,0)),MATCH(EOMONTH($A7,0),Prices!$A$2:$A$257,1))/INDEX(INDEX(Prices!$B$2:$G$257,0,MATCH(C$4,Prices!$B$1:$G$1,0)),MATCH(EOMONTH($A7,-1),Prices!$A$2:$A$257,1))-1</f>
        <v>0.18487393779720818</v>
      </c>
      <c r="D7" s="23">
        <f>INDEX(INDEX(Prices!$B$2:$G$257,0,MATCH(D$4,Prices!$B$1:$G$1,0)),MATCH(EOMONTH($A7,0),Prices!$A$2:$A$257,1))/INDEX(INDEX(Prices!$B$2:$G$257,0,MATCH(D$4,Prices!$B$1:$G$1,0)),MATCH(EOMONTH($A7,-1),Prices!$A$2:$A$257,1))-1</f>
        <v>0.11783932638002326</v>
      </c>
      <c r="E7" s="23">
        <f>INDEX(INDEX(Prices!$B$2:$G$257,0,MATCH(E$4,Prices!$B$1:$G$1,0)),MATCH(EOMONTH($A7,0),Prices!$A$2:$A$257,1))/INDEX(INDEX(Prices!$B$2:$G$257,0,MATCH(E$4,Prices!$B$1:$G$1,0)),MATCH(EOMONTH($A7,-1),Prices!$A$2:$A$257,1))-1</f>
        <v>0.12796536464328656</v>
      </c>
      <c r="F7" s="23">
        <f>INDEX(INDEX(Prices!$B$2:$G$257,0,MATCH(F$4,Prices!$B$1:$G$1,0)),MATCH(EOMONTH($A7,0),Prices!$A$2:$A$257,1))/INDEX(INDEX(Prices!$B$2:$G$257,0,MATCH(F$4,Prices!$B$1:$G$1,0)),MATCH(EOMONTH($A7,-1),Prices!$A$2:$A$257,1))-1</f>
        <v>5.9833170767080279E-2</v>
      </c>
      <c r="G7" s="23">
        <f>INDEX(INDEX(Prices!$B$2:$G$257,0,MATCH(G$4,Prices!$B$1:$G$1,0)),MATCH(EOMONTH($A7,0),Prices!$A$2:$A$257,1))/INDEX(INDEX(Prices!$B$2:$G$257,0,MATCH(G$4,Prices!$B$1:$G$1,0)),MATCH(EOMONTH($A7,-1),Prices!$A$2:$A$257,1))-1</f>
        <v>6.8534270510135276E-2</v>
      </c>
    </row>
    <row r="8" spans="1:7" x14ac:dyDescent="0.3">
      <c r="A8" s="31">
        <v>46054</v>
      </c>
      <c r="B8" s="23">
        <f>INDEX(INDEX(Prices!$B$2:$G$257,0,MATCH(B$4,Prices!$B$1:$G$1,0)),MATCH(EOMONTH($A8,0),Prices!$A$2:$A$257,1))/INDEX(INDEX(Prices!$B$2:$G$257,0,MATCH(B$4,Prices!$B$1:$G$1,0)),MATCH(EOMONTH($A8,-1),Prices!$A$2:$A$257,1))-1</f>
        <v>-0.14521463274486746</v>
      </c>
      <c r="C8" s="23">
        <f>INDEX(INDEX(Prices!$B$2:$G$257,0,MATCH(C$4,Prices!$B$1:$G$1,0)),MATCH(EOMONTH($A8,0),Prices!$A$2:$A$257,1))/INDEX(INDEX(Prices!$B$2:$G$257,0,MATCH(C$4,Prices!$B$1:$G$1,0)),MATCH(EOMONTH($A8,-1),Prices!$A$2:$A$257,1))-1</f>
        <v>-0.15543727216625258</v>
      </c>
      <c r="D8" s="23">
        <f>INDEX(INDEX(Prices!$B$2:$G$257,0,MATCH(D$4,Prices!$B$1:$G$1,0)),MATCH(EOMONTH($A8,0),Prices!$A$2:$A$257,1))/INDEX(INDEX(Prices!$B$2:$G$257,0,MATCH(D$4,Prices!$B$1:$G$1,0)),MATCH(EOMONTH($A8,-1),Prices!$A$2:$A$257,1))-1</f>
        <v>7.8331412123455069E-2</v>
      </c>
      <c r="E8" s="23">
        <f>INDEX(INDEX(Prices!$B$2:$G$257,0,MATCH(E$4,Prices!$B$1:$G$1,0)),MATCH(EOMONTH($A8,0),Prices!$A$2:$A$257,1))/INDEX(INDEX(Prices!$B$2:$G$257,0,MATCH(E$4,Prices!$B$1:$G$1,0)),MATCH(EOMONTH($A8,-1),Prices!$A$2:$A$257,1))-1</f>
        <v>-3.9291946693033708E-2</v>
      </c>
      <c r="F8" s="23">
        <f>INDEX(INDEX(Prices!$B$2:$G$257,0,MATCH(F$4,Prices!$B$1:$G$1,0)),MATCH(EOMONTH($A8,0),Prices!$A$2:$A$257,1))/INDEX(INDEX(Prices!$B$2:$G$257,0,MATCH(F$4,Prices!$B$1:$G$1,0)),MATCH(EOMONTH($A8,-1),Prices!$A$2:$A$257,1))-1</f>
        <v>-3.0541263348928926E-2</v>
      </c>
      <c r="G8" s="23">
        <f>INDEX(INDEX(Prices!$B$2:$G$257,0,MATCH(G$4,Prices!$B$1:$G$1,0)),MATCH(EOMONTH($A8,0),Prices!$A$2:$A$257,1))/INDEX(INDEX(Prices!$B$2:$G$257,0,MATCH(G$4,Prices!$B$1:$G$1,0)),MATCH(EOMONTH($A8,-1),Prices!$A$2:$A$257,1))-1</f>
        <v>-2.762505122209058E-2</v>
      </c>
    </row>
    <row r="9" spans="1:7" x14ac:dyDescent="0.3">
      <c r="A9" s="31">
        <v>46082</v>
      </c>
      <c r="B9" s="23">
        <f>INDEX(INDEX(Prices!$B$2:$G$257,0,MATCH(B$4,Prices!$B$1:$G$1,0)),MATCH(EOMONTH($A9,0),Prices!$A$2:$A$257,1))/INDEX(INDEX(Prices!$B$2:$G$257,0,MATCH(B$4,Prices!$B$1:$G$1,0)),MATCH(EOMONTH($A9,-1),Prices!$A$2:$A$257,1))-1</f>
        <v>-6.5637009083180597E-2</v>
      </c>
      <c r="C9" s="23">
        <f>INDEX(INDEX(Prices!$B$2:$G$257,0,MATCH(C$4,Prices!$B$1:$G$1,0)),MATCH(EOMONTH($A9,0),Prices!$A$2:$A$257,1))/INDEX(INDEX(Prices!$B$2:$G$257,0,MATCH(C$4,Prices!$B$1:$G$1,0)),MATCH(EOMONTH($A9,-1),Prices!$A$2:$A$257,1))-1</f>
        <v>-0.16724977896844462</v>
      </c>
      <c r="D9" s="23">
        <f>INDEX(INDEX(Prices!$B$2:$G$257,0,MATCH(D$4,Prices!$B$1:$G$1,0)),MATCH(EOMONTH($A9,0),Prices!$A$2:$A$257,1))/INDEX(INDEX(Prices!$B$2:$G$257,0,MATCH(D$4,Prices!$B$1:$G$1,0)),MATCH(EOMONTH($A9,-1),Prices!$A$2:$A$257,1))-1</f>
        <v>-0.12272319843055024</v>
      </c>
      <c r="E9" s="23">
        <f>INDEX(INDEX(Prices!$B$2:$G$257,0,MATCH(E$4,Prices!$B$1:$G$1,0)),MATCH(EOMONTH($A9,0),Prices!$A$2:$A$257,1))/INDEX(INDEX(Prices!$B$2:$G$257,0,MATCH(E$4,Prices!$B$1:$G$1,0)),MATCH(EOMONTH($A9,-1),Prices!$A$2:$A$257,1))-1</f>
        <v>-2.2465385437038576E-2</v>
      </c>
      <c r="F9" s="23">
        <f>INDEX(INDEX(Prices!$B$2:$G$257,0,MATCH(F$4,Prices!$B$1:$G$1,0)),MATCH(EOMONTH($A9,0),Prices!$A$2:$A$257,1))/INDEX(INDEX(Prices!$B$2:$G$257,0,MATCH(F$4,Prices!$B$1:$G$1,0)),MATCH(EOMONTH($A9,-1),Prices!$A$2:$A$257,1))-1</f>
        <v>-5.7807881542431994E-2</v>
      </c>
      <c r="G9" s="23">
        <f>INDEX(INDEX(Prices!$B$2:$G$257,0,MATCH(G$4,Prices!$B$1:$G$1,0)),MATCH(EOMONTH($A9,0),Prices!$A$2:$A$257,1))/INDEX(INDEX(Prices!$B$2:$G$257,0,MATCH(G$4,Prices!$B$1:$G$1,0)),MATCH(EOMONTH($A9,-1),Prices!$A$2:$A$257,1))-1</f>
        <v>-6.9183672665492635E-2</v>
      </c>
    </row>
    <row r="10" spans="1:7" x14ac:dyDescent="0.3">
      <c r="A10" s="31">
        <v>46113</v>
      </c>
      <c r="B10" s="23">
        <f>INDEX(INDEX(Prices!$B$2:$G$257,0,MATCH(B$4,Prices!$B$1:$G$1,0)),MATCH(EOMONTH($A10,0),Prices!$A$2:$A$257,1))/INDEX(INDEX(Prices!$B$2:$G$257,0,MATCH(B$4,Prices!$B$1:$G$1,0)),MATCH(EOMONTH($A10,-1),Prices!$A$2:$A$257,1))-1</f>
        <v>-3.3471223025342112E-2</v>
      </c>
      <c r="C10" s="23">
        <f>INDEX(INDEX(Prices!$B$2:$G$257,0,MATCH(C$4,Prices!$B$1:$G$1,0)),MATCH(EOMONTH($A10,0),Prices!$A$2:$A$257,1))/INDEX(INDEX(Prices!$B$2:$G$257,0,MATCH(C$4,Prices!$B$1:$G$1,0)),MATCH(EOMONTH($A10,-1),Prices!$A$2:$A$257,1))-1</f>
        <v>5.8823925307866176E-2</v>
      </c>
      <c r="D10" s="23">
        <f>INDEX(INDEX(Prices!$B$2:$G$257,0,MATCH(D$4,Prices!$B$1:$G$1,0)),MATCH(EOMONTH($A10,0),Prices!$A$2:$A$257,1))/INDEX(INDEX(Prices!$B$2:$G$257,0,MATCH(D$4,Prices!$B$1:$G$1,0)),MATCH(EOMONTH($A10,-1),Prices!$A$2:$A$257,1))-1</f>
        <v>0.11446736388902257</v>
      </c>
      <c r="E10" s="23">
        <f>INDEX(INDEX(Prices!$B$2:$G$257,0,MATCH(E$4,Prices!$B$1:$G$1,0)),MATCH(EOMONTH($A10,0),Prices!$A$2:$A$257,1))/INDEX(INDEX(Prices!$B$2:$G$257,0,MATCH(E$4,Prices!$B$1:$G$1,0)),MATCH(EOMONTH($A10,-1),Prices!$A$2:$A$257,1))-1</f>
        <v>2.3580548763921794E-3</v>
      </c>
      <c r="F10" s="23">
        <f>INDEX(INDEX(Prices!$B$2:$G$257,0,MATCH(F$4,Prices!$B$1:$G$1,0)),MATCH(EOMONTH($A10,0),Prices!$A$2:$A$257,1))/INDEX(INDEX(Prices!$B$2:$G$257,0,MATCH(F$4,Prices!$B$1:$G$1,0)),MATCH(EOMONTH($A10,-1),Prices!$A$2:$A$257,1))-1</f>
        <v>6.1245447992926305E-2</v>
      </c>
      <c r="G10" s="23">
        <f>INDEX(INDEX(Prices!$B$2:$G$257,0,MATCH(G$4,Prices!$B$1:$G$1,0)),MATCH(EOMONTH($A10,0),Prices!$A$2:$A$257,1))/INDEX(INDEX(Prices!$B$2:$G$257,0,MATCH(G$4,Prices!$B$1:$G$1,0)),MATCH(EOMONTH($A10,-1),Prices!$A$2:$A$257,1))-1</f>
        <v>3.9873450612911254E-2</v>
      </c>
    </row>
    <row r="11" spans="1:7" x14ac:dyDescent="0.3">
      <c r="A11" s="31">
        <v>46143</v>
      </c>
      <c r="B11" s="23">
        <f>INDEX(INDEX(Prices!$B$2:$G$257,0,MATCH(B$4,Prices!$B$1:$G$1,0)),MATCH(EOMONTH($A11,0),Prices!$A$2:$A$257,1))/INDEX(INDEX(Prices!$B$2:$G$257,0,MATCH(B$4,Prices!$B$1:$G$1,0)),MATCH(EOMONTH($A11,-1),Prices!$A$2:$A$257,1))-1</f>
        <v>-7.6149342015914834E-2</v>
      </c>
      <c r="C11" s="23">
        <f>INDEX(INDEX(Prices!$B$2:$G$257,0,MATCH(C$4,Prices!$B$1:$G$1,0)),MATCH(EOMONTH($A11,0),Prices!$A$2:$A$257,1))/INDEX(INDEX(Prices!$B$2:$G$257,0,MATCH(C$4,Prices!$B$1:$G$1,0)),MATCH(EOMONTH($A11,-1),Prices!$A$2:$A$257,1))-1</f>
        <v>-4.0476311549132893E-2</v>
      </c>
      <c r="D11" s="23">
        <f>INDEX(INDEX(Prices!$B$2:$G$257,0,MATCH(D$4,Prices!$B$1:$G$1,0)),MATCH(EOMONTH($A11,0),Prices!$A$2:$A$257,1))/INDEX(INDEX(Prices!$B$2:$G$257,0,MATCH(D$4,Prices!$B$1:$G$1,0)),MATCH(EOMONTH($A11,-1),Prices!$A$2:$A$257,1))-1</f>
        <v>4.0726659435148971E-2</v>
      </c>
      <c r="E11" s="23">
        <f>INDEX(INDEX(Prices!$B$2:$G$257,0,MATCH(E$4,Prices!$B$1:$G$1,0)),MATCH(EOMONTH($A11,0),Prices!$A$2:$A$257,1))/INDEX(INDEX(Prices!$B$2:$G$257,0,MATCH(E$4,Prices!$B$1:$G$1,0)),MATCH(EOMONTH($A11,-1),Prices!$A$2:$A$257,1))-1</f>
        <v>-1.6156776016709506E-2</v>
      </c>
      <c r="F11" s="23">
        <f>INDEX(INDEX(Prices!$B$2:$G$257,0,MATCH(F$4,Prices!$B$1:$G$1,0)),MATCH(EOMONTH($A11,0),Prices!$A$2:$A$257,1))/INDEX(INDEX(Prices!$B$2:$G$257,0,MATCH(F$4,Prices!$B$1:$G$1,0)),MATCH(EOMONTH($A11,-1),Prices!$A$2:$A$257,1))-1</f>
        <v>-3.0553041668712977E-2</v>
      </c>
      <c r="G11" s="23">
        <f>INDEX(INDEX(Prices!$B$2:$G$257,0,MATCH(G$4,Prices!$B$1:$G$1,0)),MATCH(EOMONTH($A11,0),Prices!$A$2:$A$257,1))/INDEX(INDEX(Prices!$B$2:$G$257,0,MATCH(G$4,Prices!$B$1:$G$1,0)),MATCH(EOMONTH($A11,-1),Prices!$A$2:$A$257,1))-1</f>
        <v>-2.3049600397521353E-2</v>
      </c>
    </row>
    <row r="12" spans="1:7" x14ac:dyDescent="0.3">
      <c r="A12" s="31">
        <v>46174</v>
      </c>
      <c r="B12" s="23">
        <f>INDEX(INDEX(Prices!$B$2:$G$257,0,MATCH(B$4,Prices!$B$1:$G$1,0)),MATCH(EOMONTH($A12,0),Prices!$A$2:$A$257,1))/INDEX(INDEX(Prices!$B$2:$G$257,0,MATCH(B$4,Prices!$B$1:$G$1,0)),MATCH(EOMONTH($A12,-1),Prices!$A$2:$A$257,1))-1</f>
        <v>6.0861423220974764E-3</v>
      </c>
      <c r="C12" s="23">
        <f>INDEX(INDEX(Prices!$B$2:$G$257,0,MATCH(C$4,Prices!$B$1:$G$1,0)),MATCH(EOMONTH($A12,0),Prices!$A$2:$A$257,1))/INDEX(INDEX(Prices!$B$2:$G$257,0,MATCH(C$4,Prices!$B$1:$G$1,0)),MATCH(EOMONTH($A12,-1),Prices!$A$2:$A$257,1))-1</f>
        <v>-0.23114822650696198</v>
      </c>
      <c r="D12" s="23">
        <f>INDEX(INDEX(Prices!$B$2:$G$257,0,MATCH(D$4,Prices!$B$1:$G$1,0)),MATCH(EOMONTH($A12,0),Prices!$A$2:$A$257,1))/INDEX(INDEX(Prices!$B$2:$G$257,0,MATCH(D$4,Prices!$B$1:$G$1,0)),MATCH(EOMONTH($A12,-1),Prices!$A$2:$A$257,1))-1</f>
        <v>1.9297053708886125E-2</v>
      </c>
      <c r="E12" s="23">
        <f>INDEX(INDEX(Prices!$B$2:$G$257,0,MATCH(E$4,Prices!$B$1:$G$1,0)),MATCH(EOMONTH($A12,0),Prices!$A$2:$A$257,1))/INDEX(INDEX(Prices!$B$2:$G$257,0,MATCH(E$4,Prices!$B$1:$G$1,0)),MATCH(EOMONTH($A12,-1),Prices!$A$2:$A$257,1))-1</f>
        <v>-0.1313070467025399</v>
      </c>
      <c r="F12" s="23">
        <f>INDEX(INDEX(Prices!$B$2:$G$257,0,MATCH(F$4,Prices!$B$1:$G$1,0)),MATCH(EOMONTH($A12,0),Prices!$A$2:$A$257,1))/INDEX(INDEX(Prices!$B$2:$G$257,0,MATCH(F$4,Prices!$B$1:$G$1,0)),MATCH(EOMONTH($A12,-1),Prices!$A$2:$A$257,1))-1</f>
        <v>-9.2045900627727439E-2</v>
      </c>
      <c r="G12" s="23">
        <f>INDEX(INDEX(Prices!$B$2:$G$257,0,MATCH(G$4,Prices!$B$1:$G$1,0)),MATCH(EOMONTH($A12,0),Prices!$A$2:$A$257,1))/INDEX(INDEX(Prices!$B$2:$G$257,0,MATCH(G$4,Prices!$B$1:$G$1,0)),MATCH(EOMONTH($A12,-1),Prices!$A$2:$A$257,1))-1</f>
        <v>-9.1388110706217107E-2</v>
      </c>
    </row>
    <row r="13" spans="1:7" x14ac:dyDescent="0.3">
      <c r="A13" s="31">
        <v>46204</v>
      </c>
      <c r="B13" s="23">
        <f>INDEX(INDEX(Prices!$B$2:$G$257,0,MATCH(B$4,Prices!$B$1:$G$1,0)),MATCH(EOMONTH($A13,0),Prices!$A$2:$A$257,1))/INDEX(INDEX(Prices!$B$2:$G$257,0,MATCH(B$4,Prices!$B$1:$G$1,0)),MATCH(EOMONTH($A13,-1),Prices!$A$2:$A$257,1))-1</f>
        <v>0.10563052582596555</v>
      </c>
      <c r="C13" s="23">
        <f>INDEX(INDEX(Prices!$B$2:$G$257,0,MATCH(C$4,Prices!$B$1:$G$1,0)),MATCH(EOMONTH($A13,0),Prices!$A$2:$A$257,1))/INDEX(INDEX(Prices!$B$2:$G$257,0,MATCH(C$4,Prices!$B$1:$G$1,0)),MATCH(EOMONTH($A13,-1),Prices!$A$2:$A$257,1))-1</f>
        <v>0.260096930533118</v>
      </c>
      <c r="D13" s="23">
        <f>INDEX(INDEX(Prices!$B$2:$G$257,0,MATCH(D$4,Prices!$B$1:$G$1,0)),MATCH(EOMONTH($A13,0),Prices!$A$2:$A$257,1))/INDEX(INDEX(Prices!$B$2:$G$257,0,MATCH(D$4,Prices!$B$1:$G$1,0)),MATCH(EOMONTH($A13,-1),Prices!$A$2:$A$257,1))-1</f>
        <v>0.13725502186076377</v>
      </c>
      <c r="E13" s="23">
        <f>INDEX(INDEX(Prices!$B$2:$G$257,0,MATCH(E$4,Prices!$B$1:$G$1,0)),MATCH(EOMONTH($A13,0),Prices!$A$2:$A$257,1))/INDEX(INDEX(Prices!$B$2:$G$257,0,MATCH(E$4,Prices!$B$1:$G$1,0)),MATCH(EOMONTH($A13,-1),Prices!$A$2:$A$257,1))-1</f>
        <v>0.10916706834780787</v>
      </c>
      <c r="F13" s="23">
        <f>INDEX(INDEX(Prices!$B$2:$G$257,0,MATCH(F$4,Prices!$B$1:$G$1,0)),MATCH(EOMONTH($A13,0),Prices!$A$2:$A$257,1))/INDEX(INDEX(Prices!$B$2:$G$257,0,MATCH(F$4,Prices!$B$1:$G$1,0)),MATCH(EOMONTH($A13,-1),Prices!$A$2:$A$257,1))-1</f>
        <v>0.12561988846984318</v>
      </c>
      <c r="G13" s="23">
        <f>INDEX(INDEX(Prices!$B$2:$G$257,0,MATCH(G$4,Prices!$B$1:$G$1,0)),MATCH(EOMONTH($A13,0),Prices!$A$2:$A$257,1))/INDEX(INDEX(Prices!$B$2:$G$257,0,MATCH(G$4,Prices!$B$1:$G$1,0)),MATCH(EOMONTH($A13,-1),Prices!$A$2:$A$257,1))-1</f>
        <v>0.13126207947159019</v>
      </c>
    </row>
    <row r="14" spans="1:7" x14ac:dyDescent="0.3">
      <c r="A14" s="31">
        <v>46235</v>
      </c>
      <c r="B14" s="23">
        <f>INDEX(INDEX(Prices!$B$2:$G$257,0,MATCH(B$4,Prices!$B$1:$G$1,0)),MATCH(EOMONTH($A14,0),Prices!$A$2:$A$257,1))/INDEX(INDEX(Prices!$B$2:$G$257,0,MATCH(B$4,Prices!$B$1:$G$1,0)),MATCH(EOMONTH($A14,-1),Prices!$A$2:$A$257,1))-1</f>
        <v>-4.6717171717171713E-2</v>
      </c>
      <c r="C14" s="23">
        <f>INDEX(INDEX(Prices!$B$2:$G$257,0,MATCH(C$4,Prices!$B$1:$G$1,0)),MATCH(EOMONTH($A14,0),Prices!$A$2:$A$257,1))/INDEX(INDEX(Prices!$B$2:$G$257,0,MATCH(C$4,Prices!$B$1:$G$1,0)),MATCH(EOMONTH($A14,-1),Prices!$A$2:$A$257,1))-1</f>
        <v>-2.3931623931623958E-2</v>
      </c>
      <c r="D14" s="23">
        <f>INDEX(INDEX(Prices!$B$2:$G$257,0,MATCH(D$4,Prices!$B$1:$G$1,0)),MATCH(EOMONTH($A14,0),Prices!$A$2:$A$257,1))/INDEX(INDEX(Prices!$B$2:$G$257,0,MATCH(D$4,Prices!$B$1:$G$1,0)),MATCH(EOMONTH($A14,-1),Prices!$A$2:$A$257,1))-1</f>
        <v>-3.8133524989709233E-2</v>
      </c>
      <c r="E14" s="23">
        <f>INDEX(INDEX(Prices!$B$2:$G$257,0,MATCH(E$4,Prices!$B$1:$G$1,0)),MATCH(EOMONTH($A14,0),Prices!$A$2:$A$257,1))/INDEX(INDEX(Prices!$B$2:$G$257,0,MATCH(E$4,Prices!$B$1:$G$1,0)),MATCH(EOMONTH($A14,-1),Prices!$A$2:$A$257,1))-1</f>
        <v>-3.7855126090569735E-2</v>
      </c>
      <c r="F14" s="23">
        <f>INDEX(INDEX(Prices!$B$2:$G$257,0,MATCH(F$4,Prices!$B$1:$G$1,0)),MATCH(EOMONTH($A14,0),Prices!$A$2:$A$257,1))/INDEX(INDEX(Prices!$B$2:$G$257,0,MATCH(F$4,Prices!$B$1:$G$1,0)),MATCH(EOMONTH($A14,-1),Prices!$A$2:$A$257,1))-1</f>
        <v>4.0626453288882258E-2</v>
      </c>
      <c r="G14" s="23">
        <f>INDEX(INDEX(Prices!$B$2:$G$257,0,MATCH(G$4,Prices!$B$1:$G$1,0)),MATCH(EOMONTH($A14,0),Prices!$A$2:$A$257,1))/INDEX(INDEX(Prices!$B$2:$G$257,0,MATCH(G$4,Prices!$B$1:$G$1,0)),MATCH(EOMONTH($A14,-1),Prices!$A$2:$A$257,1))-1</f>
        <v>-1.2263723932847581E-2</v>
      </c>
    </row>
    <row r="15" spans="1:7" x14ac:dyDescent="0.3">
      <c r="A15" s="31">
        <v>46266</v>
      </c>
      <c r="B15" s="23">
        <f>INDEX(INDEX(Prices!$B$2:$G$257,0,MATCH(B$4,Prices!$B$1:$G$1,0)),MATCH(EOMONTH($A15,0),Prices!$A$2:$A$257,1))/INDEX(INDEX(Prices!$B$2:$G$257,0,MATCH(B$4,Prices!$B$1:$G$1,0)),MATCH(EOMONTH($A15,-1),Prices!$A$2:$A$257,1))-1</f>
        <v>-4.8565121412803558E-2</v>
      </c>
      <c r="C15" s="23">
        <f>INDEX(INDEX(Prices!$B$2:$G$257,0,MATCH(C$4,Prices!$B$1:$G$1,0)),MATCH(EOMONTH($A15,0),Prices!$A$2:$A$257,1))/INDEX(INDEX(Prices!$B$2:$G$257,0,MATCH(C$4,Prices!$B$1:$G$1,0)),MATCH(EOMONTH($A15,-1),Prices!$A$2:$A$257,1))-1</f>
        <v>-6.6549912434325842E-2</v>
      </c>
      <c r="D15" s="23">
        <f>INDEX(INDEX(Prices!$B$2:$G$257,0,MATCH(D$4,Prices!$B$1:$G$1,0)),MATCH(EOMONTH($A15,0),Prices!$A$2:$A$257,1))/INDEX(INDEX(Prices!$B$2:$G$257,0,MATCH(D$4,Prices!$B$1:$G$1,0)),MATCH(EOMONTH($A15,-1),Prices!$A$2:$A$257,1))-1</f>
        <v>-1.8633540372670843E-2</v>
      </c>
      <c r="E15" s="23">
        <f>INDEX(INDEX(Prices!$B$2:$G$257,0,MATCH(E$4,Prices!$B$1:$G$1,0)),MATCH(EOMONTH($A15,0),Prices!$A$2:$A$257,1))/INDEX(INDEX(Prices!$B$2:$G$257,0,MATCH(E$4,Prices!$B$1:$G$1,0)),MATCH(EOMONTH($A15,-1),Prices!$A$2:$A$257,1))-1</f>
        <v>-2.7976063910573834E-2</v>
      </c>
      <c r="F15" s="23">
        <f>INDEX(INDEX(Prices!$B$2:$G$257,0,MATCH(F$4,Prices!$B$1:$G$1,0)),MATCH(EOMONTH($A15,0),Prices!$A$2:$A$257,1))/INDEX(INDEX(Prices!$B$2:$G$257,0,MATCH(F$4,Prices!$B$1:$G$1,0)),MATCH(EOMONTH($A15,-1),Prices!$A$2:$A$257,1))-1</f>
        <v>-7.1738037676233213E-2</v>
      </c>
      <c r="G15" s="23">
        <f>INDEX(INDEX(Prices!$B$2:$G$257,0,MATCH(G$4,Prices!$B$1:$G$1,0)),MATCH(EOMONTH($A15,0),Prices!$A$2:$A$257,1))/INDEX(INDEX(Prices!$B$2:$G$257,0,MATCH(G$4,Prices!$B$1:$G$1,0)),MATCH(EOMONTH($A15,-1),Prices!$A$2:$A$257,1))-1</f>
        <v>-3.7302814783415572E-2</v>
      </c>
    </row>
    <row r="16" spans="1:7" x14ac:dyDescent="0.3">
      <c r="A16" s="31">
        <v>46296</v>
      </c>
      <c r="B16" s="23">
        <f>INDEX(INDEX(Prices!$B$2:$G$257,0,MATCH(B$4,Prices!$B$1:$G$1,0)),MATCH(EOMONTH($A16,0),Prices!$A$2:$A$257,1))/INDEX(INDEX(Prices!$B$2:$G$257,0,MATCH(B$4,Prices!$B$1:$G$1,0)),MATCH(EOMONTH($A16,-1),Prices!$A$2:$A$257,1))-1</f>
        <v>-3.0626450116009285E-2</v>
      </c>
      <c r="C16" s="23">
        <f>INDEX(INDEX(Prices!$B$2:$G$257,0,MATCH(C$4,Prices!$B$1:$G$1,0)),MATCH(EOMONTH($A16,0),Prices!$A$2:$A$257,1))/INDEX(INDEX(Prices!$B$2:$G$257,0,MATCH(C$4,Prices!$B$1:$G$1,0)),MATCH(EOMONTH($A16,-1),Prices!$A$2:$A$257,1))-1</f>
        <v>2.0637898686679312E-2</v>
      </c>
      <c r="D16" s="23">
        <f>INDEX(INDEX(Prices!$B$2:$G$257,0,MATCH(D$4,Prices!$B$1:$G$1,0)),MATCH(EOMONTH($A16,0),Prices!$A$2:$A$257,1))/INDEX(INDEX(Prices!$B$2:$G$257,0,MATCH(D$4,Prices!$B$1:$G$1,0)),MATCH(EOMONTH($A16,-1),Prices!$A$2:$A$257,1))-1</f>
        <v>-5.2531645569620311E-2</v>
      </c>
      <c r="E16" s="23">
        <f>INDEX(INDEX(Prices!$B$2:$G$257,0,MATCH(E$4,Prices!$B$1:$G$1,0)),MATCH(EOMONTH($A16,0),Prices!$A$2:$A$257,1))/INDEX(INDEX(Prices!$B$2:$G$257,0,MATCH(E$4,Prices!$B$1:$G$1,0)),MATCH(EOMONTH($A16,-1),Prices!$A$2:$A$257,1))-1</f>
        <v>-4.0760869565217295E-3</v>
      </c>
      <c r="F16" s="23">
        <f>INDEX(INDEX(Prices!$B$2:$G$257,0,MATCH(F$4,Prices!$B$1:$G$1,0)),MATCH(EOMONTH($A16,0),Prices!$A$2:$A$257,1))/INDEX(INDEX(Prices!$B$2:$G$257,0,MATCH(F$4,Prices!$B$1:$G$1,0)),MATCH(EOMONTH($A16,-1),Prices!$A$2:$A$257,1))-1</f>
        <v>-3.4038164002062943E-2</v>
      </c>
      <c r="G16" s="23">
        <f>INDEX(INDEX(Prices!$B$2:$G$257,0,MATCH(G$4,Prices!$B$1:$G$1,0)),MATCH(EOMONTH($A16,0),Prices!$A$2:$A$257,1))/INDEX(INDEX(Prices!$B$2:$G$257,0,MATCH(G$4,Prices!$B$1:$G$1,0)),MATCH(EOMONTH($A16,-1),Prices!$A$2:$A$257,1))-1</f>
        <v>-1.732558935333639E-2</v>
      </c>
    </row>
    <row r="17" spans="1:7" x14ac:dyDescent="0.3">
      <c r="A17" s="4" t="s">
        <v>80</v>
      </c>
      <c r="B17" s="32">
        <f t="shared" ref="B17:G17" si="0">INDEX($A$5:$A$16,MATCH(MAX(B5:B16),B5:B16,0))</f>
        <v>46204</v>
      </c>
      <c r="C17" s="32">
        <f t="shared" si="0"/>
        <v>46204</v>
      </c>
      <c r="D17" s="32">
        <f t="shared" si="0"/>
        <v>46204</v>
      </c>
      <c r="E17" s="32">
        <f t="shared" si="0"/>
        <v>46023</v>
      </c>
      <c r="F17" s="32">
        <f t="shared" si="0"/>
        <v>46204</v>
      </c>
      <c r="G17" s="32">
        <f t="shared" si="0"/>
        <v>46204</v>
      </c>
    </row>
    <row r="18" spans="1:7" x14ac:dyDescent="0.3">
      <c r="A18" s="1"/>
      <c r="B18" s="1"/>
      <c r="C18" s="1"/>
      <c r="D18" s="1"/>
      <c r="E18" s="1"/>
      <c r="F18" s="1"/>
      <c r="G18" s="1"/>
    </row>
    <row r="19" spans="1:7" x14ac:dyDescent="0.3">
      <c r="A19" s="4" t="s">
        <v>81</v>
      </c>
      <c r="B19" s="1"/>
      <c r="C19" s="1"/>
      <c r="D19" s="1"/>
      <c r="E19" s="1"/>
      <c r="F19" s="1"/>
      <c r="G19" s="1"/>
    </row>
    <row r="20" spans="1:7" x14ac:dyDescent="0.3">
      <c r="A20" s="20" t="s">
        <v>79</v>
      </c>
      <c r="B20" s="20" t="s">
        <v>26</v>
      </c>
      <c r="C20" s="20" t="s">
        <v>61</v>
      </c>
      <c r="D20" s="20" t="s">
        <v>63</v>
      </c>
      <c r="E20" s="20" t="s">
        <v>65</v>
      </c>
      <c r="F20" s="20" t="s">
        <v>67</v>
      </c>
      <c r="G20" s="1"/>
    </row>
    <row r="21" spans="1:7" x14ac:dyDescent="0.3">
      <c r="A21" s="31">
        <v>45962</v>
      </c>
      <c r="B21" s="33">
        <f>IFERROR(AVERAGEIFS(Data!$D:$D,Data!$B:$B,B$20,Data!$E:$E,TEXT($A21,"yyyy-mm"))/1000000,0)</f>
        <v>15.474970050000001</v>
      </c>
      <c r="C21" s="33">
        <f>IFERROR(AVERAGEIFS(Data!$D:$D,Data!$B:$B,C$20,Data!$E:$E,TEXT($A21,"yyyy-mm"))/1000000,0)</f>
        <v>100.7449383</v>
      </c>
      <c r="D21" s="33">
        <f>IFERROR(AVERAGEIFS(Data!$D:$D,Data!$B:$B,D$20,Data!$E:$E,TEXT($A21,"yyyy-mm"))/1000000,0)</f>
        <v>11.557514900000001</v>
      </c>
      <c r="E21" s="33">
        <f>IFERROR(AVERAGEIFS(Data!$D:$D,Data!$B:$B,E$20,Data!$E:$E,TEXT($A21,"yyyy-mm"))/1000000,0)</f>
        <v>26.882838899999999</v>
      </c>
      <c r="F21" s="33">
        <f>IFERROR(AVERAGEIFS(Data!$D:$D,Data!$B:$B,F$20,Data!$E:$E,TEXT($A21,"yyyy-mm"))/1000000,0)</f>
        <v>4.2127080999999995</v>
      </c>
      <c r="G21" s="1"/>
    </row>
    <row r="22" spans="1:7" x14ac:dyDescent="0.3">
      <c r="A22" s="31">
        <v>45992</v>
      </c>
      <c r="B22" s="33">
        <f>IFERROR(AVERAGEIFS(Data!$D:$D,Data!$B:$B,B$20,Data!$E:$E,TEXT($A22,"yyyy-mm"))/1000000,0)</f>
        <v>13.16464580952381</v>
      </c>
      <c r="C22" s="33">
        <f>IFERROR(AVERAGEIFS(Data!$D:$D,Data!$B:$B,C$20,Data!$E:$E,TEXT($A22,"yyyy-mm"))/1000000,0)</f>
        <v>65.096400380952375</v>
      </c>
      <c r="D22" s="33">
        <f>IFERROR(AVERAGEIFS(Data!$D:$D,Data!$B:$B,D$20,Data!$E:$E,TEXT($A22,"yyyy-mm"))/1000000,0)</f>
        <v>12.834710238095239</v>
      </c>
      <c r="E22" s="33">
        <f>IFERROR(AVERAGEIFS(Data!$D:$D,Data!$B:$B,E$20,Data!$E:$E,TEXT($A22,"yyyy-mm"))/1000000,0)</f>
        <v>17.640987285714289</v>
      </c>
      <c r="F22" s="33">
        <f>IFERROR(AVERAGEIFS(Data!$D:$D,Data!$B:$B,F$20,Data!$E:$E,TEXT($A22,"yyyy-mm"))/1000000,0)</f>
        <v>3.3534204761904762</v>
      </c>
      <c r="G22" s="1"/>
    </row>
    <row r="23" spans="1:7" x14ac:dyDescent="0.3">
      <c r="A23" s="31">
        <v>46023</v>
      </c>
      <c r="B23" s="33">
        <f>IFERROR(AVERAGEIFS(Data!$D:$D,Data!$B:$B,B$20,Data!$E:$E,TEXT($A23,"yyyy-mm"))/1000000,0)</f>
        <v>21.74916257142857</v>
      </c>
      <c r="C23" s="33">
        <f>IFERROR(AVERAGEIFS(Data!$D:$D,Data!$B:$B,C$20,Data!$E:$E,TEXT($A23,"yyyy-mm"))/1000000,0)</f>
        <v>102.17571</v>
      </c>
      <c r="D23" s="33">
        <f>IFERROR(AVERAGEIFS(Data!$D:$D,Data!$B:$B,D$20,Data!$E:$E,TEXT($A23,"yyyy-mm"))/1000000,0)</f>
        <v>12.420782000000001</v>
      </c>
      <c r="E23" s="33">
        <f>IFERROR(AVERAGEIFS(Data!$D:$D,Data!$B:$B,E$20,Data!$E:$E,TEXT($A23,"yyyy-mm"))/1000000,0)</f>
        <v>24.583962095238096</v>
      </c>
      <c r="F23" s="33">
        <f>IFERROR(AVERAGEIFS(Data!$D:$D,Data!$B:$B,F$20,Data!$E:$E,TEXT($A23,"yyyy-mm"))/1000000,0)</f>
        <v>5.0497243333333328</v>
      </c>
      <c r="G23" s="1"/>
    </row>
    <row r="24" spans="1:7" x14ac:dyDescent="0.3">
      <c r="A24" s="31">
        <v>46054</v>
      </c>
      <c r="B24" s="33">
        <f>IFERROR(AVERAGEIFS(Data!$D:$D,Data!$B:$B,B$20,Data!$E:$E,TEXT($A24,"yyyy-mm"))/1000000,0)</f>
        <v>33.789238294117645</v>
      </c>
      <c r="C24" s="33">
        <f>IFERROR(AVERAGEIFS(Data!$D:$D,Data!$B:$B,C$20,Data!$E:$E,TEXT($A24,"yyyy-mm"))/1000000,0)</f>
        <v>69.412213647058834</v>
      </c>
      <c r="D24" s="33">
        <f>IFERROR(AVERAGEIFS(Data!$D:$D,Data!$B:$B,D$20,Data!$E:$E,TEXT($A24,"yyyy-mm"))/1000000,0)</f>
        <v>15.850666117647059</v>
      </c>
      <c r="E24" s="33">
        <f>IFERROR(AVERAGEIFS(Data!$D:$D,Data!$B:$B,E$20,Data!$E:$E,TEXT($A24,"yyyy-mm"))/1000000,0)</f>
        <v>29.073088352941177</v>
      </c>
      <c r="F24" s="33">
        <f>IFERROR(AVERAGEIFS(Data!$D:$D,Data!$B:$B,F$20,Data!$E:$E,TEXT($A24,"yyyy-mm"))/1000000,0)</f>
        <v>4.8115685882352945</v>
      </c>
      <c r="G24" s="1"/>
    </row>
    <row r="25" spans="1:7" x14ac:dyDescent="0.3">
      <c r="A25" s="31">
        <v>46082</v>
      </c>
      <c r="B25" s="33">
        <f>IFERROR(AVERAGEIFS(Data!$D:$D,Data!$B:$B,B$20,Data!$E:$E,TEXT($A25,"yyyy-mm"))/1000000,0)</f>
        <v>30.500040181818182</v>
      </c>
      <c r="C25" s="33">
        <f>IFERROR(AVERAGEIFS(Data!$D:$D,Data!$B:$B,C$20,Data!$E:$E,TEXT($A25,"yyyy-mm"))/1000000,0)</f>
        <v>100.89368340909091</v>
      </c>
      <c r="D25" s="33">
        <f>IFERROR(AVERAGEIFS(Data!$D:$D,Data!$B:$B,D$20,Data!$E:$E,TEXT($A25,"yyyy-mm"))/1000000,0)</f>
        <v>23.253971363636364</v>
      </c>
      <c r="E25" s="33">
        <f>IFERROR(AVERAGEIFS(Data!$D:$D,Data!$B:$B,E$20,Data!$E:$E,TEXT($A25,"yyyy-mm"))/1000000,0)</f>
        <v>32.196721454545454</v>
      </c>
      <c r="F25" s="33">
        <f>IFERROR(AVERAGEIFS(Data!$D:$D,Data!$B:$B,F$20,Data!$E:$E,TEXT($A25,"yyyy-mm"))/1000000,0)</f>
        <v>5.1668678181818182</v>
      </c>
      <c r="G25" s="1"/>
    </row>
    <row r="26" spans="1:7" x14ac:dyDescent="0.3">
      <c r="A26" s="31">
        <v>46113</v>
      </c>
      <c r="B26" s="33">
        <f>IFERROR(AVERAGEIFS(Data!$D:$D,Data!$B:$B,B$20,Data!$E:$E,TEXT($A26,"yyyy-mm"))/1000000,0)</f>
        <v>23.077466684210528</v>
      </c>
      <c r="C26" s="33">
        <f>IFERROR(AVERAGEIFS(Data!$D:$D,Data!$B:$B,C$20,Data!$E:$E,TEXT($A26,"yyyy-mm"))/1000000,0)</f>
        <v>78.513050684210526</v>
      </c>
      <c r="D26" s="33">
        <f>IFERROR(AVERAGEIFS(Data!$D:$D,Data!$B:$B,D$20,Data!$E:$E,TEXT($A26,"yyyy-mm"))/1000000,0)</f>
        <v>15.271482894736842</v>
      </c>
      <c r="E26" s="33">
        <f>IFERROR(AVERAGEIFS(Data!$D:$D,Data!$B:$B,E$20,Data!$E:$E,TEXT($A26,"yyyy-mm"))/1000000,0)</f>
        <v>26.407511578947368</v>
      </c>
      <c r="F26" s="33">
        <f>IFERROR(AVERAGEIFS(Data!$D:$D,Data!$B:$B,F$20,Data!$E:$E,TEXT($A26,"yyyy-mm"))/1000000,0)</f>
        <v>4.3622244210526322</v>
      </c>
      <c r="G26" s="1"/>
    </row>
    <row r="27" spans="1:7" x14ac:dyDescent="0.3">
      <c r="A27" s="31">
        <v>46143</v>
      </c>
      <c r="B27" s="33">
        <f>IFERROR(AVERAGEIFS(Data!$D:$D,Data!$B:$B,B$20,Data!$E:$E,TEXT($A27,"yyyy-mm"))/1000000,0)</f>
        <v>31.246929894736841</v>
      </c>
      <c r="C27" s="33">
        <f>IFERROR(AVERAGEIFS(Data!$D:$D,Data!$B:$B,C$20,Data!$E:$E,TEXT($A27,"yyyy-mm"))/1000000,0)</f>
        <v>89.210378947368426</v>
      </c>
      <c r="D27" s="33">
        <f>IFERROR(AVERAGEIFS(Data!$D:$D,Data!$B:$B,D$20,Data!$E:$E,TEXT($A27,"yyyy-mm"))/1000000,0)</f>
        <v>14.529762263157895</v>
      </c>
      <c r="E27" s="33">
        <f>IFERROR(AVERAGEIFS(Data!$D:$D,Data!$B:$B,E$20,Data!$E:$E,TEXT($A27,"yyyy-mm"))/1000000,0)</f>
        <v>30.231401263157892</v>
      </c>
      <c r="F27" s="33">
        <f>IFERROR(AVERAGEIFS(Data!$D:$D,Data!$B:$B,F$20,Data!$E:$E,TEXT($A27,"yyyy-mm"))/1000000,0)</f>
        <v>3.9609508421052633</v>
      </c>
      <c r="G27" s="1"/>
    </row>
    <row r="28" spans="1:7" x14ac:dyDescent="0.3">
      <c r="A28" s="31">
        <v>46174</v>
      </c>
      <c r="B28" s="33">
        <f>IFERROR(AVERAGEIFS(Data!$D:$D,Data!$B:$B,B$20,Data!$E:$E,TEXT($A28,"yyyy-mm"))/1000000,0)</f>
        <v>35.213009857142858</v>
      </c>
      <c r="C28" s="33">
        <f>IFERROR(AVERAGEIFS(Data!$D:$D,Data!$B:$B,C$20,Data!$E:$E,TEXT($A28,"yyyy-mm"))/1000000,0)</f>
        <v>101.72359385714284</v>
      </c>
      <c r="D28" s="33">
        <f>IFERROR(AVERAGEIFS(Data!$D:$D,Data!$B:$B,D$20,Data!$E:$E,TEXT($A28,"yyyy-mm"))/1000000,0)</f>
        <v>16.49098423809524</v>
      </c>
      <c r="E28" s="33">
        <f>IFERROR(AVERAGEIFS(Data!$D:$D,Data!$B:$B,E$20,Data!$E:$E,TEXT($A28,"yyyy-mm"))/1000000,0)</f>
        <v>51.912697095238094</v>
      </c>
      <c r="F28" s="33">
        <f>IFERROR(AVERAGEIFS(Data!$D:$D,Data!$B:$B,F$20,Data!$E:$E,TEXT($A28,"yyyy-mm"))/1000000,0)</f>
        <v>5.7665820476190479</v>
      </c>
      <c r="G28" s="1"/>
    </row>
    <row r="29" spans="1:7" x14ac:dyDescent="0.3">
      <c r="A29" s="31">
        <v>46204</v>
      </c>
      <c r="B29" s="33">
        <f>IFERROR(AVERAGEIFS(Data!$D:$D,Data!$B:$B,B$20,Data!$E:$E,TEXT($A29,"yyyy-mm"))/1000000,0)</f>
        <v>34.577906454545456</v>
      </c>
      <c r="C29" s="33">
        <f>IFERROR(AVERAGEIFS(Data!$D:$D,Data!$B:$B,C$20,Data!$E:$E,TEXT($A29,"yyyy-mm"))/1000000,0)</f>
        <v>112.52430109090909</v>
      </c>
      <c r="D29" s="33">
        <f>IFERROR(AVERAGEIFS(Data!$D:$D,Data!$B:$B,D$20,Data!$E:$E,TEXT($A29,"yyyy-mm"))/1000000,0)</f>
        <v>14.434241272727274</v>
      </c>
      <c r="E29" s="33">
        <f>IFERROR(AVERAGEIFS(Data!$D:$D,Data!$B:$B,E$20,Data!$E:$E,TEXT($A29,"yyyy-mm"))/1000000,0)</f>
        <v>23.066577636363636</v>
      </c>
      <c r="F29" s="33">
        <f>IFERROR(AVERAGEIFS(Data!$D:$D,Data!$B:$B,F$20,Data!$E:$E,TEXT($A29,"yyyy-mm"))/1000000,0)</f>
        <v>4.0117711363636364</v>
      </c>
      <c r="G29" s="1"/>
    </row>
    <row r="30" spans="1:7" x14ac:dyDescent="0.3">
      <c r="A30" s="31">
        <v>46235</v>
      </c>
      <c r="B30" s="33">
        <f>IFERROR(AVERAGEIFS(Data!$D:$D,Data!$B:$B,B$20,Data!$E:$E,TEXT($A30,"yyyy-mm"))/1000000,0)</f>
        <v>24.190361809523811</v>
      </c>
      <c r="C30" s="33">
        <f>IFERROR(AVERAGEIFS(Data!$D:$D,Data!$B:$B,C$20,Data!$E:$E,TEXT($A30,"yyyy-mm"))/1000000,0)</f>
        <v>103.9610948095238</v>
      </c>
      <c r="D30" s="33">
        <f>IFERROR(AVERAGEIFS(Data!$D:$D,Data!$B:$B,D$20,Data!$E:$E,TEXT($A30,"yyyy-mm"))/1000000,0)</f>
        <v>10.592056190476191</v>
      </c>
      <c r="E30" s="33">
        <f>IFERROR(AVERAGEIFS(Data!$D:$D,Data!$B:$B,E$20,Data!$E:$E,TEXT($A30,"yyyy-mm"))/1000000,0)</f>
        <v>33.117835190476193</v>
      </c>
      <c r="F30" s="33">
        <f>IFERROR(AVERAGEIFS(Data!$D:$D,Data!$B:$B,F$20,Data!$E:$E,TEXT($A30,"yyyy-mm"))/1000000,0)</f>
        <v>3.4997539999999998</v>
      </c>
      <c r="G30" s="1"/>
    </row>
    <row r="31" spans="1:7" x14ac:dyDescent="0.3">
      <c r="A31" s="31">
        <v>46266</v>
      </c>
      <c r="B31" s="33">
        <f>IFERROR(AVERAGEIFS(Data!$D:$D,Data!$B:$B,B$20,Data!$E:$E,TEXT($A31,"yyyy-mm"))/1000000,0)</f>
        <v>20.109521000000001</v>
      </c>
      <c r="C31" s="33">
        <f>IFERROR(AVERAGEIFS(Data!$D:$D,Data!$B:$B,C$20,Data!$E:$E,TEXT($A31,"yyyy-mm"))/1000000,0)</f>
        <v>61.541676181818183</v>
      </c>
      <c r="D31" s="33">
        <f>IFERROR(AVERAGEIFS(Data!$D:$D,Data!$B:$B,D$20,Data!$E:$E,TEXT($A31,"yyyy-mm"))/1000000,0)</f>
        <v>10.679211863636363</v>
      </c>
      <c r="E31" s="33">
        <f>IFERROR(AVERAGEIFS(Data!$D:$D,Data!$B:$B,E$20,Data!$E:$E,TEXT($A31,"yyyy-mm"))/1000000,0)</f>
        <v>26.823909499999999</v>
      </c>
      <c r="F31" s="33">
        <f>IFERROR(AVERAGEIFS(Data!$D:$D,Data!$B:$B,F$20,Data!$E:$E,TEXT($A31,"yyyy-mm"))/1000000,0)</f>
        <v>3.0121155454545456</v>
      </c>
      <c r="G31" s="1"/>
    </row>
    <row r="32" spans="1:7" x14ac:dyDescent="0.3">
      <c r="A32" s="31">
        <v>46296</v>
      </c>
      <c r="B32" s="33">
        <f>IFERROR(AVERAGEIFS(Data!$D:$D,Data!$B:$B,B$20,Data!$E:$E,TEXT($A32,"yyyy-mm"))/1000000,0)</f>
        <v>17.000789636363638</v>
      </c>
      <c r="C32" s="33">
        <f>IFERROR(AVERAGEIFS(Data!$D:$D,Data!$B:$B,C$20,Data!$E:$E,TEXT($A32,"yyyy-mm"))/1000000,0)</f>
        <v>56.598741363636364</v>
      </c>
      <c r="D32" s="33">
        <f>IFERROR(AVERAGEIFS(Data!$D:$D,Data!$B:$B,D$20,Data!$E:$E,TEXT($A32,"yyyy-mm"))/1000000,0)</f>
        <v>13.769143818181819</v>
      </c>
      <c r="E32" s="33">
        <f>IFERROR(AVERAGEIFS(Data!$D:$D,Data!$B:$B,E$20,Data!$E:$E,TEXT($A32,"yyyy-mm"))/1000000,0)</f>
        <v>36.054047181818177</v>
      </c>
      <c r="F32" s="33">
        <f>IFERROR(AVERAGEIFS(Data!$D:$D,Data!$B:$B,F$20,Data!$E:$E,TEXT($A32,"yyyy-mm"))/1000000,0)</f>
        <v>2.9878531818181817</v>
      </c>
      <c r="G32" s="1"/>
    </row>
    <row r="33" spans="1:7" x14ac:dyDescent="0.3">
      <c r="A33" s="1"/>
      <c r="B33" s="1"/>
      <c r="C33" s="1"/>
      <c r="D33" s="1"/>
      <c r="E33" s="1"/>
      <c r="F33" s="1"/>
      <c r="G33" s="1"/>
    </row>
    <row r="34" spans="1:7" x14ac:dyDescent="0.3">
      <c r="A34" s="1"/>
      <c r="B34" s="1"/>
      <c r="C34" s="1"/>
      <c r="D34" s="1"/>
      <c r="E34" s="1"/>
      <c r="F34" s="1"/>
      <c r="G34" s="1"/>
    </row>
    <row r="35" spans="1:7" x14ac:dyDescent="0.3">
      <c r="A35" s="4" t="s">
        <v>82</v>
      </c>
      <c r="B35" s="1"/>
      <c r="C35" s="1"/>
      <c r="D35" s="1"/>
      <c r="E35" s="1"/>
      <c r="F35" s="1"/>
      <c r="G35" s="1"/>
    </row>
    <row r="36" spans="1:7" x14ac:dyDescent="0.3">
      <c r="A36" s="20" t="s">
        <v>79</v>
      </c>
      <c r="B36" s="20" t="s">
        <v>26</v>
      </c>
      <c r="C36" s="20" t="s">
        <v>61</v>
      </c>
      <c r="D36" s="20" t="s">
        <v>63</v>
      </c>
      <c r="E36" s="20" t="s">
        <v>65</v>
      </c>
      <c r="F36" s="20" t="s">
        <v>67</v>
      </c>
      <c r="G36" s="1"/>
    </row>
    <row r="37" spans="1:7" x14ac:dyDescent="0.3">
      <c r="A37" s="31">
        <v>45962</v>
      </c>
      <c r="B37" s="34">
        <f>COUNTIFS(Data!$B:$B,B$36,Data!$E:$E,TEXT($A37,"yyyy-mm"),Data!$F:$F,"&gt;0")</f>
        <v>7</v>
      </c>
      <c r="C37" s="34">
        <f>COUNTIFS(Data!$B:$B,C$36,Data!$E:$E,TEXT($A37,"yyyy-mm"),Data!$F:$F,"&gt;0")</f>
        <v>7</v>
      </c>
      <c r="D37" s="34">
        <f>COUNTIFS(Data!$B:$B,D$36,Data!$E:$E,TEXT($A37,"yyyy-mm"),Data!$F:$F,"&gt;0")</f>
        <v>11</v>
      </c>
      <c r="E37" s="34">
        <f>COUNTIFS(Data!$B:$B,E$36,Data!$E:$E,TEXT($A37,"yyyy-mm"),Data!$F:$F,"&gt;0")</f>
        <v>11</v>
      </c>
      <c r="F37" s="34">
        <f>COUNTIFS(Data!$B:$B,F$36,Data!$E:$E,TEXT($A37,"yyyy-mm"),Data!$F:$F,"&gt;0")</f>
        <v>7</v>
      </c>
      <c r="G37" s="1"/>
    </row>
    <row r="38" spans="1:7" x14ac:dyDescent="0.3">
      <c r="A38" s="31">
        <v>45992</v>
      </c>
      <c r="B38" s="34">
        <f>COUNTIFS(Data!$B:$B,B$36,Data!$E:$E,TEXT($A38,"yyyy-mm"),Data!$F:$F,"&gt;0")</f>
        <v>9</v>
      </c>
      <c r="C38" s="34">
        <f>COUNTIFS(Data!$B:$B,C$36,Data!$E:$E,TEXT($A38,"yyyy-mm"),Data!$F:$F,"&gt;0")</f>
        <v>11</v>
      </c>
      <c r="D38" s="34">
        <f>COUNTIFS(Data!$B:$B,D$36,Data!$E:$E,TEXT($A38,"yyyy-mm"),Data!$F:$F,"&gt;0")</f>
        <v>15</v>
      </c>
      <c r="E38" s="34">
        <f>COUNTIFS(Data!$B:$B,E$36,Data!$E:$E,TEXT($A38,"yyyy-mm"),Data!$F:$F,"&gt;0")</f>
        <v>9</v>
      </c>
      <c r="F38" s="34">
        <f>COUNTIFS(Data!$B:$B,F$36,Data!$E:$E,TEXT($A38,"yyyy-mm"),Data!$F:$F,"&gt;0")</f>
        <v>12</v>
      </c>
      <c r="G38" s="1"/>
    </row>
    <row r="39" spans="1:7" x14ac:dyDescent="0.3">
      <c r="A39" s="31">
        <v>46023</v>
      </c>
      <c r="B39" s="34">
        <f>COUNTIFS(Data!$B:$B,B$36,Data!$E:$E,TEXT($A39,"yyyy-mm"),Data!$F:$F,"&gt;0")</f>
        <v>11</v>
      </c>
      <c r="C39" s="34">
        <f>COUNTIFS(Data!$B:$B,C$36,Data!$E:$E,TEXT($A39,"yyyy-mm"),Data!$F:$F,"&gt;0")</f>
        <v>12</v>
      </c>
      <c r="D39" s="34">
        <f>COUNTIFS(Data!$B:$B,D$36,Data!$E:$E,TEXT($A39,"yyyy-mm"),Data!$F:$F,"&gt;0")</f>
        <v>15</v>
      </c>
      <c r="E39" s="34">
        <f>COUNTIFS(Data!$B:$B,E$36,Data!$E:$E,TEXT($A39,"yyyy-mm"),Data!$F:$F,"&gt;0")</f>
        <v>11</v>
      </c>
      <c r="F39" s="34">
        <f>COUNTIFS(Data!$B:$B,F$36,Data!$E:$E,TEXT($A39,"yyyy-mm"),Data!$F:$F,"&gt;0")</f>
        <v>12</v>
      </c>
      <c r="G39" s="1"/>
    </row>
    <row r="40" spans="1:7" x14ac:dyDescent="0.3">
      <c r="A40" s="31">
        <v>46054</v>
      </c>
      <c r="B40" s="34">
        <f>COUNTIFS(Data!$B:$B,B$36,Data!$E:$E,TEXT($A40,"yyyy-mm"),Data!$F:$F,"&gt;0")</f>
        <v>6</v>
      </c>
      <c r="C40" s="34">
        <f>COUNTIFS(Data!$B:$B,C$36,Data!$E:$E,TEXT($A40,"yyyy-mm"),Data!$F:$F,"&gt;0")</f>
        <v>5</v>
      </c>
      <c r="D40" s="34">
        <f>COUNTIFS(Data!$B:$B,D$36,Data!$E:$E,TEXT($A40,"yyyy-mm"),Data!$F:$F,"&gt;0")</f>
        <v>8</v>
      </c>
      <c r="E40" s="34">
        <f>COUNTIFS(Data!$B:$B,E$36,Data!$E:$E,TEXT($A40,"yyyy-mm"),Data!$F:$F,"&gt;0")</f>
        <v>7</v>
      </c>
      <c r="F40" s="34">
        <f>COUNTIFS(Data!$B:$B,F$36,Data!$E:$E,TEXT($A40,"yyyy-mm"),Data!$F:$F,"&gt;0")</f>
        <v>6</v>
      </c>
      <c r="G40" s="1"/>
    </row>
    <row r="41" spans="1:7" x14ac:dyDescent="0.3">
      <c r="A41" s="31">
        <v>46082</v>
      </c>
      <c r="B41" s="34">
        <f>COUNTIFS(Data!$B:$B,B$36,Data!$E:$E,TEXT($A41,"yyyy-mm"),Data!$F:$F,"&gt;0")</f>
        <v>7</v>
      </c>
      <c r="C41" s="34">
        <f>COUNTIFS(Data!$B:$B,C$36,Data!$E:$E,TEXT($A41,"yyyy-mm"),Data!$F:$F,"&gt;0")</f>
        <v>8</v>
      </c>
      <c r="D41" s="34">
        <f>COUNTIFS(Data!$B:$B,D$36,Data!$E:$E,TEXT($A41,"yyyy-mm"),Data!$F:$F,"&gt;0")</f>
        <v>10</v>
      </c>
      <c r="E41" s="34">
        <f>COUNTIFS(Data!$B:$B,E$36,Data!$E:$E,TEXT($A41,"yyyy-mm"),Data!$F:$F,"&gt;0")</f>
        <v>10</v>
      </c>
      <c r="F41" s="34">
        <f>COUNTIFS(Data!$B:$B,F$36,Data!$E:$E,TEXT($A41,"yyyy-mm"),Data!$F:$F,"&gt;0")</f>
        <v>8</v>
      </c>
      <c r="G41" s="1"/>
    </row>
    <row r="42" spans="1:7" x14ac:dyDescent="0.3">
      <c r="A42" s="31">
        <v>46113</v>
      </c>
      <c r="B42" s="34">
        <f>COUNTIFS(Data!$B:$B,B$36,Data!$E:$E,TEXT($A42,"yyyy-mm"),Data!$F:$F,"&gt;0")</f>
        <v>8</v>
      </c>
      <c r="C42" s="34">
        <f>COUNTIFS(Data!$B:$B,C$36,Data!$E:$E,TEXT($A42,"yyyy-mm"),Data!$F:$F,"&gt;0")</f>
        <v>10</v>
      </c>
      <c r="D42" s="34">
        <f>COUNTIFS(Data!$B:$B,D$36,Data!$E:$E,TEXT($A42,"yyyy-mm"),Data!$F:$F,"&gt;0")</f>
        <v>13</v>
      </c>
      <c r="E42" s="34">
        <f>COUNTIFS(Data!$B:$B,E$36,Data!$E:$E,TEXT($A42,"yyyy-mm"),Data!$F:$F,"&gt;0")</f>
        <v>9</v>
      </c>
      <c r="F42" s="34">
        <f>COUNTIFS(Data!$B:$B,F$36,Data!$E:$E,TEXT($A42,"yyyy-mm"),Data!$F:$F,"&gt;0")</f>
        <v>9</v>
      </c>
      <c r="G42" s="1"/>
    </row>
    <row r="43" spans="1:7" x14ac:dyDescent="0.3">
      <c r="A43" s="31">
        <v>46143</v>
      </c>
      <c r="B43" s="34">
        <f>COUNTIFS(Data!$B:$B,B$36,Data!$E:$E,TEXT($A43,"yyyy-mm"),Data!$F:$F,"&gt;0")</f>
        <v>7</v>
      </c>
      <c r="C43" s="34">
        <f>COUNTIFS(Data!$B:$B,C$36,Data!$E:$E,TEXT($A43,"yyyy-mm"),Data!$F:$F,"&gt;0")</f>
        <v>7</v>
      </c>
      <c r="D43" s="34">
        <f>COUNTIFS(Data!$B:$B,D$36,Data!$E:$E,TEXT($A43,"yyyy-mm"),Data!$F:$F,"&gt;0")</f>
        <v>11</v>
      </c>
      <c r="E43" s="34">
        <f>COUNTIFS(Data!$B:$B,E$36,Data!$E:$E,TEXT($A43,"yyyy-mm"),Data!$F:$F,"&gt;0")</f>
        <v>9</v>
      </c>
      <c r="F43" s="34">
        <f>COUNTIFS(Data!$B:$B,F$36,Data!$E:$E,TEXT($A43,"yyyy-mm"),Data!$F:$F,"&gt;0")</f>
        <v>8</v>
      </c>
      <c r="G43" s="1"/>
    </row>
    <row r="44" spans="1:7" x14ac:dyDescent="0.3">
      <c r="A44" s="31">
        <v>46174</v>
      </c>
      <c r="B44" s="34">
        <f>COUNTIFS(Data!$B:$B,B$36,Data!$E:$E,TEXT($A44,"yyyy-mm"),Data!$F:$F,"&gt;0")</f>
        <v>8</v>
      </c>
      <c r="C44" s="34">
        <f>COUNTIFS(Data!$B:$B,C$36,Data!$E:$E,TEXT($A44,"yyyy-mm"),Data!$F:$F,"&gt;0")</f>
        <v>5</v>
      </c>
      <c r="D44" s="34">
        <f>COUNTIFS(Data!$B:$B,D$36,Data!$E:$E,TEXT($A44,"yyyy-mm"),Data!$F:$F,"&gt;0")</f>
        <v>12</v>
      </c>
      <c r="E44" s="34">
        <f>COUNTIFS(Data!$B:$B,E$36,Data!$E:$E,TEXT($A44,"yyyy-mm"),Data!$F:$F,"&gt;0")</f>
        <v>8</v>
      </c>
      <c r="F44" s="34">
        <f>COUNTIFS(Data!$B:$B,F$36,Data!$E:$E,TEXT($A44,"yyyy-mm"),Data!$F:$F,"&gt;0")</f>
        <v>7</v>
      </c>
      <c r="G44" s="1"/>
    </row>
    <row r="45" spans="1:7" x14ac:dyDescent="0.3">
      <c r="A45" s="31">
        <v>46204</v>
      </c>
      <c r="B45" s="34">
        <f>COUNTIFS(Data!$B:$B,B$36,Data!$E:$E,TEXT($A45,"yyyy-mm"),Data!$F:$F,"&gt;0")</f>
        <v>14</v>
      </c>
      <c r="C45" s="34">
        <f>COUNTIFS(Data!$B:$B,C$36,Data!$E:$E,TEXT($A45,"yyyy-mm"),Data!$F:$F,"&gt;0")</f>
        <v>16</v>
      </c>
      <c r="D45" s="34">
        <f>COUNTIFS(Data!$B:$B,D$36,Data!$E:$E,TEXT($A45,"yyyy-mm"),Data!$F:$F,"&gt;0")</f>
        <v>14</v>
      </c>
      <c r="E45" s="34">
        <f>COUNTIFS(Data!$B:$B,E$36,Data!$E:$E,TEXT($A45,"yyyy-mm"),Data!$F:$F,"&gt;0")</f>
        <v>12</v>
      </c>
      <c r="F45" s="34">
        <f>COUNTIFS(Data!$B:$B,F$36,Data!$E:$E,TEXT($A45,"yyyy-mm"),Data!$F:$F,"&gt;0")</f>
        <v>17</v>
      </c>
      <c r="G45" s="1"/>
    </row>
    <row r="46" spans="1:7" x14ac:dyDescent="0.3">
      <c r="A46" s="31">
        <v>46235</v>
      </c>
      <c r="B46" s="34">
        <f>COUNTIFS(Data!$B:$B,B$36,Data!$E:$E,TEXT($A46,"yyyy-mm"),Data!$F:$F,"&gt;0")</f>
        <v>11</v>
      </c>
      <c r="C46" s="34">
        <f>COUNTIFS(Data!$B:$B,C$36,Data!$E:$E,TEXT($A46,"yyyy-mm"),Data!$F:$F,"&gt;0")</f>
        <v>10</v>
      </c>
      <c r="D46" s="34">
        <f>COUNTIFS(Data!$B:$B,D$36,Data!$E:$E,TEXT($A46,"yyyy-mm"),Data!$F:$F,"&gt;0")</f>
        <v>7</v>
      </c>
      <c r="E46" s="34">
        <f>COUNTIFS(Data!$B:$B,E$36,Data!$E:$E,TEXT($A46,"yyyy-mm"),Data!$F:$F,"&gt;0")</f>
        <v>8</v>
      </c>
      <c r="F46" s="34">
        <f>COUNTIFS(Data!$B:$B,F$36,Data!$E:$E,TEXT($A46,"yyyy-mm"),Data!$F:$F,"&gt;0")</f>
        <v>13</v>
      </c>
      <c r="G46" s="1"/>
    </row>
    <row r="47" spans="1:7" x14ac:dyDescent="0.3">
      <c r="A47" s="31">
        <v>46266</v>
      </c>
      <c r="B47" s="34">
        <f>COUNTIFS(Data!$B:$B,B$36,Data!$E:$E,TEXT($A47,"yyyy-mm"),Data!$F:$F,"&gt;0")</f>
        <v>7</v>
      </c>
      <c r="C47" s="34">
        <f>COUNTIFS(Data!$B:$B,C$36,Data!$E:$E,TEXT($A47,"yyyy-mm"),Data!$F:$F,"&gt;0")</f>
        <v>9</v>
      </c>
      <c r="D47" s="34">
        <f>COUNTIFS(Data!$B:$B,D$36,Data!$E:$E,TEXT($A47,"yyyy-mm"),Data!$F:$F,"&gt;0")</f>
        <v>12</v>
      </c>
      <c r="E47" s="34">
        <f>COUNTIFS(Data!$B:$B,E$36,Data!$E:$E,TEXT($A47,"yyyy-mm"),Data!$F:$F,"&gt;0")</f>
        <v>11</v>
      </c>
      <c r="F47" s="34">
        <f>COUNTIFS(Data!$B:$B,F$36,Data!$E:$E,TEXT($A47,"yyyy-mm"),Data!$F:$F,"&gt;0")</f>
        <v>7</v>
      </c>
      <c r="G47" s="1"/>
    </row>
    <row r="48" spans="1:7" x14ac:dyDescent="0.3">
      <c r="A48" s="31">
        <v>46296</v>
      </c>
      <c r="B48" s="34">
        <f>COUNTIFS(Data!$B:$B,B$36,Data!$E:$E,TEXT($A48,"yyyy-mm"),Data!$F:$F,"&gt;0")</f>
        <v>4</v>
      </c>
      <c r="C48" s="34">
        <f>COUNTIFS(Data!$B:$B,C$36,Data!$E:$E,TEXT($A48,"yyyy-mm"),Data!$F:$F,"&gt;0")</f>
        <v>6</v>
      </c>
      <c r="D48" s="34">
        <f>COUNTIFS(Data!$B:$B,D$36,Data!$E:$E,TEXT($A48,"yyyy-mm"),Data!$F:$F,"&gt;0")</f>
        <v>6</v>
      </c>
      <c r="E48" s="34">
        <f>COUNTIFS(Data!$B:$B,E$36,Data!$E:$E,TEXT($A48,"yyyy-mm"),Data!$F:$F,"&gt;0")</f>
        <v>5</v>
      </c>
      <c r="F48" s="34">
        <f>COUNTIFS(Data!$B:$B,F$36,Data!$E:$E,TEXT($A48,"yyyy-mm"),Data!$F:$F,"&gt;0")</f>
        <v>5</v>
      </c>
      <c r="G48" s="1"/>
    </row>
  </sheetData>
  <phoneticPr fontId="12" type="noConversion"/>
  <conditionalFormatting sqref="B5:G16">
    <cfRule type="colorScale" priority="2">
      <colorScale>
        <cfvo type="num" val="-0.15"/>
        <cfvo type="num" val="0"/>
        <cfvo type="num" val="0.15"/>
        <color rgb="FFF8696B"/>
        <color rgb="FFFFFFFF"/>
        <color rgb="FF63BE7B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25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7" width="12" customWidth="1"/>
  </cols>
  <sheetData>
    <row r="1" spans="1:7" x14ac:dyDescent="0.3">
      <c r="A1" s="20" t="s">
        <v>73</v>
      </c>
      <c r="B1" s="20" t="s">
        <v>26</v>
      </c>
      <c r="C1" s="20" t="s">
        <v>61</v>
      </c>
      <c r="D1" s="20" t="s">
        <v>63</v>
      </c>
      <c r="E1" s="20" t="s">
        <v>65</v>
      </c>
      <c r="F1" s="20" t="s">
        <v>67</v>
      </c>
      <c r="G1" s="20" t="s">
        <v>69</v>
      </c>
    </row>
    <row r="2" spans="1:7" x14ac:dyDescent="0.3">
      <c r="A2" s="26">
        <v>45932</v>
      </c>
      <c r="B2" s="35">
        <v>668.70889999999997</v>
      </c>
      <c r="C2" s="35">
        <v>182.8948</v>
      </c>
      <c r="D2" s="35">
        <v>105.97799999999999</v>
      </c>
      <c r="E2" s="35">
        <v>72.768600000000006</v>
      </c>
      <c r="F2" s="35">
        <v>436.37759999999997</v>
      </c>
      <c r="G2" s="35">
        <v>27287.1191</v>
      </c>
    </row>
    <row r="3" spans="1:7" x14ac:dyDescent="0.3">
      <c r="A3" s="26">
        <v>45933</v>
      </c>
      <c r="B3" s="35">
        <v>665.74350000000004</v>
      </c>
      <c r="C3" s="35">
        <v>184.89250000000001</v>
      </c>
      <c r="D3" s="35">
        <v>105.1172</v>
      </c>
      <c r="E3" s="35">
        <v>72.475800000000007</v>
      </c>
      <c r="F3" s="35">
        <v>435.41039999999998</v>
      </c>
      <c r="G3" s="35">
        <v>27140.919900000001</v>
      </c>
    </row>
    <row r="4" spans="1:7" x14ac:dyDescent="0.3">
      <c r="A4" s="26">
        <v>45936</v>
      </c>
      <c r="B4" s="35">
        <v>669.69740000000002</v>
      </c>
      <c r="C4" s="35">
        <v>180.29769999999999</v>
      </c>
      <c r="D4" s="35">
        <v>106.0737</v>
      </c>
      <c r="E4" s="35">
        <v>73.403099999999995</v>
      </c>
      <c r="F4" s="35">
        <v>433.6696</v>
      </c>
      <c r="G4" s="35">
        <v>26957.769499999999</v>
      </c>
    </row>
    <row r="5" spans="1:7" x14ac:dyDescent="0.3">
      <c r="A5" s="26">
        <v>45938</v>
      </c>
      <c r="B5" s="35">
        <v>667.22619999999995</v>
      </c>
      <c r="C5" s="35">
        <v>177.40090000000001</v>
      </c>
      <c r="D5" s="35">
        <v>105.7867</v>
      </c>
      <c r="E5" s="35">
        <v>72.866299999999995</v>
      </c>
      <c r="F5" s="35">
        <v>430.38130000000001</v>
      </c>
      <c r="G5" s="35">
        <v>26829.460899999998</v>
      </c>
    </row>
    <row r="6" spans="1:7" x14ac:dyDescent="0.3">
      <c r="A6" s="26">
        <v>45939</v>
      </c>
      <c r="B6" s="35">
        <v>667.72050000000002</v>
      </c>
      <c r="C6" s="35">
        <v>173.10579999999999</v>
      </c>
      <c r="D6" s="35">
        <v>99.474000000000004</v>
      </c>
      <c r="E6" s="35">
        <v>72.329400000000007</v>
      </c>
      <c r="F6" s="35">
        <v>441.79360000000003</v>
      </c>
      <c r="G6" s="35">
        <v>26752.589800000002</v>
      </c>
    </row>
    <row r="7" spans="1:7" x14ac:dyDescent="0.3">
      <c r="A7" s="26">
        <v>45940</v>
      </c>
      <c r="B7" s="35">
        <v>643.99680000000001</v>
      </c>
      <c r="C7" s="35">
        <v>165.21459999999999</v>
      </c>
      <c r="D7" s="35">
        <v>98.995699999999999</v>
      </c>
      <c r="E7" s="35">
        <v>72.134200000000007</v>
      </c>
      <c r="F7" s="35">
        <v>429.99439999999998</v>
      </c>
      <c r="G7" s="35">
        <v>26290.320299999999</v>
      </c>
    </row>
    <row r="8" spans="1:7" x14ac:dyDescent="0.3">
      <c r="A8" s="26">
        <v>45943</v>
      </c>
      <c r="B8" s="35">
        <v>631.64080000000001</v>
      </c>
      <c r="C8" s="35">
        <v>162.4178</v>
      </c>
      <c r="D8" s="35">
        <v>98.134900000000002</v>
      </c>
      <c r="E8" s="35">
        <v>70.035499999999999</v>
      </c>
      <c r="F8" s="35">
        <v>418.58199999999999</v>
      </c>
      <c r="G8" s="35">
        <v>25889.480500000001</v>
      </c>
    </row>
    <row r="9" spans="1:7" x14ac:dyDescent="0.3">
      <c r="A9" s="26">
        <v>45944</v>
      </c>
      <c r="B9" s="35">
        <v>613.84810000000004</v>
      </c>
      <c r="C9" s="35">
        <v>155.4256</v>
      </c>
      <c r="D9" s="35">
        <v>97.465299999999999</v>
      </c>
      <c r="E9" s="35">
        <v>68.424999999999997</v>
      </c>
      <c r="F9" s="35">
        <v>406.20249999999999</v>
      </c>
      <c r="G9" s="35">
        <v>25441.349600000001</v>
      </c>
    </row>
    <row r="10" spans="1:7" x14ac:dyDescent="0.3">
      <c r="A10" s="26">
        <v>45945</v>
      </c>
      <c r="B10" s="35">
        <v>619.779</v>
      </c>
      <c r="C10" s="35">
        <v>161.41890000000001</v>
      </c>
      <c r="D10" s="35">
        <v>98.995699999999999</v>
      </c>
      <c r="E10" s="35">
        <v>69.3035</v>
      </c>
      <c r="F10" s="35">
        <v>413.74619999999999</v>
      </c>
      <c r="G10" s="35">
        <v>25910.599600000001</v>
      </c>
    </row>
    <row r="11" spans="1:7" x14ac:dyDescent="0.3">
      <c r="A11" s="26">
        <v>45946</v>
      </c>
      <c r="B11" s="35">
        <v>612.8596</v>
      </c>
      <c r="C11" s="35">
        <v>161.01929999999999</v>
      </c>
      <c r="D11" s="35">
        <v>98.421800000000005</v>
      </c>
      <c r="E11" s="35">
        <v>68.912999999999997</v>
      </c>
      <c r="F11" s="35">
        <v>410.45800000000003</v>
      </c>
      <c r="G11" s="35">
        <v>25888.5098</v>
      </c>
    </row>
    <row r="12" spans="1:7" x14ac:dyDescent="0.3">
      <c r="A12" s="26">
        <v>45947</v>
      </c>
      <c r="B12" s="35">
        <v>600.99779999999998</v>
      </c>
      <c r="C12" s="35">
        <v>154.2269</v>
      </c>
      <c r="D12" s="35">
        <v>96.508899999999997</v>
      </c>
      <c r="E12" s="35">
        <v>67.400099999999995</v>
      </c>
      <c r="F12" s="35">
        <v>400.39960000000002</v>
      </c>
      <c r="G12" s="35">
        <v>25247.099600000001</v>
      </c>
    </row>
    <row r="13" spans="1:7" x14ac:dyDescent="0.3">
      <c r="A13" s="26">
        <v>45950</v>
      </c>
      <c r="B13" s="35">
        <v>620.27329999999995</v>
      </c>
      <c r="C13" s="35">
        <v>161.71850000000001</v>
      </c>
      <c r="D13" s="35">
        <v>97.656599999999997</v>
      </c>
      <c r="E13" s="35">
        <v>70.377200000000002</v>
      </c>
      <c r="F13" s="35">
        <v>411.03820000000002</v>
      </c>
      <c r="G13" s="35">
        <v>25858.830099999999</v>
      </c>
    </row>
    <row r="14" spans="1:7" x14ac:dyDescent="0.3">
      <c r="A14" s="26">
        <v>45951</v>
      </c>
      <c r="B14" s="35">
        <v>623.23869999999999</v>
      </c>
      <c r="C14" s="35">
        <v>164.91489999999999</v>
      </c>
      <c r="D14" s="35">
        <v>97.943600000000004</v>
      </c>
      <c r="E14" s="35">
        <v>71.158100000000005</v>
      </c>
      <c r="F14" s="35">
        <v>415.1003</v>
      </c>
      <c r="G14" s="35">
        <v>26027.550800000001</v>
      </c>
    </row>
    <row r="15" spans="1:7" x14ac:dyDescent="0.3">
      <c r="A15" s="26">
        <v>45952</v>
      </c>
      <c r="B15" s="35">
        <v>616.3193</v>
      </c>
      <c r="C15" s="35">
        <v>161.71850000000001</v>
      </c>
      <c r="D15" s="35">
        <v>98.039199999999994</v>
      </c>
      <c r="E15" s="35">
        <v>68.864199999999997</v>
      </c>
      <c r="F15" s="35">
        <v>408.52370000000002</v>
      </c>
      <c r="G15" s="35">
        <v>25781.769499999999</v>
      </c>
    </row>
    <row r="16" spans="1:7" x14ac:dyDescent="0.3">
      <c r="A16" s="26">
        <v>45953</v>
      </c>
      <c r="B16" s="35">
        <v>625.70989999999995</v>
      </c>
      <c r="C16" s="35">
        <v>164.41550000000001</v>
      </c>
      <c r="D16" s="35">
        <v>98.230500000000006</v>
      </c>
      <c r="E16" s="35">
        <v>69.2059</v>
      </c>
      <c r="F16" s="35">
        <v>407.9434</v>
      </c>
      <c r="G16" s="35">
        <v>25967.980500000001</v>
      </c>
    </row>
    <row r="17" spans="1:7" x14ac:dyDescent="0.3">
      <c r="A17" s="26">
        <v>45954</v>
      </c>
      <c r="B17" s="35">
        <v>630.15809999999999</v>
      </c>
      <c r="C17" s="35">
        <v>168.1114</v>
      </c>
      <c r="D17" s="35">
        <v>98.613100000000003</v>
      </c>
      <c r="E17" s="35">
        <v>69.3523</v>
      </c>
      <c r="F17" s="35">
        <v>411.03820000000002</v>
      </c>
      <c r="G17" s="35">
        <v>26160.150399999999</v>
      </c>
    </row>
    <row r="18" spans="1:7" x14ac:dyDescent="0.3">
      <c r="A18" s="26">
        <v>45957</v>
      </c>
      <c r="B18" s="35">
        <v>648.44500000000005</v>
      </c>
      <c r="C18" s="35">
        <v>173.40539999999999</v>
      </c>
      <c r="D18" s="35">
        <v>97.561000000000007</v>
      </c>
      <c r="E18" s="35">
        <v>70.426000000000002</v>
      </c>
      <c r="F18" s="35">
        <v>419.93610000000001</v>
      </c>
      <c r="G18" s="35">
        <v>26433.699199999999</v>
      </c>
    </row>
    <row r="19" spans="1:7" x14ac:dyDescent="0.3">
      <c r="A19" s="26">
        <v>45958</v>
      </c>
      <c r="B19" s="35">
        <v>637.57169999999996</v>
      </c>
      <c r="C19" s="35">
        <v>170.8083</v>
      </c>
      <c r="D19" s="35">
        <v>101.8652</v>
      </c>
      <c r="E19" s="35">
        <v>72.817499999999995</v>
      </c>
      <c r="F19" s="35">
        <v>418.1952</v>
      </c>
      <c r="G19" s="35">
        <v>26346.140599999999</v>
      </c>
    </row>
    <row r="20" spans="1:7" x14ac:dyDescent="0.3">
      <c r="A20" s="26">
        <v>45960</v>
      </c>
      <c r="B20" s="35">
        <v>643.50260000000003</v>
      </c>
      <c r="C20" s="35">
        <v>171.90710000000001</v>
      </c>
      <c r="D20" s="35">
        <v>103.29989999999999</v>
      </c>
      <c r="E20" s="35">
        <v>71.450900000000004</v>
      </c>
      <c r="F20" s="35">
        <v>418.1952</v>
      </c>
      <c r="G20" s="35">
        <v>26282.6895</v>
      </c>
    </row>
    <row r="21" spans="1:7" x14ac:dyDescent="0.3">
      <c r="A21" s="26">
        <v>45961</v>
      </c>
      <c r="B21" s="35">
        <v>621.75599999999997</v>
      </c>
      <c r="C21" s="35">
        <v>164.91489999999999</v>
      </c>
      <c r="D21" s="35">
        <v>103.3955</v>
      </c>
      <c r="E21" s="35">
        <v>73.647099999999995</v>
      </c>
      <c r="F21" s="35">
        <v>409.68430000000001</v>
      </c>
      <c r="G21" s="35">
        <v>25906.650399999999</v>
      </c>
    </row>
    <row r="22" spans="1:7" x14ac:dyDescent="0.3">
      <c r="A22" s="26">
        <v>45964</v>
      </c>
      <c r="B22" s="35">
        <v>620.76750000000004</v>
      </c>
      <c r="C22" s="35">
        <v>163.0171</v>
      </c>
      <c r="D22" s="35">
        <v>103.5868</v>
      </c>
      <c r="E22" s="35">
        <v>78.039599999999993</v>
      </c>
      <c r="F22" s="35">
        <v>414.71339999999998</v>
      </c>
      <c r="G22" s="35">
        <v>26158.359400000001</v>
      </c>
    </row>
    <row r="23" spans="1:7" x14ac:dyDescent="0.3">
      <c r="A23" s="26">
        <v>45965</v>
      </c>
      <c r="B23" s="35">
        <v>621.75599999999997</v>
      </c>
      <c r="C23" s="35">
        <v>158.8218</v>
      </c>
      <c r="D23" s="35">
        <v>103.29989999999999</v>
      </c>
      <c r="E23" s="35">
        <v>77.746799999999993</v>
      </c>
      <c r="F23" s="35">
        <v>411.61860000000001</v>
      </c>
      <c r="G23" s="35">
        <v>25952.400399999999</v>
      </c>
    </row>
    <row r="24" spans="1:7" x14ac:dyDescent="0.3">
      <c r="A24" s="26">
        <v>45966</v>
      </c>
      <c r="B24" s="35">
        <v>621.75599999999997</v>
      </c>
      <c r="C24" s="35">
        <v>158.32230000000001</v>
      </c>
      <c r="D24" s="35">
        <v>103.49120000000001</v>
      </c>
      <c r="E24" s="35">
        <v>77.697999999999993</v>
      </c>
      <c r="F24" s="35">
        <v>409.68430000000001</v>
      </c>
      <c r="G24" s="35">
        <v>25935.410199999998</v>
      </c>
    </row>
    <row r="25" spans="1:7" x14ac:dyDescent="0.3">
      <c r="A25" s="26">
        <v>45967</v>
      </c>
      <c r="B25" s="35">
        <v>636.58320000000003</v>
      </c>
      <c r="C25" s="35">
        <v>164.8151</v>
      </c>
      <c r="D25" s="35">
        <v>106.6489</v>
      </c>
      <c r="E25" s="35">
        <v>79.259699999999995</v>
      </c>
      <c r="F25" s="35">
        <v>418.77550000000002</v>
      </c>
      <c r="G25" s="35">
        <v>26485.900399999999</v>
      </c>
    </row>
    <row r="26" spans="1:7" x14ac:dyDescent="0.3">
      <c r="A26" s="26">
        <v>45968</v>
      </c>
      <c r="B26" s="35">
        <v>626.69839999999999</v>
      </c>
      <c r="C26" s="35">
        <v>159.92060000000001</v>
      </c>
      <c r="D26" s="35">
        <v>105.9746</v>
      </c>
      <c r="E26" s="35">
        <v>79.552599999999998</v>
      </c>
      <c r="F26" s="35">
        <v>414.52</v>
      </c>
      <c r="G26" s="35">
        <v>26241.830099999999</v>
      </c>
    </row>
    <row r="27" spans="1:7" x14ac:dyDescent="0.3">
      <c r="A27" s="26">
        <v>45971</v>
      </c>
      <c r="B27" s="35">
        <v>642.01990000000001</v>
      </c>
      <c r="C27" s="35">
        <v>163.21680000000001</v>
      </c>
      <c r="D27" s="35">
        <v>106.4563</v>
      </c>
      <c r="E27" s="35">
        <v>79.357399999999998</v>
      </c>
      <c r="F27" s="35">
        <v>421.67689999999999</v>
      </c>
      <c r="G27" s="35">
        <v>26649.0605</v>
      </c>
    </row>
    <row r="28" spans="1:7" x14ac:dyDescent="0.3">
      <c r="A28" s="26">
        <v>45972</v>
      </c>
      <c r="B28" s="35">
        <v>642.51409999999998</v>
      </c>
      <c r="C28" s="35">
        <v>160.22020000000001</v>
      </c>
      <c r="D28" s="35">
        <v>108.2867</v>
      </c>
      <c r="E28" s="35">
        <v>80.382300000000001</v>
      </c>
      <c r="F28" s="35">
        <v>421.09660000000002</v>
      </c>
      <c r="G28" s="35">
        <v>26696.410199999998</v>
      </c>
    </row>
    <row r="29" spans="1:7" x14ac:dyDescent="0.3">
      <c r="A29" s="26">
        <v>45973</v>
      </c>
      <c r="B29" s="35">
        <v>649.43349999999998</v>
      </c>
      <c r="C29" s="35">
        <v>156.62430000000001</v>
      </c>
      <c r="D29" s="35">
        <v>109.34650000000001</v>
      </c>
      <c r="E29" s="35">
        <v>82.090400000000002</v>
      </c>
      <c r="F29" s="35">
        <v>423.03089999999997</v>
      </c>
      <c r="G29" s="35">
        <v>26922.730500000001</v>
      </c>
    </row>
    <row r="30" spans="1:7" x14ac:dyDescent="0.3">
      <c r="A30" s="26">
        <v>45974</v>
      </c>
      <c r="B30" s="35">
        <v>648.44500000000005</v>
      </c>
      <c r="C30" s="35">
        <v>161.8184</v>
      </c>
      <c r="D30" s="35">
        <v>110.1172</v>
      </c>
      <c r="E30" s="35">
        <v>82.139300000000006</v>
      </c>
      <c r="F30" s="35">
        <v>422.25720000000001</v>
      </c>
      <c r="G30" s="35">
        <v>27073.029299999998</v>
      </c>
    </row>
    <row r="31" spans="1:7" x14ac:dyDescent="0.3">
      <c r="A31" s="26">
        <v>45975</v>
      </c>
      <c r="B31" s="35">
        <v>633.61770000000001</v>
      </c>
      <c r="C31" s="35">
        <v>154.72640000000001</v>
      </c>
      <c r="D31" s="35">
        <v>108.7684</v>
      </c>
      <c r="E31" s="35">
        <v>80.382300000000001</v>
      </c>
      <c r="F31" s="35">
        <v>411.23169999999999</v>
      </c>
      <c r="G31" s="35">
        <v>26572.460899999998</v>
      </c>
    </row>
    <row r="32" spans="1:7" x14ac:dyDescent="0.3">
      <c r="A32" s="26">
        <v>45978</v>
      </c>
      <c r="B32" s="35">
        <v>629.16959999999995</v>
      </c>
      <c r="C32" s="35">
        <v>154.72640000000001</v>
      </c>
      <c r="D32" s="35">
        <v>107.99769999999999</v>
      </c>
      <c r="E32" s="35">
        <v>79.357399999999998</v>
      </c>
      <c r="F32" s="35">
        <v>408.33030000000002</v>
      </c>
      <c r="G32" s="35">
        <v>26384.279299999998</v>
      </c>
    </row>
    <row r="33" spans="1:7" x14ac:dyDescent="0.3">
      <c r="A33" s="26">
        <v>45979</v>
      </c>
      <c r="B33" s="35">
        <v>616.3193</v>
      </c>
      <c r="C33" s="35">
        <v>154.42670000000001</v>
      </c>
      <c r="D33" s="35">
        <v>105.58920000000001</v>
      </c>
      <c r="E33" s="35">
        <v>76.673100000000005</v>
      </c>
      <c r="F33" s="35">
        <v>403.10759999999999</v>
      </c>
      <c r="G33" s="35">
        <v>25930.029299999998</v>
      </c>
    </row>
    <row r="34" spans="1:7" x14ac:dyDescent="0.3">
      <c r="A34" s="26">
        <v>45980</v>
      </c>
      <c r="B34" s="35">
        <v>615.33079999999995</v>
      </c>
      <c r="C34" s="35">
        <v>156.22470000000001</v>
      </c>
      <c r="D34" s="35">
        <v>103.85509999999999</v>
      </c>
      <c r="E34" s="35">
        <v>76.087400000000002</v>
      </c>
      <c r="F34" s="35">
        <v>402.7208</v>
      </c>
      <c r="G34" s="35">
        <v>25830.650399999999</v>
      </c>
    </row>
    <row r="35" spans="1:7" x14ac:dyDescent="0.3">
      <c r="A35" s="26">
        <v>45981</v>
      </c>
      <c r="B35" s="35">
        <v>613.84810000000004</v>
      </c>
      <c r="C35" s="35">
        <v>154.62649999999999</v>
      </c>
      <c r="D35" s="35">
        <v>103.66240000000001</v>
      </c>
      <c r="E35" s="35">
        <v>77.063500000000005</v>
      </c>
      <c r="F35" s="35">
        <v>403.88139999999999</v>
      </c>
      <c r="G35" s="35">
        <v>25835.570299999999</v>
      </c>
    </row>
    <row r="36" spans="1:7" x14ac:dyDescent="0.3">
      <c r="A36" s="26">
        <v>45982</v>
      </c>
      <c r="B36" s="35">
        <v>602.97479999999996</v>
      </c>
      <c r="C36" s="35">
        <v>147.43459999999999</v>
      </c>
      <c r="D36" s="35">
        <v>101.2539</v>
      </c>
      <c r="E36" s="35">
        <v>74.9649</v>
      </c>
      <c r="F36" s="35">
        <v>395.75729999999999</v>
      </c>
      <c r="G36" s="35">
        <v>25220.019499999999</v>
      </c>
    </row>
    <row r="37" spans="1:7" x14ac:dyDescent="0.3">
      <c r="A37" s="26">
        <v>45985</v>
      </c>
      <c r="B37" s="35">
        <v>617.30780000000004</v>
      </c>
      <c r="C37" s="35">
        <v>154.32679999999999</v>
      </c>
      <c r="D37" s="35">
        <v>103.3734</v>
      </c>
      <c r="E37" s="35">
        <v>77.112300000000005</v>
      </c>
      <c r="F37" s="35">
        <v>401.56020000000001</v>
      </c>
      <c r="G37" s="35">
        <v>25716.5</v>
      </c>
    </row>
    <row r="38" spans="1:7" x14ac:dyDescent="0.3">
      <c r="A38" s="26">
        <v>45986</v>
      </c>
      <c r="B38" s="35">
        <v>617.80200000000002</v>
      </c>
      <c r="C38" s="35">
        <v>157.62309999999999</v>
      </c>
      <c r="D38" s="35">
        <v>102.8917</v>
      </c>
      <c r="E38" s="35">
        <v>77.356300000000005</v>
      </c>
      <c r="F38" s="35">
        <v>401.75360000000001</v>
      </c>
      <c r="G38" s="35">
        <v>25894.550800000001</v>
      </c>
    </row>
    <row r="39" spans="1:7" x14ac:dyDescent="0.3">
      <c r="A39" s="26">
        <v>45987</v>
      </c>
      <c r="B39" s="35">
        <v>612.36540000000002</v>
      </c>
      <c r="C39" s="35">
        <v>154.62649999999999</v>
      </c>
      <c r="D39" s="35">
        <v>103.66240000000001</v>
      </c>
      <c r="E39" s="35">
        <v>78.771699999999996</v>
      </c>
      <c r="F39" s="35">
        <v>399.6259</v>
      </c>
      <c r="G39" s="35">
        <v>25928.080099999999</v>
      </c>
    </row>
    <row r="40" spans="1:7" x14ac:dyDescent="0.3">
      <c r="A40" s="26">
        <v>45988</v>
      </c>
      <c r="B40" s="35">
        <v>604.45749999999998</v>
      </c>
      <c r="C40" s="35">
        <v>150.43119999999999</v>
      </c>
      <c r="D40" s="35">
        <v>105.0112</v>
      </c>
      <c r="E40" s="35">
        <v>80.089399999999998</v>
      </c>
      <c r="F40" s="35">
        <v>398.27190000000002</v>
      </c>
      <c r="G40" s="35">
        <v>25945.929700000001</v>
      </c>
    </row>
    <row r="41" spans="1:7" x14ac:dyDescent="0.3">
      <c r="A41" s="26">
        <v>45989</v>
      </c>
      <c r="B41" s="35">
        <v>604.45749999999998</v>
      </c>
      <c r="C41" s="35">
        <v>151.33019999999999</v>
      </c>
      <c r="D41" s="35">
        <v>105.3002</v>
      </c>
      <c r="E41" s="35">
        <v>78.674099999999996</v>
      </c>
      <c r="F41" s="35">
        <v>397.4982</v>
      </c>
      <c r="G41" s="35">
        <v>25858.890599999999</v>
      </c>
    </row>
    <row r="42" spans="1:7" x14ac:dyDescent="0.3">
      <c r="A42" s="26">
        <v>45992</v>
      </c>
      <c r="B42" s="35">
        <v>612.36540000000002</v>
      </c>
      <c r="C42" s="35">
        <v>154.72640000000001</v>
      </c>
      <c r="D42" s="35">
        <v>106.4563</v>
      </c>
      <c r="E42" s="35">
        <v>78.576499999999996</v>
      </c>
      <c r="F42" s="35">
        <v>399.04559999999998</v>
      </c>
      <c r="G42" s="35">
        <v>26033.2598</v>
      </c>
    </row>
    <row r="43" spans="1:7" x14ac:dyDescent="0.3">
      <c r="A43" s="26">
        <v>45993</v>
      </c>
      <c r="B43" s="35">
        <v>609.89419999999996</v>
      </c>
      <c r="C43" s="35">
        <v>156.82400000000001</v>
      </c>
      <c r="D43" s="35">
        <v>106.938</v>
      </c>
      <c r="E43" s="35">
        <v>78.869299999999996</v>
      </c>
      <c r="F43" s="35">
        <v>396.72449999999998</v>
      </c>
      <c r="G43" s="35">
        <v>26095.050800000001</v>
      </c>
    </row>
    <row r="44" spans="1:7" x14ac:dyDescent="0.3">
      <c r="A44" s="26">
        <v>45994</v>
      </c>
      <c r="B44" s="35">
        <v>603.9633</v>
      </c>
      <c r="C44" s="35">
        <v>153.42779999999999</v>
      </c>
      <c r="D44" s="35">
        <v>107.1306</v>
      </c>
      <c r="E44" s="35">
        <v>77.649199999999993</v>
      </c>
      <c r="F44" s="35">
        <v>390.92160000000001</v>
      </c>
      <c r="G44" s="35">
        <v>25760.730500000001</v>
      </c>
    </row>
    <row r="45" spans="1:7" x14ac:dyDescent="0.3">
      <c r="A45" s="26">
        <v>45995</v>
      </c>
      <c r="B45" s="35">
        <v>604.95169999999996</v>
      </c>
      <c r="C45" s="35">
        <v>154.2269</v>
      </c>
      <c r="D45" s="35">
        <v>107.41970000000001</v>
      </c>
      <c r="E45" s="35">
        <v>77.112300000000005</v>
      </c>
      <c r="F45" s="35">
        <v>393.04930000000002</v>
      </c>
      <c r="G45" s="35">
        <v>25935.900399999999</v>
      </c>
    </row>
    <row r="46" spans="1:7" x14ac:dyDescent="0.3">
      <c r="A46" s="26">
        <v>45996</v>
      </c>
      <c r="B46" s="35">
        <v>602.97479999999996</v>
      </c>
      <c r="C46" s="35">
        <v>154.8263</v>
      </c>
      <c r="D46" s="35">
        <v>106.938</v>
      </c>
      <c r="E46" s="35">
        <v>76.429000000000002</v>
      </c>
      <c r="F46" s="35">
        <v>394.01639999999998</v>
      </c>
      <c r="G46" s="35">
        <v>26085.080099999999</v>
      </c>
    </row>
    <row r="47" spans="1:7" x14ac:dyDescent="0.3">
      <c r="A47" s="26">
        <v>45999</v>
      </c>
      <c r="B47" s="35">
        <v>598.03229999999996</v>
      </c>
      <c r="C47" s="35">
        <v>153.22810000000001</v>
      </c>
      <c r="D47" s="35">
        <v>105.1075</v>
      </c>
      <c r="E47" s="35">
        <v>76.038600000000002</v>
      </c>
      <c r="F47" s="35">
        <v>391.30840000000001</v>
      </c>
      <c r="G47" s="35">
        <v>25765.359400000001</v>
      </c>
    </row>
    <row r="48" spans="1:7" x14ac:dyDescent="0.3">
      <c r="A48" s="26">
        <v>46000</v>
      </c>
      <c r="B48" s="35">
        <v>595.56119999999999</v>
      </c>
      <c r="C48" s="35">
        <v>150.73089999999999</v>
      </c>
      <c r="D48" s="35">
        <v>105.49290000000001</v>
      </c>
      <c r="E48" s="35">
        <v>75.4041</v>
      </c>
      <c r="F48" s="35">
        <v>388.02010000000001</v>
      </c>
      <c r="G48" s="35">
        <v>25434.230500000001</v>
      </c>
    </row>
    <row r="49" spans="1:7" x14ac:dyDescent="0.3">
      <c r="A49" s="26">
        <v>46001</v>
      </c>
      <c r="B49" s="35">
        <v>596.05539999999996</v>
      </c>
      <c r="C49" s="35">
        <v>153.0283</v>
      </c>
      <c r="D49" s="35">
        <v>107.6123</v>
      </c>
      <c r="E49" s="35">
        <v>75.648099999999999</v>
      </c>
      <c r="F49" s="35">
        <v>389.5675</v>
      </c>
      <c r="G49" s="35">
        <v>25540.779299999998</v>
      </c>
    </row>
    <row r="50" spans="1:7" x14ac:dyDescent="0.3">
      <c r="A50" s="26">
        <v>46002</v>
      </c>
      <c r="B50" s="35">
        <v>594.57270000000005</v>
      </c>
      <c r="C50" s="35">
        <v>150.43119999999999</v>
      </c>
      <c r="D50" s="35">
        <v>109.8282</v>
      </c>
      <c r="E50" s="35">
        <v>75.4529</v>
      </c>
      <c r="F50" s="35">
        <v>387.63319999999999</v>
      </c>
      <c r="G50" s="35">
        <v>25530.5098</v>
      </c>
    </row>
    <row r="51" spans="1:7" x14ac:dyDescent="0.3">
      <c r="A51" s="26">
        <v>46003</v>
      </c>
      <c r="B51" s="35">
        <v>608.90570000000002</v>
      </c>
      <c r="C51" s="35">
        <v>153.9273</v>
      </c>
      <c r="D51" s="35">
        <v>113.0074</v>
      </c>
      <c r="E51" s="35">
        <v>77.112300000000005</v>
      </c>
      <c r="F51" s="35">
        <v>388.60039999999998</v>
      </c>
      <c r="G51" s="35">
        <v>25976.789100000002</v>
      </c>
    </row>
    <row r="52" spans="1:7" x14ac:dyDescent="0.3">
      <c r="A52" s="26">
        <v>46006</v>
      </c>
      <c r="B52" s="35">
        <v>596.05539999999996</v>
      </c>
      <c r="C52" s="35">
        <v>148.43340000000001</v>
      </c>
      <c r="D52" s="35">
        <v>111.9477</v>
      </c>
      <c r="E52" s="35">
        <v>78.722899999999996</v>
      </c>
      <c r="F52" s="35">
        <v>390.53469999999999</v>
      </c>
      <c r="G52" s="35">
        <v>25628.8809</v>
      </c>
    </row>
    <row r="53" spans="1:7" x14ac:dyDescent="0.3">
      <c r="A53" s="26">
        <v>46007</v>
      </c>
      <c r="B53" s="35">
        <v>589.63019999999995</v>
      </c>
      <c r="C53" s="35">
        <v>144.0384</v>
      </c>
      <c r="D53" s="35">
        <v>111.9477</v>
      </c>
      <c r="E53" s="35">
        <v>77.893199999999993</v>
      </c>
      <c r="F53" s="35">
        <v>382.99099999999999</v>
      </c>
      <c r="G53" s="35">
        <v>25235.410199999998</v>
      </c>
    </row>
    <row r="54" spans="1:7" x14ac:dyDescent="0.3">
      <c r="A54" s="26">
        <v>46008</v>
      </c>
      <c r="B54" s="35">
        <v>598.03229999999996</v>
      </c>
      <c r="C54" s="35">
        <v>145.83629999999999</v>
      </c>
      <c r="D54" s="35">
        <v>113.20010000000001</v>
      </c>
      <c r="E54" s="35">
        <v>79.015699999999995</v>
      </c>
      <c r="F54" s="35">
        <v>385.31209999999999</v>
      </c>
      <c r="G54" s="35">
        <v>25468.779299999998</v>
      </c>
    </row>
    <row r="55" spans="1:7" x14ac:dyDescent="0.3">
      <c r="A55" s="26">
        <v>46009</v>
      </c>
      <c r="B55" s="35">
        <v>598.03229999999996</v>
      </c>
      <c r="C55" s="35">
        <v>143.9385</v>
      </c>
      <c r="D55" s="35">
        <v>114.3562</v>
      </c>
      <c r="E55" s="35">
        <v>79.406199999999998</v>
      </c>
      <c r="F55" s="35">
        <v>388.60039999999998</v>
      </c>
      <c r="G55" s="35">
        <v>25498.1309</v>
      </c>
    </row>
    <row r="56" spans="1:7" x14ac:dyDescent="0.3">
      <c r="A56" s="26">
        <v>46010</v>
      </c>
      <c r="B56" s="35">
        <v>606.92870000000005</v>
      </c>
      <c r="C56" s="35">
        <v>145.1371</v>
      </c>
      <c r="D56" s="35">
        <v>114.9342</v>
      </c>
      <c r="E56" s="35">
        <v>80.528700000000001</v>
      </c>
      <c r="F56" s="35">
        <v>393.62959999999998</v>
      </c>
      <c r="G56" s="35">
        <v>25690.529299999998</v>
      </c>
    </row>
    <row r="57" spans="1:7" x14ac:dyDescent="0.3">
      <c r="A57" s="26">
        <v>46013</v>
      </c>
      <c r="B57" s="35">
        <v>607.423</v>
      </c>
      <c r="C57" s="35">
        <v>146.23589999999999</v>
      </c>
      <c r="D57" s="35">
        <v>116.861</v>
      </c>
      <c r="E57" s="35">
        <v>80.6751</v>
      </c>
      <c r="F57" s="35">
        <v>393.62959999999998</v>
      </c>
      <c r="G57" s="35">
        <v>25801.769499999999</v>
      </c>
    </row>
    <row r="58" spans="1:7" x14ac:dyDescent="0.3">
      <c r="A58" s="26">
        <v>46014</v>
      </c>
      <c r="B58" s="35">
        <v>595.06690000000003</v>
      </c>
      <c r="C58" s="35">
        <v>147.035</v>
      </c>
      <c r="D58" s="35">
        <v>117.8244</v>
      </c>
      <c r="E58" s="35">
        <v>80.6751</v>
      </c>
      <c r="F58" s="35">
        <v>394.2099</v>
      </c>
      <c r="G58" s="35">
        <v>25774.140599999999</v>
      </c>
    </row>
    <row r="59" spans="1:7" x14ac:dyDescent="0.3">
      <c r="A59" s="26">
        <v>46015</v>
      </c>
      <c r="B59" s="35">
        <v>595.56119999999999</v>
      </c>
      <c r="C59" s="35">
        <v>145.93620000000001</v>
      </c>
      <c r="D59" s="35">
        <v>119.3659</v>
      </c>
      <c r="E59" s="35">
        <v>81.358400000000003</v>
      </c>
      <c r="F59" s="35">
        <v>397.30470000000003</v>
      </c>
      <c r="G59" s="35">
        <v>25818.929700000001</v>
      </c>
    </row>
    <row r="60" spans="1:7" x14ac:dyDescent="0.3">
      <c r="A60" s="26">
        <v>46020</v>
      </c>
      <c r="B60" s="35">
        <v>589.63019999999995</v>
      </c>
      <c r="C60" s="35">
        <v>143.13939999999999</v>
      </c>
      <c r="D60" s="35">
        <v>117.4391</v>
      </c>
      <c r="E60" s="35">
        <v>80.235799999999998</v>
      </c>
      <c r="F60" s="35">
        <v>394.79020000000003</v>
      </c>
      <c r="G60" s="35">
        <v>25635.230500000001</v>
      </c>
    </row>
    <row r="61" spans="1:7" x14ac:dyDescent="0.3">
      <c r="A61" s="26">
        <v>46021</v>
      </c>
      <c r="B61" s="35">
        <v>593.09</v>
      </c>
      <c r="C61" s="35">
        <v>144.33799999999999</v>
      </c>
      <c r="D61" s="35">
        <v>118.4988</v>
      </c>
      <c r="E61" s="35">
        <v>79.698999999999998</v>
      </c>
      <c r="F61" s="35">
        <v>395.17700000000002</v>
      </c>
      <c r="G61" s="35">
        <v>25854.599600000001</v>
      </c>
    </row>
    <row r="62" spans="1:7" x14ac:dyDescent="0.3">
      <c r="A62" s="26">
        <v>46022</v>
      </c>
      <c r="B62" s="35">
        <v>592.10140000000001</v>
      </c>
      <c r="C62" s="35">
        <v>142.63990000000001</v>
      </c>
      <c r="D62" s="35">
        <v>117.7281</v>
      </c>
      <c r="E62" s="35">
        <v>78.186000000000007</v>
      </c>
      <c r="F62" s="35">
        <v>394.4033</v>
      </c>
      <c r="G62" s="35">
        <v>25630.539100000002</v>
      </c>
    </row>
    <row r="63" spans="1:7" x14ac:dyDescent="0.3">
      <c r="A63" s="26">
        <v>46024</v>
      </c>
      <c r="B63" s="35">
        <v>615.82510000000002</v>
      </c>
      <c r="C63" s="35">
        <v>148.833</v>
      </c>
      <c r="D63" s="35">
        <v>119.7513</v>
      </c>
      <c r="E63" s="35">
        <v>81.309600000000003</v>
      </c>
      <c r="F63" s="35">
        <v>402.14049999999997</v>
      </c>
      <c r="G63" s="35">
        <v>26338.470700000002</v>
      </c>
    </row>
    <row r="64" spans="1:7" x14ac:dyDescent="0.3">
      <c r="A64" s="26">
        <v>46027</v>
      </c>
      <c r="B64" s="35">
        <v>617.30780000000004</v>
      </c>
      <c r="C64" s="35">
        <v>152.62870000000001</v>
      </c>
      <c r="D64" s="35">
        <v>120.3293</v>
      </c>
      <c r="E64" s="35">
        <v>81.895200000000003</v>
      </c>
      <c r="F64" s="35">
        <v>406.39600000000002</v>
      </c>
      <c r="G64" s="35">
        <v>26347.2402</v>
      </c>
    </row>
    <row r="65" spans="1:7" x14ac:dyDescent="0.3">
      <c r="A65" s="26">
        <v>46028</v>
      </c>
      <c r="B65" s="35">
        <v>625.21559999999999</v>
      </c>
      <c r="C65" s="35">
        <v>150.631</v>
      </c>
      <c r="D65" s="35">
        <v>124.0866</v>
      </c>
      <c r="E65" s="35">
        <v>83.993899999999996</v>
      </c>
      <c r="F65" s="35">
        <v>418.1952</v>
      </c>
      <c r="G65" s="35">
        <v>26710.449199999999</v>
      </c>
    </row>
    <row r="66" spans="1:7" x14ac:dyDescent="0.3">
      <c r="A66" s="26">
        <v>46029</v>
      </c>
      <c r="B66" s="35">
        <v>617.30780000000004</v>
      </c>
      <c r="C66" s="35">
        <v>145.73650000000001</v>
      </c>
      <c r="D66" s="35">
        <v>122.54510000000001</v>
      </c>
      <c r="E66" s="35">
        <v>83.896199999999993</v>
      </c>
      <c r="F66" s="35">
        <v>416.06740000000002</v>
      </c>
      <c r="G66" s="35">
        <v>26458.949199999999</v>
      </c>
    </row>
    <row r="67" spans="1:7" x14ac:dyDescent="0.3">
      <c r="A67" s="26">
        <v>46030</v>
      </c>
      <c r="B67" s="35">
        <v>608.90570000000002</v>
      </c>
      <c r="C67" s="35">
        <v>142.4402</v>
      </c>
      <c r="D67" s="35">
        <v>119.7513</v>
      </c>
      <c r="E67" s="35">
        <v>81.846400000000003</v>
      </c>
      <c r="F67" s="35">
        <v>411.23169999999999</v>
      </c>
      <c r="G67" s="35">
        <v>26149.3105</v>
      </c>
    </row>
    <row r="68" spans="1:7" x14ac:dyDescent="0.3">
      <c r="A68" s="26">
        <v>46031</v>
      </c>
      <c r="B68" s="35">
        <v>603.9633</v>
      </c>
      <c r="C68" s="35">
        <v>146.33580000000001</v>
      </c>
      <c r="D68" s="35">
        <v>120.233</v>
      </c>
      <c r="E68" s="35">
        <v>82.285700000000006</v>
      </c>
      <c r="F68" s="35">
        <v>412.77910000000003</v>
      </c>
      <c r="G68" s="35">
        <v>26231.789100000002</v>
      </c>
    </row>
    <row r="69" spans="1:7" x14ac:dyDescent="0.3">
      <c r="A69" s="26">
        <v>46034</v>
      </c>
      <c r="B69" s="35">
        <v>615.82510000000002</v>
      </c>
      <c r="C69" s="35">
        <v>154.12710000000001</v>
      </c>
      <c r="D69" s="35">
        <v>119.5586</v>
      </c>
      <c r="E69" s="35">
        <v>81.7</v>
      </c>
      <c r="F69" s="35">
        <v>412.19889999999998</v>
      </c>
      <c r="G69" s="35">
        <v>26608.480500000001</v>
      </c>
    </row>
    <row r="70" spans="1:7" x14ac:dyDescent="0.3">
      <c r="A70" s="26">
        <v>46035</v>
      </c>
      <c r="B70" s="35">
        <v>620.27329999999995</v>
      </c>
      <c r="C70" s="35">
        <v>159.7208</v>
      </c>
      <c r="D70" s="35">
        <v>121.7744</v>
      </c>
      <c r="E70" s="35">
        <v>82.383300000000006</v>
      </c>
      <c r="F70" s="35">
        <v>417.61489999999998</v>
      </c>
      <c r="G70" s="35">
        <v>26848.470700000002</v>
      </c>
    </row>
    <row r="71" spans="1:7" x14ac:dyDescent="0.3">
      <c r="A71" s="26">
        <v>46036</v>
      </c>
      <c r="B71" s="35">
        <v>625.70989999999995</v>
      </c>
      <c r="C71" s="35">
        <v>168.81059999999999</v>
      </c>
      <c r="D71" s="35">
        <v>122.3524</v>
      </c>
      <c r="E71" s="35">
        <v>82.676100000000005</v>
      </c>
      <c r="F71" s="35">
        <v>420.5163</v>
      </c>
      <c r="G71" s="35">
        <v>26999.8105</v>
      </c>
    </row>
    <row r="72" spans="1:7" x14ac:dyDescent="0.3">
      <c r="A72" s="26">
        <v>46037</v>
      </c>
      <c r="B72" s="35">
        <v>614.83659999999998</v>
      </c>
      <c r="C72" s="35">
        <v>164.41550000000001</v>
      </c>
      <c r="D72" s="35">
        <v>123.5085</v>
      </c>
      <c r="E72" s="35">
        <v>82.822500000000005</v>
      </c>
      <c r="F72" s="35">
        <v>424.19150000000002</v>
      </c>
      <c r="G72" s="35">
        <v>26923.6191</v>
      </c>
    </row>
    <row r="73" spans="1:7" x14ac:dyDescent="0.3">
      <c r="A73" s="26">
        <v>46038</v>
      </c>
      <c r="B73" s="35">
        <v>610.38840000000005</v>
      </c>
      <c r="C73" s="35">
        <v>166.0137</v>
      </c>
      <c r="D73" s="35">
        <v>123.7975</v>
      </c>
      <c r="E73" s="35">
        <v>81.553600000000003</v>
      </c>
      <c r="F73" s="35">
        <v>423.99799999999999</v>
      </c>
      <c r="G73" s="35">
        <v>26844.960899999998</v>
      </c>
    </row>
    <row r="74" spans="1:7" x14ac:dyDescent="0.3">
      <c r="A74" s="26">
        <v>46041</v>
      </c>
      <c r="B74" s="35">
        <v>602.97479999999996</v>
      </c>
      <c r="C74" s="35">
        <v>160.22020000000001</v>
      </c>
      <c r="D74" s="35">
        <v>122.3524</v>
      </c>
      <c r="E74" s="35">
        <v>80.9679</v>
      </c>
      <c r="F74" s="35">
        <v>417.61489999999998</v>
      </c>
      <c r="G74" s="35">
        <v>26563.900399999999</v>
      </c>
    </row>
    <row r="75" spans="1:7" x14ac:dyDescent="0.3">
      <c r="A75" s="26">
        <v>46042</v>
      </c>
      <c r="B75" s="35">
        <v>594.07839999999999</v>
      </c>
      <c r="C75" s="35">
        <v>159.52099999999999</v>
      </c>
      <c r="D75" s="35">
        <v>123.7012</v>
      </c>
      <c r="E75" s="35">
        <v>80.8703</v>
      </c>
      <c r="F75" s="35">
        <v>412.9726</v>
      </c>
      <c r="G75" s="35">
        <v>26487.5098</v>
      </c>
    </row>
    <row r="76" spans="1:7" x14ac:dyDescent="0.3">
      <c r="A76" s="26">
        <v>46043</v>
      </c>
      <c r="B76" s="35">
        <v>595.56119999999999</v>
      </c>
      <c r="C76" s="35">
        <v>163.0171</v>
      </c>
      <c r="D76" s="35">
        <v>123.5085</v>
      </c>
      <c r="E76" s="35">
        <v>80.8703</v>
      </c>
      <c r="F76" s="35">
        <v>413.35939999999999</v>
      </c>
      <c r="G76" s="35">
        <v>26585.0605</v>
      </c>
    </row>
    <row r="77" spans="1:7" x14ac:dyDescent="0.3">
      <c r="A77" s="26">
        <v>46044</v>
      </c>
      <c r="B77" s="35">
        <v>590.61869999999999</v>
      </c>
      <c r="C77" s="35">
        <v>164.61529999999999</v>
      </c>
      <c r="D77" s="35">
        <v>124.95359999999999</v>
      </c>
      <c r="E77" s="35">
        <v>80.528700000000001</v>
      </c>
      <c r="F77" s="35">
        <v>412.39229999999998</v>
      </c>
      <c r="G77" s="35">
        <v>26629.960899999998</v>
      </c>
    </row>
    <row r="78" spans="1:7" x14ac:dyDescent="0.3">
      <c r="A78" s="26">
        <v>46045</v>
      </c>
      <c r="B78" s="35">
        <v>588.14750000000004</v>
      </c>
      <c r="C78" s="35">
        <v>168.31110000000001</v>
      </c>
      <c r="D78" s="35">
        <v>125.2427</v>
      </c>
      <c r="E78" s="35">
        <v>81.0655</v>
      </c>
      <c r="F78" s="35">
        <v>408.13679999999999</v>
      </c>
      <c r="G78" s="35">
        <v>26749.5098</v>
      </c>
    </row>
    <row r="79" spans="1:7" x14ac:dyDescent="0.3">
      <c r="A79" s="26">
        <v>46048</v>
      </c>
      <c r="B79" s="35">
        <v>592.59569999999997</v>
      </c>
      <c r="C79" s="35">
        <v>165.01480000000001</v>
      </c>
      <c r="D79" s="35">
        <v>126.20610000000001</v>
      </c>
      <c r="E79" s="35">
        <v>81.0655</v>
      </c>
      <c r="F79" s="35">
        <v>409.10399999999998</v>
      </c>
      <c r="G79" s="35">
        <v>26765.519499999999</v>
      </c>
    </row>
    <row r="80" spans="1:7" x14ac:dyDescent="0.3">
      <c r="A80" s="26">
        <v>46049</v>
      </c>
      <c r="B80" s="35">
        <v>600.00930000000005</v>
      </c>
      <c r="C80" s="35">
        <v>169.70959999999999</v>
      </c>
      <c r="D80" s="35">
        <v>129.578</v>
      </c>
      <c r="E80" s="35">
        <v>84.384299999999996</v>
      </c>
      <c r="F80" s="35">
        <v>416.26080000000002</v>
      </c>
      <c r="G80" s="35">
        <v>27126.949199999999</v>
      </c>
    </row>
    <row r="81" spans="1:7" x14ac:dyDescent="0.3">
      <c r="A81" s="26">
        <v>46050</v>
      </c>
      <c r="B81" s="35">
        <v>613.84810000000004</v>
      </c>
      <c r="C81" s="35">
        <v>173.30549999999999</v>
      </c>
      <c r="D81" s="35">
        <v>132.4682</v>
      </c>
      <c r="E81" s="35">
        <v>86.726900000000001</v>
      </c>
      <c r="F81" s="35">
        <v>424.77179999999998</v>
      </c>
      <c r="G81" s="35">
        <v>27826.910199999998</v>
      </c>
    </row>
    <row r="82" spans="1:7" x14ac:dyDescent="0.3">
      <c r="A82" s="26">
        <v>46051</v>
      </c>
      <c r="B82" s="35">
        <v>614.83659999999998</v>
      </c>
      <c r="C82" s="35">
        <v>173.10579999999999</v>
      </c>
      <c r="D82" s="35">
        <v>132.56450000000001</v>
      </c>
      <c r="E82" s="35">
        <v>88.776799999999994</v>
      </c>
      <c r="F82" s="35">
        <v>429.60750000000002</v>
      </c>
      <c r="G82" s="35">
        <v>27968.089800000002</v>
      </c>
    </row>
    <row r="83" spans="1:7" x14ac:dyDescent="0.3">
      <c r="A83" s="26">
        <v>46052</v>
      </c>
      <c r="B83" s="35">
        <v>599.02089999999998</v>
      </c>
      <c r="C83" s="35">
        <v>169.0103</v>
      </c>
      <c r="D83" s="35">
        <v>131.6011</v>
      </c>
      <c r="E83" s="35">
        <v>88.191100000000006</v>
      </c>
      <c r="F83" s="35">
        <v>418.00170000000003</v>
      </c>
      <c r="G83" s="35">
        <v>27387.109400000001</v>
      </c>
    </row>
    <row r="84" spans="1:7" x14ac:dyDescent="0.3">
      <c r="A84" s="26">
        <v>46055</v>
      </c>
      <c r="B84" s="35">
        <v>591.60720000000003</v>
      </c>
      <c r="C84" s="35">
        <v>163.11699999999999</v>
      </c>
      <c r="D84" s="35">
        <v>129.77070000000001</v>
      </c>
      <c r="E84" s="35">
        <v>86.922200000000004</v>
      </c>
      <c r="F84" s="35">
        <v>410.26459999999997</v>
      </c>
      <c r="G84" s="35">
        <v>26775.570299999999</v>
      </c>
    </row>
    <row r="85" spans="1:7" x14ac:dyDescent="0.3">
      <c r="A85" s="26">
        <v>46056</v>
      </c>
      <c r="B85" s="35">
        <v>574.30880000000002</v>
      </c>
      <c r="C85" s="35">
        <v>160.81950000000001</v>
      </c>
      <c r="D85" s="35">
        <v>133.81700000000001</v>
      </c>
      <c r="E85" s="35">
        <v>87.312600000000003</v>
      </c>
      <c r="F85" s="35">
        <v>408.13679999999999</v>
      </c>
      <c r="G85" s="35">
        <v>26834.769499999999</v>
      </c>
    </row>
    <row r="86" spans="1:7" x14ac:dyDescent="0.3">
      <c r="A86" s="26">
        <v>46057</v>
      </c>
      <c r="B86" s="35">
        <v>551.57370000000003</v>
      </c>
      <c r="C86" s="35">
        <v>159.3212</v>
      </c>
      <c r="D86" s="35">
        <v>133.91329999999999</v>
      </c>
      <c r="E86" s="35">
        <v>88.532700000000006</v>
      </c>
      <c r="F86" s="35">
        <v>406.39600000000002</v>
      </c>
      <c r="G86" s="35">
        <v>26847.320299999999</v>
      </c>
    </row>
    <row r="87" spans="1:7" x14ac:dyDescent="0.3">
      <c r="A87" s="26">
        <v>46058</v>
      </c>
      <c r="B87" s="35">
        <v>552.06790000000001</v>
      </c>
      <c r="C87" s="35">
        <v>159.4211</v>
      </c>
      <c r="D87" s="35">
        <v>133.4316</v>
      </c>
      <c r="E87" s="35">
        <v>86.287700000000001</v>
      </c>
      <c r="F87" s="35">
        <v>400.78649999999999</v>
      </c>
      <c r="G87" s="35">
        <v>26885.2402</v>
      </c>
    </row>
    <row r="88" spans="1:7" x14ac:dyDescent="0.3">
      <c r="A88" s="26">
        <v>46059</v>
      </c>
      <c r="B88" s="35">
        <v>541.19460000000004</v>
      </c>
      <c r="C88" s="35">
        <v>154.8263</v>
      </c>
      <c r="D88" s="35">
        <v>129.86699999999999</v>
      </c>
      <c r="E88" s="35">
        <v>81.504800000000003</v>
      </c>
      <c r="F88" s="35">
        <v>394.2099</v>
      </c>
      <c r="G88" s="35">
        <v>26559.949199999999</v>
      </c>
    </row>
    <row r="89" spans="1:7" x14ac:dyDescent="0.3">
      <c r="A89" s="26">
        <v>46062</v>
      </c>
      <c r="B89" s="35">
        <v>553.55060000000003</v>
      </c>
      <c r="C89" s="35">
        <v>157.72300000000001</v>
      </c>
      <c r="D89" s="35">
        <v>134.20230000000001</v>
      </c>
      <c r="E89" s="35">
        <v>84.286699999999996</v>
      </c>
      <c r="F89" s="35">
        <v>404.8485</v>
      </c>
      <c r="G89" s="35">
        <v>27027.160199999998</v>
      </c>
    </row>
    <row r="90" spans="1:7" x14ac:dyDescent="0.3">
      <c r="A90" s="26">
        <v>46063</v>
      </c>
      <c r="B90" s="35">
        <v>544.65430000000003</v>
      </c>
      <c r="C90" s="35">
        <v>160.3201</v>
      </c>
      <c r="D90" s="35">
        <v>135.16569999999999</v>
      </c>
      <c r="E90" s="35">
        <v>83.847399999999993</v>
      </c>
      <c r="F90" s="35">
        <v>403.49450000000002</v>
      </c>
      <c r="G90" s="35">
        <v>27183.150399999999</v>
      </c>
    </row>
    <row r="91" spans="1:7" x14ac:dyDescent="0.3">
      <c r="A91" s="26">
        <v>46064</v>
      </c>
      <c r="B91" s="35">
        <v>541.68880000000001</v>
      </c>
      <c r="C91" s="35">
        <v>159.92060000000001</v>
      </c>
      <c r="D91" s="35">
        <v>134.684</v>
      </c>
      <c r="E91" s="35">
        <v>83.505799999999994</v>
      </c>
      <c r="F91" s="35">
        <v>404.26819999999998</v>
      </c>
      <c r="G91" s="35">
        <v>27266.3809</v>
      </c>
    </row>
    <row r="92" spans="1:7" x14ac:dyDescent="0.3">
      <c r="A92" s="26">
        <v>46065</v>
      </c>
      <c r="B92" s="35">
        <v>529.33280000000002</v>
      </c>
      <c r="C92" s="35">
        <v>158.4222</v>
      </c>
      <c r="D92" s="35">
        <v>134.39500000000001</v>
      </c>
      <c r="E92" s="35">
        <v>81.797600000000003</v>
      </c>
      <c r="F92" s="35">
        <v>400.39960000000002</v>
      </c>
      <c r="G92" s="35">
        <v>27032.539100000002</v>
      </c>
    </row>
    <row r="93" spans="1:7" x14ac:dyDescent="0.3">
      <c r="A93" s="26">
        <v>46066</v>
      </c>
      <c r="B93" s="35">
        <v>525.87310000000002</v>
      </c>
      <c r="C93" s="35">
        <v>155.22579999999999</v>
      </c>
      <c r="D93" s="35">
        <v>130.73410000000001</v>
      </c>
      <c r="E93" s="35">
        <v>78.381200000000007</v>
      </c>
      <c r="F93" s="35">
        <v>391.88869999999997</v>
      </c>
      <c r="G93" s="35">
        <v>26567.1191</v>
      </c>
    </row>
    <row r="94" spans="1:7" x14ac:dyDescent="0.3">
      <c r="A94" s="26">
        <v>46069</v>
      </c>
      <c r="B94" s="35">
        <v>528.34429999999998</v>
      </c>
      <c r="C94" s="35">
        <v>154.5266</v>
      </c>
      <c r="D94" s="35">
        <v>129.48159999999999</v>
      </c>
      <c r="E94" s="35">
        <v>80.577500000000001</v>
      </c>
      <c r="F94" s="35">
        <v>395.37040000000002</v>
      </c>
      <c r="G94" s="35">
        <v>26705.9395</v>
      </c>
    </row>
    <row r="95" spans="1:7" x14ac:dyDescent="0.3">
      <c r="A95" s="26">
        <v>46073</v>
      </c>
      <c r="B95" s="35">
        <v>515.98829999999998</v>
      </c>
      <c r="C95" s="35">
        <v>146.93510000000001</v>
      </c>
      <c r="D95" s="35">
        <v>129.3853</v>
      </c>
      <c r="E95" s="35">
        <v>80.333500000000001</v>
      </c>
      <c r="F95" s="35">
        <v>394.4033</v>
      </c>
      <c r="G95" s="35">
        <v>26413.349600000001</v>
      </c>
    </row>
    <row r="96" spans="1:7" x14ac:dyDescent="0.3">
      <c r="A96" s="26">
        <v>46076</v>
      </c>
      <c r="B96" s="35">
        <v>531.80399999999997</v>
      </c>
      <c r="C96" s="35">
        <v>152.02940000000001</v>
      </c>
      <c r="D96" s="35">
        <v>130.92679999999999</v>
      </c>
      <c r="E96" s="35">
        <v>83.603399999999993</v>
      </c>
      <c r="F96" s="35">
        <v>404.07479999999998</v>
      </c>
      <c r="G96" s="35">
        <v>27081.910199999998</v>
      </c>
    </row>
    <row r="97" spans="1:7" x14ac:dyDescent="0.3">
      <c r="A97" s="26">
        <v>46077</v>
      </c>
      <c r="B97" s="35">
        <v>514.01130000000001</v>
      </c>
      <c r="C97" s="35">
        <v>147.83410000000001</v>
      </c>
      <c r="D97" s="35">
        <v>130.34870000000001</v>
      </c>
      <c r="E97" s="35">
        <v>82.822500000000005</v>
      </c>
      <c r="F97" s="35">
        <v>400.01280000000003</v>
      </c>
      <c r="G97" s="35">
        <v>26590.320299999999</v>
      </c>
    </row>
    <row r="98" spans="1:7" x14ac:dyDescent="0.3">
      <c r="A98" s="26">
        <v>46078</v>
      </c>
      <c r="B98" s="35">
        <v>516.48249999999996</v>
      </c>
      <c r="C98" s="35">
        <v>148.13380000000001</v>
      </c>
      <c r="D98" s="35">
        <v>137.47790000000001</v>
      </c>
      <c r="E98" s="35">
        <v>82.480900000000005</v>
      </c>
      <c r="F98" s="35">
        <v>398.65879999999999</v>
      </c>
      <c r="G98" s="35">
        <v>26765.720700000002</v>
      </c>
    </row>
    <row r="99" spans="1:7" x14ac:dyDescent="0.3">
      <c r="A99" s="26">
        <v>46079</v>
      </c>
      <c r="B99" s="35">
        <v>506.10340000000002</v>
      </c>
      <c r="C99" s="35">
        <v>142.83969999999999</v>
      </c>
      <c r="D99" s="35">
        <v>139.69370000000001</v>
      </c>
      <c r="E99" s="35">
        <v>82.676100000000005</v>
      </c>
      <c r="F99" s="35">
        <v>401.75360000000001</v>
      </c>
      <c r="G99" s="35">
        <v>26381.019499999999</v>
      </c>
    </row>
    <row r="100" spans="1:7" x14ac:dyDescent="0.3">
      <c r="A100" s="26">
        <v>46080</v>
      </c>
      <c r="B100" s="35">
        <v>512.03430000000003</v>
      </c>
      <c r="C100" s="35">
        <v>142.7398</v>
      </c>
      <c r="D100" s="35">
        <v>141.90960000000001</v>
      </c>
      <c r="E100" s="35">
        <v>84.725899999999996</v>
      </c>
      <c r="F100" s="35">
        <v>405.23540000000003</v>
      </c>
      <c r="G100" s="35">
        <v>26630.539100000002</v>
      </c>
    </row>
    <row r="101" spans="1:7" x14ac:dyDescent="0.3">
      <c r="A101" s="26">
        <v>46083</v>
      </c>
      <c r="B101" s="35">
        <v>508.0804</v>
      </c>
      <c r="C101" s="35">
        <v>136.24709999999999</v>
      </c>
      <c r="D101" s="35">
        <v>134.58770000000001</v>
      </c>
      <c r="E101" s="35">
        <v>82.968900000000005</v>
      </c>
      <c r="F101" s="35">
        <v>397.4982</v>
      </c>
      <c r="G101" s="35">
        <v>26059.849600000001</v>
      </c>
    </row>
    <row r="102" spans="1:7" x14ac:dyDescent="0.3">
      <c r="A102" s="26">
        <v>46084</v>
      </c>
      <c r="B102" s="35">
        <v>504.6207</v>
      </c>
      <c r="C102" s="35">
        <v>134.6489</v>
      </c>
      <c r="D102" s="35">
        <v>130.8304</v>
      </c>
      <c r="E102" s="35">
        <v>82.968900000000005</v>
      </c>
      <c r="F102" s="35">
        <v>395.95069999999998</v>
      </c>
      <c r="G102" s="35">
        <v>25768.080099999999</v>
      </c>
    </row>
    <row r="103" spans="1:7" x14ac:dyDescent="0.3">
      <c r="A103" s="26">
        <v>46085</v>
      </c>
      <c r="B103" s="35">
        <v>500.17250000000001</v>
      </c>
      <c r="C103" s="35">
        <v>129.7544</v>
      </c>
      <c r="D103" s="35">
        <v>126.0134</v>
      </c>
      <c r="E103" s="35">
        <v>79.064499999999995</v>
      </c>
      <c r="F103" s="35">
        <v>391.50189999999998</v>
      </c>
      <c r="G103" s="35">
        <v>25249.480500000001</v>
      </c>
    </row>
    <row r="104" spans="1:7" x14ac:dyDescent="0.3">
      <c r="A104" s="26">
        <v>46086</v>
      </c>
      <c r="B104" s="35">
        <v>496.21859999999998</v>
      </c>
      <c r="C104" s="35">
        <v>126.1584</v>
      </c>
      <c r="D104" s="35">
        <v>128.9999</v>
      </c>
      <c r="E104" s="35">
        <v>83.066599999999994</v>
      </c>
      <c r="F104" s="35">
        <v>394.01639999999998</v>
      </c>
      <c r="G104" s="35">
        <v>25321.339800000002</v>
      </c>
    </row>
    <row r="105" spans="1:7" x14ac:dyDescent="0.3">
      <c r="A105" s="26">
        <v>46087</v>
      </c>
      <c r="B105" s="35">
        <v>513.02279999999996</v>
      </c>
      <c r="C105" s="35">
        <v>130.55350000000001</v>
      </c>
      <c r="D105" s="35">
        <v>130.25229999999999</v>
      </c>
      <c r="E105" s="35">
        <v>83.554599999999994</v>
      </c>
      <c r="F105" s="35">
        <v>401.36680000000001</v>
      </c>
      <c r="G105" s="35">
        <v>25757.289100000002</v>
      </c>
    </row>
    <row r="106" spans="1:7" x14ac:dyDescent="0.3">
      <c r="A106" s="26">
        <v>46090</v>
      </c>
      <c r="B106" s="35">
        <v>510.0573</v>
      </c>
      <c r="C106" s="35">
        <v>128.5557</v>
      </c>
      <c r="D106" s="35">
        <v>125.1463</v>
      </c>
      <c r="E106" s="35">
        <v>79.845399999999998</v>
      </c>
      <c r="F106" s="35">
        <v>393.62959999999998</v>
      </c>
      <c r="G106" s="35">
        <v>25408.460899999998</v>
      </c>
    </row>
    <row r="107" spans="1:7" x14ac:dyDescent="0.3">
      <c r="A107" s="26">
        <v>46091</v>
      </c>
      <c r="B107" s="35">
        <v>547.12549999999999</v>
      </c>
      <c r="C107" s="35">
        <v>133.35040000000001</v>
      </c>
      <c r="D107" s="35">
        <v>130.92679999999999</v>
      </c>
      <c r="E107" s="35">
        <v>83.603399999999993</v>
      </c>
      <c r="F107" s="35">
        <v>402.91419999999999</v>
      </c>
      <c r="G107" s="35">
        <v>25959.900399999999</v>
      </c>
    </row>
    <row r="108" spans="1:7" x14ac:dyDescent="0.3">
      <c r="A108" s="26">
        <v>46092</v>
      </c>
      <c r="B108" s="35">
        <v>545.64279999999997</v>
      </c>
      <c r="C108" s="35">
        <v>133.05070000000001</v>
      </c>
      <c r="D108" s="35">
        <v>128.13290000000001</v>
      </c>
      <c r="E108" s="35">
        <v>84.384299999999996</v>
      </c>
      <c r="F108" s="35">
        <v>404.21120000000002</v>
      </c>
      <c r="G108" s="35">
        <v>25898.7598</v>
      </c>
    </row>
    <row r="109" spans="1:7" x14ac:dyDescent="0.3">
      <c r="A109" s="26">
        <v>46093</v>
      </c>
      <c r="B109" s="35">
        <v>540.20609999999999</v>
      </c>
      <c r="C109" s="35">
        <v>131.45249999999999</v>
      </c>
      <c r="D109" s="35">
        <v>127.56180000000001</v>
      </c>
      <c r="E109" s="35">
        <v>82.334500000000006</v>
      </c>
      <c r="F109" s="35">
        <v>399.29849999999999</v>
      </c>
      <c r="G109" s="35">
        <v>25716.7598</v>
      </c>
    </row>
    <row r="110" spans="1:7" x14ac:dyDescent="0.3">
      <c r="A110" s="26">
        <v>46094</v>
      </c>
      <c r="B110" s="35">
        <v>541.19460000000004</v>
      </c>
      <c r="C110" s="35">
        <v>132.35149999999999</v>
      </c>
      <c r="D110" s="35">
        <v>121.2282</v>
      </c>
      <c r="E110" s="35">
        <v>79.845399999999998</v>
      </c>
      <c r="F110" s="35">
        <v>394.38589999999999</v>
      </c>
      <c r="G110" s="35">
        <v>25465.599600000001</v>
      </c>
    </row>
    <row r="111" spans="1:7" x14ac:dyDescent="0.3">
      <c r="A111" s="26">
        <v>46097</v>
      </c>
      <c r="B111" s="35">
        <v>552.06790000000001</v>
      </c>
      <c r="C111" s="35">
        <v>133.84979999999999</v>
      </c>
      <c r="D111" s="35">
        <v>123.00960000000001</v>
      </c>
      <c r="E111" s="35">
        <v>81.407200000000003</v>
      </c>
      <c r="F111" s="35">
        <v>399.10199999999998</v>
      </c>
      <c r="G111" s="35">
        <v>25834.019499999999</v>
      </c>
    </row>
    <row r="112" spans="1:7" x14ac:dyDescent="0.3">
      <c r="A112" s="26">
        <v>46098</v>
      </c>
      <c r="B112" s="35">
        <v>543.66579999999999</v>
      </c>
      <c r="C112" s="35">
        <v>134.44909999999999</v>
      </c>
      <c r="D112" s="35">
        <v>123.5044</v>
      </c>
      <c r="E112" s="35">
        <v>81.0167</v>
      </c>
      <c r="F112" s="35">
        <v>397.33350000000002</v>
      </c>
      <c r="G112" s="35">
        <v>25868.539100000002</v>
      </c>
    </row>
    <row r="113" spans="1:7" x14ac:dyDescent="0.3">
      <c r="A113" s="26">
        <v>46099</v>
      </c>
      <c r="B113" s="35">
        <v>544.16</v>
      </c>
      <c r="C113" s="35">
        <v>137.54570000000001</v>
      </c>
      <c r="D113" s="35">
        <v>126.5722</v>
      </c>
      <c r="E113" s="35">
        <v>82.529700000000005</v>
      </c>
      <c r="F113" s="35">
        <v>395.76139999999998</v>
      </c>
      <c r="G113" s="35">
        <v>26025.419900000001</v>
      </c>
    </row>
    <row r="114" spans="1:7" x14ac:dyDescent="0.3">
      <c r="A114" s="26">
        <v>46100</v>
      </c>
      <c r="B114" s="35">
        <v>507.09190000000001</v>
      </c>
      <c r="C114" s="35">
        <v>131.85210000000001</v>
      </c>
      <c r="D114" s="35">
        <v>122.7127</v>
      </c>
      <c r="E114" s="35">
        <v>80.8215</v>
      </c>
      <c r="F114" s="35">
        <v>391.63479999999998</v>
      </c>
      <c r="G114" s="35">
        <v>25500.580099999999</v>
      </c>
    </row>
    <row r="115" spans="1:7" x14ac:dyDescent="0.3">
      <c r="A115" s="26">
        <v>46101</v>
      </c>
      <c r="B115" s="35">
        <v>502.14949999999999</v>
      </c>
      <c r="C115" s="35">
        <v>123.5613</v>
      </c>
      <c r="D115" s="35">
        <v>123.2075</v>
      </c>
      <c r="E115" s="35">
        <v>83.993899999999996</v>
      </c>
      <c r="F115" s="35">
        <v>389.08030000000002</v>
      </c>
      <c r="G115" s="35">
        <v>25277.320299999999</v>
      </c>
    </row>
    <row r="116" spans="1:7" x14ac:dyDescent="0.3">
      <c r="A116" s="26">
        <v>46104</v>
      </c>
      <c r="B116" s="35">
        <v>492.66</v>
      </c>
      <c r="C116" s="35">
        <v>119.5658</v>
      </c>
      <c r="D116" s="35">
        <v>117.6656</v>
      </c>
      <c r="E116" s="35">
        <v>77.453900000000004</v>
      </c>
      <c r="F116" s="35">
        <v>375.9144</v>
      </c>
      <c r="G116" s="35">
        <v>24382.470700000002</v>
      </c>
    </row>
    <row r="117" spans="1:7" x14ac:dyDescent="0.3">
      <c r="A117" s="26">
        <v>46105</v>
      </c>
      <c r="B117" s="35">
        <v>508.0804</v>
      </c>
      <c r="C117" s="35">
        <v>123.06189999999999</v>
      </c>
      <c r="D117" s="35">
        <v>122.3168</v>
      </c>
      <c r="E117" s="35">
        <v>83.066599999999994</v>
      </c>
      <c r="F117" s="35">
        <v>384.75709999999998</v>
      </c>
      <c r="G117" s="35">
        <v>25063.710899999998</v>
      </c>
    </row>
    <row r="118" spans="1:7" x14ac:dyDescent="0.3">
      <c r="A118" s="26">
        <v>46106</v>
      </c>
      <c r="B118" s="35">
        <v>499.67829999999998</v>
      </c>
      <c r="C118" s="35">
        <v>128.75550000000001</v>
      </c>
      <c r="D118" s="35">
        <v>123.70229999999999</v>
      </c>
      <c r="E118" s="35">
        <v>84.725899999999996</v>
      </c>
      <c r="F118" s="35">
        <v>391.0453</v>
      </c>
      <c r="G118" s="35">
        <v>25335.949199999999</v>
      </c>
    </row>
    <row r="119" spans="1:7" x14ac:dyDescent="0.3">
      <c r="A119" s="26">
        <v>46107</v>
      </c>
      <c r="B119" s="35">
        <v>489.89229999999998</v>
      </c>
      <c r="C119" s="35">
        <v>122.8621</v>
      </c>
      <c r="D119" s="35">
        <v>123.5044</v>
      </c>
      <c r="E119" s="35">
        <v>84.921199999999999</v>
      </c>
      <c r="F119" s="35">
        <v>383.77460000000002</v>
      </c>
      <c r="G119" s="35">
        <v>24856.429700000001</v>
      </c>
    </row>
    <row r="120" spans="1:7" x14ac:dyDescent="0.3">
      <c r="A120" s="26">
        <v>46108</v>
      </c>
      <c r="B120" s="35">
        <v>487.7176</v>
      </c>
      <c r="C120" s="35">
        <v>122.46259999999999</v>
      </c>
      <c r="D120" s="35">
        <v>123.5044</v>
      </c>
      <c r="E120" s="35">
        <v>83.603399999999993</v>
      </c>
      <c r="F120" s="35">
        <v>383.57810000000001</v>
      </c>
      <c r="G120" s="35">
        <v>24951.8809</v>
      </c>
    </row>
    <row r="121" spans="1:7" x14ac:dyDescent="0.3">
      <c r="A121" s="26">
        <v>46111</v>
      </c>
      <c r="B121" s="35">
        <v>476.05349999999999</v>
      </c>
      <c r="C121" s="35">
        <v>120.36490000000001</v>
      </c>
      <c r="D121" s="35">
        <v>122.3168</v>
      </c>
      <c r="E121" s="35">
        <v>82.920100000000005</v>
      </c>
      <c r="F121" s="35">
        <v>375.71789999999999</v>
      </c>
      <c r="G121" s="35">
        <v>24750.789100000002</v>
      </c>
    </row>
    <row r="122" spans="1:7" x14ac:dyDescent="0.3">
      <c r="A122" s="26">
        <v>46112</v>
      </c>
      <c r="B122" s="35">
        <v>478.42590000000001</v>
      </c>
      <c r="C122" s="35">
        <v>118.86660000000001</v>
      </c>
      <c r="D122" s="35">
        <v>124.494</v>
      </c>
      <c r="E122" s="35">
        <v>82.822500000000005</v>
      </c>
      <c r="F122" s="35">
        <v>381.80959999999999</v>
      </c>
      <c r="G122" s="35">
        <v>24788.140599999999</v>
      </c>
    </row>
    <row r="123" spans="1:7" x14ac:dyDescent="0.3">
      <c r="A123" s="26">
        <v>46113</v>
      </c>
      <c r="B123" s="35">
        <v>490.88080000000002</v>
      </c>
      <c r="C123" s="35">
        <v>122.5625</v>
      </c>
      <c r="D123" s="35">
        <v>128.94730000000001</v>
      </c>
      <c r="E123" s="35">
        <v>85.409199999999998</v>
      </c>
      <c r="F123" s="35">
        <v>393.40339999999998</v>
      </c>
      <c r="G123" s="35">
        <v>25294.029299999998</v>
      </c>
    </row>
    <row r="124" spans="1:7" x14ac:dyDescent="0.3">
      <c r="A124" s="26">
        <v>46114</v>
      </c>
      <c r="B124" s="35">
        <v>483.56599999999997</v>
      </c>
      <c r="C124" s="35">
        <v>118.3672</v>
      </c>
      <c r="D124" s="35">
        <v>128.65039999999999</v>
      </c>
      <c r="E124" s="35">
        <v>84.091499999999996</v>
      </c>
      <c r="F124" s="35">
        <v>389.08030000000002</v>
      </c>
      <c r="G124" s="35">
        <v>25116.529299999998</v>
      </c>
    </row>
    <row r="125" spans="1:7" x14ac:dyDescent="0.3">
      <c r="A125" s="26">
        <v>46120</v>
      </c>
      <c r="B125" s="35">
        <v>502.14949999999999</v>
      </c>
      <c r="C125" s="35">
        <v>126.3582</v>
      </c>
      <c r="D125" s="35">
        <v>137.1611</v>
      </c>
      <c r="E125" s="35">
        <v>86.531700000000001</v>
      </c>
      <c r="F125" s="35">
        <v>405.19369999999998</v>
      </c>
      <c r="G125" s="35">
        <v>25893.019499999999</v>
      </c>
    </row>
    <row r="126" spans="1:7" x14ac:dyDescent="0.3">
      <c r="A126" s="26">
        <v>46121</v>
      </c>
      <c r="B126" s="35">
        <v>502.64370000000002</v>
      </c>
      <c r="C126" s="35">
        <v>122.76220000000001</v>
      </c>
      <c r="D126" s="35">
        <v>137.458</v>
      </c>
      <c r="E126" s="35">
        <v>86.385300000000001</v>
      </c>
      <c r="F126" s="35">
        <v>401.06709999999998</v>
      </c>
      <c r="G126" s="35">
        <v>25752.400399999999</v>
      </c>
    </row>
    <row r="127" spans="1:7" x14ac:dyDescent="0.3">
      <c r="A127" s="26">
        <v>46122</v>
      </c>
      <c r="B127" s="35">
        <v>498.68979999999999</v>
      </c>
      <c r="C127" s="35">
        <v>125.3593</v>
      </c>
      <c r="D127" s="35">
        <v>138.24969999999999</v>
      </c>
      <c r="E127" s="35">
        <v>86.824600000000004</v>
      </c>
      <c r="F127" s="35">
        <v>401.2636</v>
      </c>
      <c r="G127" s="35">
        <v>25893.539100000002</v>
      </c>
    </row>
    <row r="128" spans="1:7" x14ac:dyDescent="0.3">
      <c r="A128" s="26">
        <v>46125</v>
      </c>
      <c r="B128" s="35">
        <v>484.35680000000002</v>
      </c>
      <c r="C128" s="35">
        <v>123.06189999999999</v>
      </c>
      <c r="D128" s="35">
        <v>137.35900000000001</v>
      </c>
      <c r="E128" s="35">
        <v>85.311599999999999</v>
      </c>
      <c r="F128" s="35">
        <v>398.709</v>
      </c>
      <c r="G128" s="35">
        <v>25660.849600000001</v>
      </c>
    </row>
    <row r="129" spans="1:7" x14ac:dyDescent="0.3">
      <c r="A129" s="26">
        <v>46126</v>
      </c>
      <c r="B129" s="35">
        <v>487.52</v>
      </c>
      <c r="C129" s="35">
        <v>124.3605</v>
      </c>
      <c r="D129" s="35">
        <v>139.53620000000001</v>
      </c>
      <c r="E129" s="35">
        <v>84.921199999999999</v>
      </c>
      <c r="F129" s="35">
        <v>400.08460000000002</v>
      </c>
      <c r="G129" s="35">
        <v>25872.320299999999</v>
      </c>
    </row>
    <row r="130" spans="1:7" x14ac:dyDescent="0.3">
      <c r="A130" s="26">
        <v>46127</v>
      </c>
      <c r="B130" s="35">
        <v>493.25310000000002</v>
      </c>
      <c r="C130" s="35">
        <v>128.45590000000001</v>
      </c>
      <c r="D130" s="35">
        <v>139.93199999999999</v>
      </c>
      <c r="E130" s="35">
        <v>81.846400000000003</v>
      </c>
      <c r="F130" s="35">
        <v>406.76569999999998</v>
      </c>
      <c r="G130" s="35">
        <v>25947.320299999999</v>
      </c>
    </row>
    <row r="131" spans="1:7" x14ac:dyDescent="0.3">
      <c r="A131" s="26">
        <v>46128</v>
      </c>
      <c r="B131" s="35">
        <v>511.04579999999999</v>
      </c>
      <c r="C131" s="35">
        <v>135.64779999999999</v>
      </c>
      <c r="D131" s="35">
        <v>140.8227</v>
      </c>
      <c r="E131" s="35">
        <v>82.236900000000006</v>
      </c>
      <c r="F131" s="35">
        <v>404.01459999999997</v>
      </c>
      <c r="G131" s="35">
        <v>26394.2598</v>
      </c>
    </row>
    <row r="132" spans="1:7" x14ac:dyDescent="0.3">
      <c r="A132" s="26">
        <v>46129</v>
      </c>
      <c r="B132" s="35">
        <v>504.6207</v>
      </c>
      <c r="C132" s="35">
        <v>136.24709999999999</v>
      </c>
      <c r="D132" s="35">
        <v>140.03100000000001</v>
      </c>
      <c r="E132" s="35">
        <v>79.650199999999998</v>
      </c>
      <c r="F132" s="35">
        <v>401.46010000000001</v>
      </c>
      <c r="G132" s="35">
        <v>26160.330099999999</v>
      </c>
    </row>
    <row r="133" spans="1:7" x14ac:dyDescent="0.3">
      <c r="A133" s="26">
        <v>46132</v>
      </c>
      <c r="B133" s="35">
        <v>516.48249999999996</v>
      </c>
      <c r="C133" s="35">
        <v>136.84639999999999</v>
      </c>
      <c r="D133" s="35">
        <v>140.72370000000001</v>
      </c>
      <c r="E133" s="35">
        <v>81.504800000000003</v>
      </c>
      <c r="F133" s="35">
        <v>404.40769999999998</v>
      </c>
      <c r="G133" s="35">
        <v>26361.070299999999</v>
      </c>
    </row>
    <row r="134" spans="1:7" x14ac:dyDescent="0.3">
      <c r="A134" s="26">
        <v>46133</v>
      </c>
      <c r="B134" s="35">
        <v>513.02279999999996</v>
      </c>
      <c r="C134" s="35">
        <v>136.1472</v>
      </c>
      <c r="D134" s="35">
        <v>142.2081</v>
      </c>
      <c r="E134" s="35">
        <v>80.8215</v>
      </c>
      <c r="F134" s="35">
        <v>409.90980000000002</v>
      </c>
      <c r="G134" s="35">
        <v>26487.480500000001</v>
      </c>
    </row>
    <row r="135" spans="1:7" x14ac:dyDescent="0.3">
      <c r="A135" s="26">
        <v>46134</v>
      </c>
      <c r="B135" s="35">
        <v>498.19560000000001</v>
      </c>
      <c r="C135" s="35">
        <v>131.3526</v>
      </c>
      <c r="D135" s="35">
        <v>142.505</v>
      </c>
      <c r="E135" s="35">
        <v>81.212000000000003</v>
      </c>
      <c r="F135" s="35">
        <v>409.32029999999997</v>
      </c>
      <c r="G135" s="35">
        <v>26163.2402</v>
      </c>
    </row>
    <row r="136" spans="1:7" x14ac:dyDescent="0.3">
      <c r="A136" s="26">
        <v>46135</v>
      </c>
      <c r="B136" s="35">
        <v>489.49689999999998</v>
      </c>
      <c r="C136" s="35">
        <v>130.25380000000001</v>
      </c>
      <c r="D136" s="35">
        <v>139.6352</v>
      </c>
      <c r="E136" s="35">
        <v>79.796599999999998</v>
      </c>
      <c r="F136" s="35">
        <v>404.99720000000002</v>
      </c>
      <c r="G136" s="35">
        <v>25915.199199999999</v>
      </c>
    </row>
    <row r="137" spans="1:7" x14ac:dyDescent="0.3">
      <c r="A137" s="26">
        <v>46136</v>
      </c>
      <c r="B137" s="35">
        <v>487.7176</v>
      </c>
      <c r="C137" s="35">
        <v>131.6523</v>
      </c>
      <c r="D137" s="35">
        <v>138.54660000000001</v>
      </c>
      <c r="E137" s="35">
        <v>79.698999999999998</v>
      </c>
      <c r="F137" s="35">
        <v>404.40769999999998</v>
      </c>
      <c r="G137" s="35">
        <v>25978.070299999999</v>
      </c>
    </row>
    <row r="138" spans="1:7" x14ac:dyDescent="0.3">
      <c r="A138" s="26">
        <v>46139</v>
      </c>
      <c r="B138" s="35">
        <v>473.0881</v>
      </c>
      <c r="C138" s="35">
        <v>130.05410000000001</v>
      </c>
      <c r="D138" s="35">
        <v>138.74449999999999</v>
      </c>
      <c r="E138" s="35">
        <v>81.212000000000003</v>
      </c>
      <c r="F138" s="35">
        <v>404.80070000000001</v>
      </c>
      <c r="G138" s="35">
        <v>25925.650399999999</v>
      </c>
    </row>
    <row r="139" spans="1:7" x14ac:dyDescent="0.3">
      <c r="A139" s="26">
        <v>46140</v>
      </c>
      <c r="B139" s="35">
        <v>468.34339999999997</v>
      </c>
      <c r="C139" s="35">
        <v>126.3582</v>
      </c>
      <c r="D139" s="35">
        <v>139.1404</v>
      </c>
      <c r="E139" s="35">
        <v>81.1631</v>
      </c>
      <c r="F139" s="35">
        <v>400.4776</v>
      </c>
      <c r="G139" s="35">
        <v>25679.779299999998</v>
      </c>
    </row>
    <row r="140" spans="1:7" x14ac:dyDescent="0.3">
      <c r="A140" s="26">
        <v>46141</v>
      </c>
      <c r="B140" s="35">
        <v>473.68119999999999</v>
      </c>
      <c r="C140" s="35">
        <v>130.45359999999999</v>
      </c>
      <c r="D140" s="35">
        <v>139.53620000000001</v>
      </c>
      <c r="E140" s="35">
        <v>82.920100000000005</v>
      </c>
      <c r="F140" s="35">
        <v>412.46440000000001</v>
      </c>
      <c r="G140" s="35">
        <v>26111.839800000002</v>
      </c>
    </row>
    <row r="141" spans="1:7" x14ac:dyDescent="0.3">
      <c r="A141" s="26">
        <v>46142</v>
      </c>
      <c r="B141" s="35">
        <v>462.41239999999999</v>
      </c>
      <c r="C141" s="35">
        <v>125.8588</v>
      </c>
      <c r="D141" s="35">
        <v>138.74449999999999</v>
      </c>
      <c r="E141" s="35">
        <v>83.017799999999994</v>
      </c>
      <c r="F141" s="35">
        <v>405.19369999999998</v>
      </c>
      <c r="G141" s="35">
        <v>25776.529299999998</v>
      </c>
    </row>
    <row r="142" spans="1:7" x14ac:dyDescent="0.3">
      <c r="A142" s="26">
        <v>46146</v>
      </c>
      <c r="B142" s="35">
        <v>467.55259999999998</v>
      </c>
      <c r="C142" s="35">
        <v>131.55240000000001</v>
      </c>
      <c r="D142" s="35">
        <v>141.91130000000001</v>
      </c>
      <c r="E142" s="35">
        <v>83.944999999999993</v>
      </c>
      <c r="F142" s="35">
        <v>407.7482</v>
      </c>
      <c r="G142" s="35">
        <v>26095.8809</v>
      </c>
    </row>
    <row r="143" spans="1:7" x14ac:dyDescent="0.3">
      <c r="A143" s="26">
        <v>46147</v>
      </c>
      <c r="B143" s="35">
        <v>466.76179999999999</v>
      </c>
      <c r="C143" s="35">
        <v>131.05289999999999</v>
      </c>
      <c r="D143" s="35">
        <v>134.5881</v>
      </c>
      <c r="E143" s="35">
        <v>83.847399999999993</v>
      </c>
      <c r="F143" s="35">
        <v>410.89229999999998</v>
      </c>
      <c r="G143" s="35">
        <v>25898.609400000001</v>
      </c>
    </row>
    <row r="144" spans="1:7" x14ac:dyDescent="0.3">
      <c r="A144" s="26">
        <v>46148</v>
      </c>
      <c r="B144" s="35">
        <v>457.6678</v>
      </c>
      <c r="C144" s="35">
        <v>134.0496</v>
      </c>
      <c r="D144" s="35">
        <v>139.04140000000001</v>
      </c>
      <c r="E144" s="35">
        <v>85.360399999999998</v>
      </c>
      <c r="F144" s="35">
        <v>413.8399</v>
      </c>
      <c r="G144" s="35">
        <v>26213.779299999998</v>
      </c>
    </row>
    <row r="145" spans="1:7" x14ac:dyDescent="0.3">
      <c r="A145" s="26">
        <v>46149</v>
      </c>
      <c r="B145" s="35">
        <v>471.90190000000001</v>
      </c>
      <c r="C145" s="35">
        <v>140.74209999999999</v>
      </c>
      <c r="D145" s="35">
        <v>141.61439999999999</v>
      </c>
      <c r="E145" s="35">
        <v>87.019800000000004</v>
      </c>
      <c r="F145" s="35">
        <v>419.5385</v>
      </c>
      <c r="G145" s="35">
        <v>26626.279299999998</v>
      </c>
    </row>
    <row r="146" spans="1:7" x14ac:dyDescent="0.3">
      <c r="A146" s="26">
        <v>46150</v>
      </c>
      <c r="B146" s="35">
        <v>465.971</v>
      </c>
      <c r="C146" s="35">
        <v>138.8442</v>
      </c>
      <c r="D146" s="35">
        <v>137.26009999999999</v>
      </c>
      <c r="E146" s="35">
        <v>84.530699999999996</v>
      </c>
      <c r="F146" s="35">
        <v>416.78750000000002</v>
      </c>
      <c r="G146" s="35">
        <v>26393.710899999998</v>
      </c>
    </row>
    <row r="147" spans="1:7" x14ac:dyDescent="0.3">
      <c r="A147" s="26">
        <v>46153</v>
      </c>
      <c r="B147" s="35">
        <v>459.05160000000001</v>
      </c>
      <c r="C147" s="35">
        <v>133.7499</v>
      </c>
      <c r="D147" s="35">
        <v>139.73410000000001</v>
      </c>
      <c r="E147" s="35">
        <v>84.530699999999996</v>
      </c>
      <c r="F147" s="35">
        <v>417.9665</v>
      </c>
      <c r="G147" s="35">
        <v>26406.839800000002</v>
      </c>
    </row>
    <row r="148" spans="1:7" x14ac:dyDescent="0.3">
      <c r="A148" s="26">
        <v>46154</v>
      </c>
      <c r="B148" s="35">
        <v>451.93450000000001</v>
      </c>
      <c r="C148" s="35">
        <v>133.1506</v>
      </c>
      <c r="D148" s="35">
        <v>137.1611</v>
      </c>
      <c r="E148" s="35">
        <v>84.384299999999996</v>
      </c>
      <c r="F148" s="35">
        <v>416.39449999999999</v>
      </c>
      <c r="G148" s="35">
        <v>26347.910199999998</v>
      </c>
    </row>
    <row r="149" spans="1:7" x14ac:dyDescent="0.3">
      <c r="A149" s="26">
        <v>46155</v>
      </c>
      <c r="B149" s="35">
        <v>457.2724</v>
      </c>
      <c r="C149" s="35">
        <v>132.65119999999999</v>
      </c>
      <c r="D149" s="35">
        <v>139.6352</v>
      </c>
      <c r="E149" s="35">
        <v>84.872299999999996</v>
      </c>
      <c r="F149" s="35">
        <v>416.39449999999999</v>
      </c>
      <c r="G149" s="35">
        <v>26388.4395</v>
      </c>
    </row>
    <row r="150" spans="1:7" x14ac:dyDescent="0.3">
      <c r="A150" s="26">
        <v>46156</v>
      </c>
      <c r="B150" s="35">
        <v>454.9</v>
      </c>
      <c r="C150" s="35">
        <v>137.74539999999999</v>
      </c>
      <c r="D150" s="35">
        <v>139.81739999999999</v>
      </c>
      <c r="E150" s="35">
        <v>85.604399999999998</v>
      </c>
      <c r="F150" s="35">
        <v>416.19799999999998</v>
      </c>
      <c r="G150" s="35">
        <v>26389.039100000002</v>
      </c>
    </row>
    <row r="151" spans="1:7" x14ac:dyDescent="0.3">
      <c r="A151" s="26">
        <v>46157</v>
      </c>
      <c r="B151" s="35">
        <v>456.4</v>
      </c>
      <c r="C151" s="35">
        <v>132.15170000000001</v>
      </c>
      <c r="D151" s="35">
        <v>138.72280000000001</v>
      </c>
      <c r="E151" s="35">
        <v>85.506799999999998</v>
      </c>
      <c r="F151" s="35">
        <v>409.12380000000002</v>
      </c>
      <c r="G151" s="35">
        <v>25962.730500000001</v>
      </c>
    </row>
    <row r="152" spans="1:7" x14ac:dyDescent="0.3">
      <c r="A152" s="26">
        <v>46160</v>
      </c>
      <c r="B152" s="35">
        <v>449.2</v>
      </c>
      <c r="C152" s="35">
        <v>131.55240000000001</v>
      </c>
      <c r="D152" s="35">
        <v>137.42910000000001</v>
      </c>
      <c r="E152" s="35">
        <v>84.579499999999996</v>
      </c>
      <c r="F152" s="35">
        <v>402.8356</v>
      </c>
      <c r="G152" s="35">
        <v>25675.179700000001</v>
      </c>
    </row>
    <row r="153" spans="1:7" x14ac:dyDescent="0.3">
      <c r="A153" s="26">
        <v>46161</v>
      </c>
      <c r="B153" s="35">
        <v>460</v>
      </c>
      <c r="C153" s="35">
        <v>133.1506</v>
      </c>
      <c r="D153" s="35">
        <v>139.61840000000001</v>
      </c>
      <c r="E153" s="35">
        <v>83.896199999999993</v>
      </c>
      <c r="F153" s="35">
        <v>402.8356</v>
      </c>
      <c r="G153" s="35">
        <v>25797.849600000001</v>
      </c>
    </row>
    <row r="154" spans="1:7" x14ac:dyDescent="0.3">
      <c r="A154" s="26">
        <v>46162</v>
      </c>
      <c r="B154" s="35">
        <v>455.2</v>
      </c>
      <c r="C154" s="35">
        <v>131.75219999999999</v>
      </c>
      <c r="D154" s="35">
        <v>138.02619999999999</v>
      </c>
      <c r="E154" s="35">
        <v>82.236900000000006</v>
      </c>
      <c r="F154" s="35">
        <v>404.01459999999997</v>
      </c>
      <c r="G154" s="35">
        <v>25651.1191</v>
      </c>
    </row>
    <row r="155" spans="1:7" x14ac:dyDescent="0.3">
      <c r="A155" s="26">
        <v>46163</v>
      </c>
      <c r="B155" s="35">
        <v>439</v>
      </c>
      <c r="C155" s="35">
        <v>125.8588</v>
      </c>
      <c r="D155" s="35">
        <v>141.01159999999999</v>
      </c>
      <c r="E155" s="35">
        <v>82.968900000000005</v>
      </c>
      <c r="F155" s="35">
        <v>400.28100000000001</v>
      </c>
      <c r="G155" s="35">
        <v>25386.519499999999</v>
      </c>
    </row>
    <row r="156" spans="1:7" x14ac:dyDescent="0.3">
      <c r="A156" s="26">
        <v>46164</v>
      </c>
      <c r="B156" s="35">
        <v>441.4</v>
      </c>
      <c r="C156" s="35">
        <v>126.85769999999999</v>
      </c>
      <c r="D156" s="35">
        <v>143.20089999999999</v>
      </c>
      <c r="E156" s="35">
        <v>83.993899999999996</v>
      </c>
      <c r="F156" s="35">
        <v>402.0496</v>
      </c>
      <c r="G156" s="35">
        <v>25606.029299999998</v>
      </c>
    </row>
    <row r="157" spans="1:7" x14ac:dyDescent="0.3">
      <c r="A157" s="26">
        <v>46168</v>
      </c>
      <c r="B157" s="35">
        <v>439</v>
      </c>
      <c r="C157" s="35">
        <v>127.45699999999999</v>
      </c>
      <c r="D157" s="35">
        <v>144.79320000000001</v>
      </c>
      <c r="E157" s="35">
        <v>82.285700000000006</v>
      </c>
      <c r="F157" s="35">
        <v>398.51249999999999</v>
      </c>
      <c r="G157" s="35">
        <v>25599.449199999999</v>
      </c>
    </row>
    <row r="158" spans="1:7" x14ac:dyDescent="0.3">
      <c r="A158" s="26">
        <v>46169</v>
      </c>
      <c r="B158" s="35">
        <v>434.4</v>
      </c>
      <c r="C158" s="35">
        <v>124.16070000000001</v>
      </c>
      <c r="D158" s="35">
        <v>145.8878</v>
      </c>
      <c r="E158" s="35">
        <v>82.529700000000005</v>
      </c>
      <c r="F158" s="35">
        <v>395.17189999999999</v>
      </c>
      <c r="G158" s="35">
        <v>25328.230500000001</v>
      </c>
    </row>
    <row r="159" spans="1:7" x14ac:dyDescent="0.3">
      <c r="A159" s="26">
        <v>46170</v>
      </c>
      <c r="B159" s="35">
        <v>425</v>
      </c>
      <c r="C159" s="35">
        <v>121.6635</v>
      </c>
      <c r="D159" s="35">
        <v>144.5941</v>
      </c>
      <c r="E159" s="35">
        <v>81.577200000000005</v>
      </c>
      <c r="F159" s="35">
        <v>389.27679999999998</v>
      </c>
      <c r="G159" s="35">
        <v>25006.160199999998</v>
      </c>
    </row>
    <row r="160" spans="1:7" x14ac:dyDescent="0.3">
      <c r="A160" s="26">
        <v>46171</v>
      </c>
      <c r="B160" s="35">
        <v>427.2</v>
      </c>
      <c r="C160" s="35">
        <v>120.7645</v>
      </c>
      <c r="D160" s="35">
        <v>144.39510000000001</v>
      </c>
      <c r="E160" s="35">
        <v>81.676500000000004</v>
      </c>
      <c r="F160" s="35">
        <v>392.81380000000001</v>
      </c>
      <c r="G160" s="35">
        <v>25182.390599999999</v>
      </c>
    </row>
    <row r="161" spans="1:7" x14ac:dyDescent="0.3">
      <c r="A161" s="26">
        <v>46174</v>
      </c>
      <c r="B161" s="35">
        <v>436</v>
      </c>
      <c r="C161" s="35">
        <v>122.66240000000001</v>
      </c>
      <c r="D161" s="35">
        <v>145.58930000000001</v>
      </c>
      <c r="E161" s="35">
        <v>81.428200000000004</v>
      </c>
      <c r="F161" s="35">
        <v>393.20690000000002</v>
      </c>
      <c r="G161" s="35">
        <v>25398.179700000001</v>
      </c>
    </row>
    <row r="162" spans="1:7" x14ac:dyDescent="0.3">
      <c r="A162" s="26">
        <v>46175</v>
      </c>
      <c r="B162" s="35">
        <v>481.6</v>
      </c>
      <c r="C162" s="35">
        <v>130.7533</v>
      </c>
      <c r="D162" s="35">
        <v>146.48490000000001</v>
      </c>
      <c r="E162" s="35">
        <v>81.527500000000003</v>
      </c>
      <c r="F162" s="35">
        <v>403.22859999999997</v>
      </c>
      <c r="G162" s="35">
        <v>26038.320299999999</v>
      </c>
    </row>
    <row r="163" spans="1:7" x14ac:dyDescent="0.3">
      <c r="A163" s="26">
        <v>46176</v>
      </c>
      <c r="B163" s="35">
        <v>466.4</v>
      </c>
      <c r="C163" s="35">
        <v>126.4581</v>
      </c>
      <c r="D163" s="35">
        <v>146.18639999999999</v>
      </c>
      <c r="E163" s="35">
        <v>81.676500000000004</v>
      </c>
      <c r="F163" s="35">
        <v>402.24610000000001</v>
      </c>
      <c r="G163" s="35">
        <v>25633.210899999998</v>
      </c>
    </row>
    <row r="164" spans="1:7" x14ac:dyDescent="0.3">
      <c r="A164" s="26">
        <v>46177</v>
      </c>
      <c r="B164" s="35">
        <v>459</v>
      </c>
      <c r="C164" s="35">
        <v>123.3616</v>
      </c>
      <c r="D164" s="35">
        <v>145.68879999999999</v>
      </c>
      <c r="E164" s="35">
        <v>76.165199999999999</v>
      </c>
      <c r="F164" s="35">
        <v>393.79640000000001</v>
      </c>
      <c r="G164" s="35">
        <v>25253.400399999999</v>
      </c>
    </row>
    <row r="165" spans="1:7" x14ac:dyDescent="0.3">
      <c r="A165" s="26">
        <v>46178</v>
      </c>
      <c r="B165" s="35">
        <v>453.2</v>
      </c>
      <c r="C165" s="35">
        <v>122.2628</v>
      </c>
      <c r="D165" s="35">
        <v>141.11109999999999</v>
      </c>
      <c r="E165" s="35">
        <v>73.483999999999995</v>
      </c>
      <c r="F165" s="35">
        <v>389.47329999999999</v>
      </c>
      <c r="G165" s="35">
        <v>24961.949199999999</v>
      </c>
    </row>
    <row r="166" spans="1:7" x14ac:dyDescent="0.3">
      <c r="A166" s="26">
        <v>46181</v>
      </c>
      <c r="B166" s="35">
        <v>446.4</v>
      </c>
      <c r="C166" s="35">
        <v>118.66679999999999</v>
      </c>
      <c r="D166" s="35">
        <v>141.6087</v>
      </c>
      <c r="E166" s="35">
        <v>72.1434</v>
      </c>
      <c r="F166" s="35">
        <v>380.041</v>
      </c>
      <c r="G166" s="35">
        <v>24657.0605</v>
      </c>
    </row>
    <row r="167" spans="1:7" x14ac:dyDescent="0.3">
      <c r="A167" s="26">
        <v>46182</v>
      </c>
      <c r="B167" s="35">
        <v>453.2</v>
      </c>
      <c r="C167" s="35">
        <v>116.9687</v>
      </c>
      <c r="D167" s="35">
        <v>141.40969999999999</v>
      </c>
      <c r="E167" s="35">
        <v>70.504900000000006</v>
      </c>
      <c r="F167" s="35">
        <v>377.28989999999999</v>
      </c>
      <c r="G167" s="35">
        <v>24565.900399999999</v>
      </c>
    </row>
    <row r="168" spans="1:7" x14ac:dyDescent="0.3">
      <c r="A168" s="26">
        <v>46183</v>
      </c>
      <c r="B168" s="35">
        <v>465.6</v>
      </c>
      <c r="C168" s="35">
        <v>113.5</v>
      </c>
      <c r="D168" s="35">
        <v>134.64269999999999</v>
      </c>
      <c r="E168" s="35">
        <v>69.760199999999998</v>
      </c>
      <c r="F168" s="35">
        <v>376.30739999999997</v>
      </c>
      <c r="G168" s="35">
        <v>24407.960899999998</v>
      </c>
    </row>
    <row r="169" spans="1:7" x14ac:dyDescent="0.3">
      <c r="A169" s="26">
        <v>46184</v>
      </c>
      <c r="B169" s="35">
        <v>457.2</v>
      </c>
      <c r="C169" s="35">
        <v>107.4</v>
      </c>
      <c r="D169" s="35">
        <v>137.8272</v>
      </c>
      <c r="E169" s="35">
        <v>73.235799999999998</v>
      </c>
      <c r="F169" s="35">
        <v>367.46469999999999</v>
      </c>
      <c r="G169" s="35">
        <v>24249.289100000002</v>
      </c>
    </row>
    <row r="170" spans="1:7" x14ac:dyDescent="0.3">
      <c r="A170" s="26">
        <v>46185</v>
      </c>
      <c r="B170" s="35">
        <v>463.6</v>
      </c>
      <c r="C170" s="35">
        <v>110.2</v>
      </c>
      <c r="D170" s="35">
        <v>142.1063</v>
      </c>
      <c r="E170" s="35">
        <v>74.030199999999994</v>
      </c>
      <c r="F170" s="35">
        <v>373.94940000000003</v>
      </c>
      <c r="G170" s="35">
        <v>24718.099600000001</v>
      </c>
    </row>
    <row r="171" spans="1:7" x14ac:dyDescent="0.3">
      <c r="A171" s="26">
        <v>46188</v>
      </c>
      <c r="B171" s="35">
        <v>459.6</v>
      </c>
      <c r="C171" s="35">
        <v>109.3</v>
      </c>
      <c r="D171" s="35">
        <v>145.0917</v>
      </c>
      <c r="E171" s="35">
        <v>75.9666</v>
      </c>
      <c r="F171" s="35">
        <v>380.041</v>
      </c>
      <c r="G171" s="35">
        <v>24842.669900000001</v>
      </c>
    </row>
    <row r="172" spans="1:7" x14ac:dyDescent="0.3">
      <c r="A172" s="26">
        <v>46189</v>
      </c>
      <c r="B172" s="35">
        <v>447.4</v>
      </c>
      <c r="C172" s="35">
        <v>107</v>
      </c>
      <c r="D172" s="35">
        <v>145.29069999999999</v>
      </c>
      <c r="E172" s="35">
        <v>74.675600000000003</v>
      </c>
      <c r="F172" s="35">
        <v>379.255</v>
      </c>
      <c r="G172" s="35">
        <v>24493.949199999999</v>
      </c>
    </row>
    <row r="173" spans="1:7" x14ac:dyDescent="0.3">
      <c r="A173" s="26">
        <v>46190</v>
      </c>
      <c r="B173" s="35">
        <v>445.4</v>
      </c>
      <c r="C173" s="35">
        <v>106.9</v>
      </c>
      <c r="D173" s="35">
        <v>147.28100000000001</v>
      </c>
      <c r="E173" s="35">
        <v>74.526700000000005</v>
      </c>
      <c r="F173" s="35">
        <v>376.7004</v>
      </c>
      <c r="G173" s="35">
        <v>24312.160199999998</v>
      </c>
    </row>
    <row r="174" spans="1:7" x14ac:dyDescent="0.3">
      <c r="A174" s="26">
        <v>46191</v>
      </c>
      <c r="B174" s="35">
        <v>440.2</v>
      </c>
      <c r="C174" s="35">
        <v>104.9</v>
      </c>
      <c r="D174" s="35">
        <v>148.27619999999999</v>
      </c>
      <c r="E174" s="35">
        <v>73.186099999999996</v>
      </c>
      <c r="F174" s="35">
        <v>368.25069999999999</v>
      </c>
      <c r="G174" s="35">
        <v>23924.8105</v>
      </c>
    </row>
    <row r="175" spans="1:7" x14ac:dyDescent="0.3">
      <c r="A175" s="26">
        <v>46195</v>
      </c>
      <c r="B175" s="35">
        <v>433</v>
      </c>
      <c r="C175" s="35">
        <v>102.9</v>
      </c>
      <c r="D175" s="35">
        <v>147.1815</v>
      </c>
      <c r="E175" s="35">
        <v>73.732299999999995</v>
      </c>
      <c r="F175" s="35">
        <v>371.0018</v>
      </c>
      <c r="G175" s="35">
        <v>23768.519499999999</v>
      </c>
    </row>
    <row r="176" spans="1:7" x14ac:dyDescent="0.3">
      <c r="A176" s="26">
        <v>46196</v>
      </c>
      <c r="B176" s="35">
        <v>414.8</v>
      </c>
      <c r="C176" s="35">
        <v>98.95</v>
      </c>
      <c r="D176" s="35">
        <v>147.9776</v>
      </c>
      <c r="E176" s="35">
        <v>72.441299999999998</v>
      </c>
      <c r="F176" s="35">
        <v>364.51710000000003</v>
      </c>
      <c r="G176" s="35">
        <v>23336.279299999998</v>
      </c>
    </row>
    <row r="177" spans="1:7" x14ac:dyDescent="0.3">
      <c r="A177" s="26">
        <v>46197</v>
      </c>
      <c r="B177" s="35">
        <v>428.8</v>
      </c>
      <c r="C177" s="35">
        <v>99.4</v>
      </c>
      <c r="D177" s="35">
        <v>147.47999999999999</v>
      </c>
      <c r="E177" s="35">
        <v>73.136499999999998</v>
      </c>
      <c r="F177" s="35">
        <v>364.71359999999999</v>
      </c>
      <c r="G177" s="35">
        <v>23412.179700000001</v>
      </c>
    </row>
    <row r="178" spans="1:7" x14ac:dyDescent="0.3">
      <c r="A178" s="26">
        <v>46198</v>
      </c>
      <c r="B178" s="35">
        <v>421.4</v>
      </c>
      <c r="C178" s="35">
        <v>95</v>
      </c>
      <c r="D178" s="35">
        <v>147.5796</v>
      </c>
      <c r="E178" s="35">
        <v>71.696600000000004</v>
      </c>
      <c r="F178" s="35">
        <v>360.19400000000002</v>
      </c>
      <c r="G178" s="35">
        <v>23076.910199999998</v>
      </c>
    </row>
    <row r="179" spans="1:7" x14ac:dyDescent="0.3">
      <c r="A179" s="26">
        <v>46199</v>
      </c>
      <c r="B179" s="35">
        <v>411.8</v>
      </c>
      <c r="C179" s="35">
        <v>89.5</v>
      </c>
      <c r="D179" s="35">
        <v>146.98249999999999</v>
      </c>
      <c r="E179" s="35">
        <v>70.306299999999993</v>
      </c>
      <c r="F179" s="35">
        <v>355.87090000000001</v>
      </c>
      <c r="G179" s="35">
        <v>22671.859400000001</v>
      </c>
    </row>
    <row r="180" spans="1:7" x14ac:dyDescent="0.3">
      <c r="A180" s="26">
        <v>46202</v>
      </c>
      <c r="B180" s="35">
        <v>420.2</v>
      </c>
      <c r="C180" s="35">
        <v>93</v>
      </c>
      <c r="D180" s="35">
        <v>146.88300000000001</v>
      </c>
      <c r="E180" s="35">
        <v>71.696600000000004</v>
      </c>
      <c r="F180" s="35">
        <v>360.58699999999999</v>
      </c>
      <c r="G180" s="35">
        <v>23026.679700000001</v>
      </c>
    </row>
    <row r="181" spans="1:7" x14ac:dyDescent="0.3">
      <c r="A181" s="26">
        <v>46203</v>
      </c>
      <c r="B181" s="35">
        <v>429.8</v>
      </c>
      <c r="C181" s="35">
        <v>92.85</v>
      </c>
      <c r="D181" s="35">
        <v>147.1815</v>
      </c>
      <c r="E181" s="35">
        <v>70.951800000000006</v>
      </c>
      <c r="F181" s="35">
        <v>356.65690000000001</v>
      </c>
      <c r="G181" s="35">
        <v>22881.019499999999</v>
      </c>
    </row>
    <row r="182" spans="1:7" x14ac:dyDescent="0.3">
      <c r="A182" s="26">
        <v>46205</v>
      </c>
      <c r="B182" s="35">
        <v>430.2</v>
      </c>
      <c r="C182" s="35">
        <v>94.5</v>
      </c>
      <c r="D182" s="35">
        <v>148.77369999999999</v>
      </c>
      <c r="E182" s="35">
        <v>72.292400000000001</v>
      </c>
      <c r="F182" s="35">
        <v>361.17649999999998</v>
      </c>
      <c r="G182" s="35">
        <v>23055.029299999998</v>
      </c>
    </row>
    <row r="183" spans="1:7" x14ac:dyDescent="0.3">
      <c r="A183" s="26">
        <v>46206</v>
      </c>
      <c r="B183" s="35">
        <v>431.2</v>
      </c>
      <c r="C183" s="35">
        <v>94.1</v>
      </c>
      <c r="D183" s="35">
        <v>151.26159999999999</v>
      </c>
      <c r="E183" s="35">
        <v>72.739199999999997</v>
      </c>
      <c r="F183" s="35">
        <v>368.44720000000001</v>
      </c>
      <c r="G183" s="35">
        <v>23350.029299999998</v>
      </c>
    </row>
    <row r="184" spans="1:7" x14ac:dyDescent="0.3">
      <c r="A184" s="26">
        <v>46209</v>
      </c>
      <c r="B184" s="35">
        <v>452</v>
      </c>
      <c r="C184" s="35">
        <v>95.95</v>
      </c>
      <c r="D184" s="35">
        <v>151.26159999999999</v>
      </c>
      <c r="E184" s="35">
        <v>73.483999999999995</v>
      </c>
      <c r="F184" s="35">
        <v>369.8227</v>
      </c>
      <c r="G184" s="35">
        <v>23616.320299999999</v>
      </c>
    </row>
    <row r="185" spans="1:7" x14ac:dyDescent="0.3">
      <c r="A185" s="26">
        <v>46210</v>
      </c>
      <c r="B185" s="35">
        <v>461.2</v>
      </c>
      <c r="C185" s="35">
        <v>95.8</v>
      </c>
      <c r="D185" s="35">
        <v>152.55529999999999</v>
      </c>
      <c r="E185" s="35">
        <v>72.093800000000002</v>
      </c>
      <c r="F185" s="35">
        <v>369.23320000000001</v>
      </c>
      <c r="G185" s="35">
        <v>23496.890599999999</v>
      </c>
    </row>
    <row r="186" spans="1:7" x14ac:dyDescent="0.3">
      <c r="A186" s="26">
        <v>46211</v>
      </c>
      <c r="B186" s="35">
        <v>478.8</v>
      </c>
      <c r="C186" s="35">
        <v>107.5</v>
      </c>
      <c r="D186" s="35">
        <v>151.16210000000001</v>
      </c>
      <c r="E186" s="35">
        <v>73.186099999999996</v>
      </c>
      <c r="F186" s="35">
        <v>374.14580000000001</v>
      </c>
      <c r="G186" s="35">
        <v>24199.460899999998</v>
      </c>
    </row>
    <row r="187" spans="1:7" x14ac:dyDescent="0.3">
      <c r="A187" s="26">
        <v>46212</v>
      </c>
      <c r="B187" s="35">
        <v>469.6</v>
      </c>
      <c r="C187" s="35">
        <v>108</v>
      </c>
      <c r="D187" s="35">
        <v>151.56010000000001</v>
      </c>
      <c r="E187" s="35">
        <v>71.795900000000003</v>
      </c>
      <c r="F187" s="35">
        <v>373.75279999999998</v>
      </c>
      <c r="G187" s="35">
        <v>24030.179700000001</v>
      </c>
    </row>
    <row r="188" spans="1:7" x14ac:dyDescent="0.3">
      <c r="A188" s="26">
        <v>46213</v>
      </c>
      <c r="B188" s="35">
        <v>460.2</v>
      </c>
      <c r="C188" s="35">
        <v>110.2</v>
      </c>
      <c r="D188" s="35">
        <v>152.7543</v>
      </c>
      <c r="E188" s="35">
        <v>72.1434</v>
      </c>
      <c r="F188" s="35">
        <v>378.27249999999998</v>
      </c>
      <c r="G188" s="35">
        <v>24175.1191</v>
      </c>
    </row>
    <row r="189" spans="1:7" x14ac:dyDescent="0.3">
      <c r="A189" s="26">
        <v>46216</v>
      </c>
      <c r="B189" s="35">
        <v>457.6</v>
      </c>
      <c r="C189" s="35">
        <v>110.7</v>
      </c>
      <c r="D189" s="35">
        <v>153.05279999999999</v>
      </c>
      <c r="E189" s="35">
        <v>71.895200000000003</v>
      </c>
      <c r="F189" s="35">
        <v>380.827</v>
      </c>
      <c r="G189" s="35">
        <v>24213.720700000002</v>
      </c>
    </row>
    <row r="190" spans="1:7" x14ac:dyDescent="0.3">
      <c r="A190" s="26">
        <v>46217</v>
      </c>
      <c r="B190" s="35">
        <v>456.2</v>
      </c>
      <c r="C190" s="35">
        <v>110.8</v>
      </c>
      <c r="D190" s="35">
        <v>151.8587</v>
      </c>
      <c r="E190" s="35">
        <v>73.583299999999994</v>
      </c>
      <c r="F190" s="35">
        <v>382.20260000000002</v>
      </c>
      <c r="G190" s="35">
        <v>24340.730500000001</v>
      </c>
    </row>
    <row r="191" spans="1:7" x14ac:dyDescent="0.3">
      <c r="A191" s="26">
        <v>46218</v>
      </c>
      <c r="B191" s="35">
        <v>474</v>
      </c>
      <c r="C191" s="35">
        <v>113.4</v>
      </c>
      <c r="D191" s="35">
        <v>154.5455</v>
      </c>
      <c r="E191" s="35">
        <v>75.668700000000001</v>
      </c>
      <c r="F191" s="35">
        <v>386.52569999999997</v>
      </c>
      <c r="G191" s="35">
        <v>24681.099600000001</v>
      </c>
    </row>
    <row r="192" spans="1:7" x14ac:dyDescent="0.3">
      <c r="A192" s="26">
        <v>46219</v>
      </c>
      <c r="B192" s="35">
        <v>484</v>
      </c>
      <c r="C192" s="35">
        <v>116.9</v>
      </c>
      <c r="D192" s="35">
        <v>156.1378</v>
      </c>
      <c r="E192" s="35">
        <v>75.569400000000002</v>
      </c>
      <c r="F192" s="35">
        <v>389.27679999999998</v>
      </c>
      <c r="G192" s="35">
        <v>25008.599600000001</v>
      </c>
    </row>
    <row r="193" spans="1:7" x14ac:dyDescent="0.3">
      <c r="A193" s="26">
        <v>46220</v>
      </c>
      <c r="B193" s="35">
        <v>461.6</v>
      </c>
      <c r="C193" s="35">
        <v>112.6</v>
      </c>
      <c r="D193" s="35">
        <v>156.1378</v>
      </c>
      <c r="E193" s="35">
        <v>75.023200000000003</v>
      </c>
      <c r="F193" s="35">
        <v>384.16759999999999</v>
      </c>
      <c r="G193" s="35">
        <v>24562.2402</v>
      </c>
    </row>
    <row r="194" spans="1:7" x14ac:dyDescent="0.3">
      <c r="A194" s="26">
        <v>46223</v>
      </c>
      <c r="B194" s="35">
        <v>477.8</v>
      </c>
      <c r="C194" s="35">
        <v>116.8</v>
      </c>
      <c r="D194" s="35">
        <v>157.0334</v>
      </c>
      <c r="E194" s="35">
        <v>75.221800000000002</v>
      </c>
      <c r="F194" s="35">
        <v>390.45580000000001</v>
      </c>
      <c r="G194" s="35">
        <v>25143.050800000001</v>
      </c>
    </row>
    <row r="195" spans="1:7" x14ac:dyDescent="0.3">
      <c r="A195" s="26">
        <v>46224</v>
      </c>
      <c r="B195" s="35">
        <v>474</v>
      </c>
      <c r="C195" s="35">
        <v>117</v>
      </c>
      <c r="D195" s="35">
        <v>155.7397</v>
      </c>
      <c r="E195" s="35">
        <v>76.413399999999996</v>
      </c>
      <c r="F195" s="35">
        <v>392.6173</v>
      </c>
      <c r="G195" s="35">
        <v>25132.289100000002</v>
      </c>
    </row>
    <row r="196" spans="1:7" x14ac:dyDescent="0.3">
      <c r="A196" s="26">
        <v>46225</v>
      </c>
      <c r="B196" s="35">
        <v>440.6</v>
      </c>
      <c r="C196" s="35">
        <v>113.6</v>
      </c>
      <c r="D196" s="35">
        <v>158.12809999999999</v>
      </c>
      <c r="E196" s="35">
        <v>76.363799999999998</v>
      </c>
      <c r="F196" s="35">
        <v>393.59989999999999</v>
      </c>
      <c r="G196" s="35">
        <v>24892.660199999998</v>
      </c>
    </row>
    <row r="197" spans="1:7" x14ac:dyDescent="0.3">
      <c r="A197" s="26">
        <v>46226</v>
      </c>
      <c r="B197" s="35">
        <v>445.2</v>
      </c>
      <c r="C197" s="35">
        <v>114.9</v>
      </c>
      <c r="D197" s="35">
        <v>160.71539999999999</v>
      </c>
      <c r="E197" s="35">
        <v>78.051900000000003</v>
      </c>
      <c r="F197" s="35">
        <v>399.10199999999998</v>
      </c>
      <c r="G197" s="35">
        <v>25210.8105</v>
      </c>
    </row>
    <row r="198" spans="1:7" x14ac:dyDescent="0.3">
      <c r="A198" s="26">
        <v>46227</v>
      </c>
      <c r="B198" s="35">
        <v>434.6</v>
      </c>
      <c r="C198" s="35">
        <v>110</v>
      </c>
      <c r="D198" s="35">
        <v>160.61590000000001</v>
      </c>
      <c r="E198" s="35">
        <v>77.555400000000006</v>
      </c>
      <c r="F198" s="35">
        <v>392.02780000000001</v>
      </c>
      <c r="G198" s="35">
        <v>24963.230500000001</v>
      </c>
    </row>
    <row r="199" spans="1:7" x14ac:dyDescent="0.3">
      <c r="A199" s="26">
        <v>46230</v>
      </c>
      <c r="B199" s="35">
        <v>443</v>
      </c>
      <c r="C199" s="35">
        <v>111</v>
      </c>
      <c r="D199" s="35">
        <v>162.00909999999999</v>
      </c>
      <c r="E199" s="35">
        <v>77.406499999999994</v>
      </c>
      <c r="F199" s="35">
        <v>393.40339999999998</v>
      </c>
      <c r="G199" s="35">
        <v>25207.179700000001</v>
      </c>
    </row>
    <row r="200" spans="1:7" x14ac:dyDescent="0.3">
      <c r="A200" s="26">
        <v>46231</v>
      </c>
      <c r="B200" s="35">
        <v>447.2</v>
      </c>
      <c r="C200" s="35">
        <v>112</v>
      </c>
      <c r="D200" s="35">
        <v>161.21299999999999</v>
      </c>
      <c r="E200" s="35">
        <v>77.356800000000007</v>
      </c>
      <c r="F200" s="35">
        <v>396.94049999999999</v>
      </c>
      <c r="G200" s="35">
        <v>25310.849600000001</v>
      </c>
    </row>
    <row r="201" spans="1:7" x14ac:dyDescent="0.3">
      <c r="A201" s="26">
        <v>46232</v>
      </c>
      <c r="B201" s="35">
        <v>466.4</v>
      </c>
      <c r="C201" s="35">
        <v>113.6</v>
      </c>
      <c r="D201" s="35">
        <v>163.8999</v>
      </c>
      <c r="E201" s="35">
        <v>77.605099999999993</v>
      </c>
      <c r="F201" s="35">
        <v>400.67399999999998</v>
      </c>
      <c r="G201" s="35">
        <v>25807.919900000001</v>
      </c>
    </row>
    <row r="202" spans="1:7" x14ac:dyDescent="0.3">
      <c r="A202" s="26">
        <v>46233</v>
      </c>
      <c r="B202" s="35">
        <v>471.8</v>
      </c>
      <c r="C202" s="35">
        <v>111.8</v>
      </c>
      <c r="D202" s="35">
        <v>163.70089999999999</v>
      </c>
      <c r="E202" s="35">
        <v>79.0946</v>
      </c>
      <c r="F202" s="35">
        <v>400.08460000000002</v>
      </c>
      <c r="G202" s="35">
        <v>25858.8809</v>
      </c>
    </row>
    <row r="203" spans="1:7" x14ac:dyDescent="0.3">
      <c r="A203" s="26">
        <v>46234</v>
      </c>
      <c r="B203" s="35">
        <v>475.2</v>
      </c>
      <c r="C203" s="35">
        <v>117</v>
      </c>
      <c r="D203" s="35">
        <v>167.38290000000001</v>
      </c>
      <c r="E203" s="35">
        <v>78.697400000000002</v>
      </c>
      <c r="F203" s="35">
        <v>401.46010000000001</v>
      </c>
      <c r="G203" s="35">
        <v>25884.429700000001</v>
      </c>
    </row>
    <row r="204" spans="1:7" x14ac:dyDescent="0.3">
      <c r="A204" s="26">
        <v>46237</v>
      </c>
      <c r="B204" s="35">
        <v>490.4</v>
      </c>
      <c r="C204" s="35">
        <v>125.2</v>
      </c>
      <c r="D204" s="35">
        <v>167.38290000000001</v>
      </c>
      <c r="E204" s="35">
        <v>78.002300000000005</v>
      </c>
      <c r="F204" s="35">
        <v>401.85309999999998</v>
      </c>
      <c r="G204" s="35">
        <v>26009.400399999999</v>
      </c>
    </row>
    <row r="205" spans="1:7" x14ac:dyDescent="0.3">
      <c r="A205" s="26">
        <v>46238</v>
      </c>
      <c r="B205" s="35">
        <v>487.6</v>
      </c>
      <c r="C205" s="35">
        <v>125.8</v>
      </c>
      <c r="D205" s="35">
        <v>165.69110000000001</v>
      </c>
      <c r="E205" s="35">
        <v>77.505799999999994</v>
      </c>
      <c r="F205" s="35">
        <v>400.87060000000002</v>
      </c>
      <c r="G205" s="35">
        <v>25852.919900000001</v>
      </c>
    </row>
    <row r="206" spans="1:7" x14ac:dyDescent="0.3">
      <c r="A206" s="26">
        <v>46239</v>
      </c>
      <c r="B206" s="35">
        <v>492.2</v>
      </c>
      <c r="C206" s="35">
        <v>128.1</v>
      </c>
      <c r="D206" s="35">
        <v>161.3125</v>
      </c>
      <c r="E206" s="35">
        <v>77.207899999999995</v>
      </c>
      <c r="F206" s="35">
        <v>407.35520000000002</v>
      </c>
      <c r="G206" s="35">
        <v>25915.820299999999</v>
      </c>
    </row>
    <row r="207" spans="1:7" x14ac:dyDescent="0.3">
      <c r="A207" s="26">
        <v>46240</v>
      </c>
      <c r="B207" s="35">
        <v>479.2</v>
      </c>
      <c r="C207" s="35">
        <v>124.4</v>
      </c>
      <c r="D207" s="35">
        <v>159.32220000000001</v>
      </c>
      <c r="E207" s="35">
        <v>72.639899999999997</v>
      </c>
      <c r="F207" s="35">
        <v>402.8356</v>
      </c>
      <c r="G207" s="35">
        <v>25530.279299999998</v>
      </c>
    </row>
    <row r="208" spans="1:7" x14ac:dyDescent="0.3">
      <c r="A208" s="26">
        <v>46241</v>
      </c>
      <c r="B208" s="35">
        <v>478.8</v>
      </c>
      <c r="C208" s="35">
        <v>123.8</v>
      </c>
      <c r="D208" s="35">
        <v>160.4169</v>
      </c>
      <c r="E208" s="35">
        <v>73.632999999999996</v>
      </c>
      <c r="F208" s="35">
        <v>404.40769999999998</v>
      </c>
      <c r="G208" s="35">
        <v>25668.029299999998</v>
      </c>
    </row>
    <row r="209" spans="1:7" x14ac:dyDescent="0.3">
      <c r="A209" s="26">
        <v>46244</v>
      </c>
      <c r="B209" s="35">
        <v>481.4</v>
      </c>
      <c r="C209" s="35">
        <v>126.7</v>
      </c>
      <c r="D209" s="35">
        <v>161.7106</v>
      </c>
      <c r="E209" s="35">
        <v>73.980500000000006</v>
      </c>
      <c r="F209" s="35">
        <v>409.51679999999999</v>
      </c>
      <c r="G209" s="35">
        <v>25937.4902</v>
      </c>
    </row>
    <row r="210" spans="1:7" x14ac:dyDescent="0.3">
      <c r="A210" s="26">
        <v>46245</v>
      </c>
      <c r="B210" s="35">
        <v>470.8</v>
      </c>
      <c r="C210" s="35">
        <v>126.4</v>
      </c>
      <c r="D210" s="35">
        <v>160.9145</v>
      </c>
      <c r="E210" s="35">
        <v>72.341999999999999</v>
      </c>
      <c r="F210" s="35">
        <v>398.31599999999997</v>
      </c>
      <c r="G210" s="35">
        <v>25652.820299999999</v>
      </c>
    </row>
    <row r="211" spans="1:7" x14ac:dyDescent="0.3">
      <c r="A211" s="26">
        <v>46246</v>
      </c>
      <c r="B211" s="35">
        <v>461.6</v>
      </c>
      <c r="C211" s="35">
        <v>122.6</v>
      </c>
      <c r="D211" s="35">
        <v>160.61590000000001</v>
      </c>
      <c r="E211" s="35">
        <v>72.1434</v>
      </c>
      <c r="F211" s="35">
        <v>399.495</v>
      </c>
      <c r="G211" s="35">
        <v>25440.169900000001</v>
      </c>
    </row>
    <row r="212" spans="1:7" x14ac:dyDescent="0.3">
      <c r="A212" s="26">
        <v>46247</v>
      </c>
      <c r="B212" s="35">
        <v>441</v>
      </c>
      <c r="C212" s="35">
        <v>121.9</v>
      </c>
      <c r="D212" s="35">
        <v>163</v>
      </c>
      <c r="E212" s="35">
        <v>72.0441</v>
      </c>
      <c r="F212" s="35">
        <v>401.06709999999998</v>
      </c>
      <c r="G212" s="35">
        <v>25396.5098</v>
      </c>
    </row>
    <row r="213" spans="1:7" x14ac:dyDescent="0.3">
      <c r="A213" s="26">
        <v>46248</v>
      </c>
      <c r="B213" s="35">
        <v>440</v>
      </c>
      <c r="C213" s="35">
        <v>119.9</v>
      </c>
      <c r="D213" s="35">
        <v>160.80000000000001</v>
      </c>
      <c r="E213" s="35">
        <v>69.909099999999995</v>
      </c>
      <c r="F213" s="35">
        <v>399.29849999999999</v>
      </c>
      <c r="G213" s="35">
        <v>25116.849600000001</v>
      </c>
    </row>
    <row r="214" spans="1:7" x14ac:dyDescent="0.3">
      <c r="A214" s="26">
        <v>46251</v>
      </c>
      <c r="B214" s="35">
        <v>446.4</v>
      </c>
      <c r="C214" s="35">
        <v>122.2</v>
      </c>
      <c r="D214" s="35">
        <v>163.5</v>
      </c>
      <c r="E214" s="35">
        <v>72.888199999999998</v>
      </c>
      <c r="F214" s="35">
        <v>399.10199999999998</v>
      </c>
      <c r="G214" s="35">
        <v>25453.230500000001</v>
      </c>
    </row>
    <row r="215" spans="1:7" x14ac:dyDescent="0.3">
      <c r="A215" s="26">
        <v>46252</v>
      </c>
      <c r="B215" s="35">
        <v>442.4</v>
      </c>
      <c r="C215" s="35">
        <v>126.7</v>
      </c>
      <c r="D215" s="35">
        <v>162.1</v>
      </c>
      <c r="E215" s="35">
        <v>72.0441</v>
      </c>
      <c r="F215" s="35">
        <v>397.923</v>
      </c>
      <c r="G215" s="35">
        <v>25471.150399999999</v>
      </c>
    </row>
    <row r="216" spans="1:7" x14ac:dyDescent="0.3">
      <c r="A216" s="26">
        <v>46253</v>
      </c>
      <c r="B216" s="35">
        <v>447.2</v>
      </c>
      <c r="C216" s="35">
        <v>124.2</v>
      </c>
      <c r="D216" s="35">
        <v>161.19999999999999</v>
      </c>
      <c r="E216" s="35">
        <v>72.491</v>
      </c>
      <c r="F216" s="35">
        <v>407.35520000000002</v>
      </c>
      <c r="G216" s="35">
        <v>25495.070299999999</v>
      </c>
    </row>
    <row r="217" spans="1:7" x14ac:dyDescent="0.3">
      <c r="A217" s="26">
        <v>46254</v>
      </c>
      <c r="B217" s="35">
        <v>451.4</v>
      </c>
      <c r="C217" s="35">
        <v>126.2</v>
      </c>
      <c r="D217" s="35">
        <v>160.30000000000001</v>
      </c>
      <c r="E217" s="35">
        <v>72.242699999999999</v>
      </c>
      <c r="F217" s="35">
        <v>410.49930000000001</v>
      </c>
      <c r="G217" s="35">
        <v>25698.4902</v>
      </c>
    </row>
    <row r="218" spans="1:7" x14ac:dyDescent="0.3">
      <c r="A218" s="26">
        <v>46255</v>
      </c>
      <c r="B218" s="35">
        <v>457</v>
      </c>
      <c r="C218" s="35">
        <v>123</v>
      </c>
      <c r="D218" s="35">
        <v>162.9</v>
      </c>
      <c r="E218" s="35">
        <v>74.626000000000005</v>
      </c>
      <c r="F218" s="35">
        <v>413.64339999999999</v>
      </c>
      <c r="G218" s="35">
        <v>26009.460899999998</v>
      </c>
    </row>
    <row r="219" spans="1:7" x14ac:dyDescent="0.3">
      <c r="A219" s="26">
        <v>46258</v>
      </c>
      <c r="B219" s="35">
        <v>440</v>
      </c>
      <c r="C219" s="35">
        <v>112.5</v>
      </c>
      <c r="D219" s="35">
        <v>161.5</v>
      </c>
      <c r="E219" s="35">
        <v>74.079800000000006</v>
      </c>
      <c r="F219" s="35">
        <v>410.49930000000001</v>
      </c>
      <c r="G219" s="35">
        <v>25517.330099999999</v>
      </c>
    </row>
    <row r="220" spans="1:7" x14ac:dyDescent="0.3">
      <c r="A220" s="26">
        <v>46259</v>
      </c>
      <c r="B220" s="35">
        <v>442</v>
      </c>
      <c r="C220" s="35">
        <v>114.2</v>
      </c>
      <c r="D220" s="35">
        <v>163.19999999999999</v>
      </c>
      <c r="E220" s="35">
        <v>73.831599999999995</v>
      </c>
      <c r="F220" s="35">
        <v>410.49930000000001</v>
      </c>
      <c r="G220" s="35">
        <v>25511.099600000001</v>
      </c>
    </row>
    <row r="221" spans="1:7" x14ac:dyDescent="0.3">
      <c r="A221" s="26">
        <v>46260</v>
      </c>
      <c r="B221" s="35">
        <v>445.4</v>
      </c>
      <c r="C221" s="35">
        <v>116.6</v>
      </c>
      <c r="D221" s="35">
        <v>161.69999999999999</v>
      </c>
      <c r="E221" s="35">
        <v>73.682599999999994</v>
      </c>
      <c r="F221" s="35">
        <v>413.44690000000003</v>
      </c>
      <c r="G221" s="35">
        <v>25652.970700000002</v>
      </c>
    </row>
    <row r="222" spans="1:7" x14ac:dyDescent="0.3">
      <c r="A222" s="26">
        <v>46261</v>
      </c>
      <c r="B222" s="35">
        <v>447.8</v>
      </c>
      <c r="C222" s="35">
        <v>115.5</v>
      </c>
      <c r="D222" s="35">
        <v>161.80000000000001</v>
      </c>
      <c r="E222" s="35">
        <v>74.129499999999993</v>
      </c>
      <c r="F222" s="35">
        <v>414.82240000000002</v>
      </c>
      <c r="G222" s="35">
        <v>25565.7402</v>
      </c>
    </row>
    <row r="223" spans="1:7" x14ac:dyDescent="0.3">
      <c r="A223" s="26">
        <v>46262</v>
      </c>
      <c r="B223" s="35">
        <v>455.2</v>
      </c>
      <c r="C223" s="35">
        <v>113.9</v>
      </c>
      <c r="D223" s="35">
        <v>161.4</v>
      </c>
      <c r="E223" s="35">
        <v>74.973500000000001</v>
      </c>
      <c r="F223" s="35">
        <v>416.59100000000001</v>
      </c>
      <c r="G223" s="35">
        <v>25584.789100000002</v>
      </c>
    </row>
    <row r="224" spans="1:7" x14ac:dyDescent="0.3">
      <c r="A224" s="26">
        <v>46265</v>
      </c>
      <c r="B224" s="35">
        <v>453</v>
      </c>
      <c r="C224" s="35">
        <v>114.2</v>
      </c>
      <c r="D224" s="35">
        <v>161</v>
      </c>
      <c r="E224" s="35">
        <v>75.718299999999999</v>
      </c>
      <c r="F224" s="35">
        <v>417.77</v>
      </c>
      <c r="G224" s="35">
        <v>25566.9902</v>
      </c>
    </row>
    <row r="225" spans="1:7" x14ac:dyDescent="0.3">
      <c r="A225" s="26">
        <v>46266</v>
      </c>
      <c r="B225" s="35">
        <v>441.4</v>
      </c>
      <c r="C225" s="35">
        <v>110.4</v>
      </c>
      <c r="D225" s="35">
        <v>160.6</v>
      </c>
      <c r="E225" s="35">
        <v>75.420400000000001</v>
      </c>
      <c r="F225" s="35">
        <v>405.6</v>
      </c>
      <c r="G225" s="35">
        <v>25329.730500000001</v>
      </c>
    </row>
    <row r="226" spans="1:7" x14ac:dyDescent="0.3">
      <c r="A226" s="26">
        <v>46267</v>
      </c>
      <c r="B226" s="35">
        <v>438.2</v>
      </c>
      <c r="C226" s="35">
        <v>109.9</v>
      </c>
      <c r="D226" s="35">
        <v>162.6</v>
      </c>
      <c r="E226" s="35">
        <v>75.470100000000002</v>
      </c>
      <c r="F226" s="35">
        <v>404.4</v>
      </c>
      <c r="G226" s="35">
        <v>25311.210899999998</v>
      </c>
    </row>
    <row r="227" spans="1:7" x14ac:dyDescent="0.3">
      <c r="A227" s="26">
        <v>46268</v>
      </c>
      <c r="B227" s="35">
        <v>433</v>
      </c>
      <c r="C227" s="35">
        <v>107.5</v>
      </c>
      <c r="D227" s="35">
        <v>163.5</v>
      </c>
      <c r="E227" s="35">
        <v>76.760999999999996</v>
      </c>
      <c r="F227" s="35">
        <v>403.4</v>
      </c>
      <c r="G227" s="35">
        <v>25213.3105</v>
      </c>
    </row>
    <row r="228" spans="1:7" x14ac:dyDescent="0.3">
      <c r="A228" s="26">
        <v>46269</v>
      </c>
      <c r="B228" s="35">
        <v>442.8</v>
      </c>
      <c r="C228" s="35">
        <v>110.1</v>
      </c>
      <c r="D228" s="35">
        <v>166.7</v>
      </c>
      <c r="E228" s="35">
        <v>77.5</v>
      </c>
      <c r="F228" s="35">
        <v>408.8</v>
      </c>
      <c r="G228" s="35">
        <v>25650.8691</v>
      </c>
    </row>
    <row r="229" spans="1:7" x14ac:dyDescent="0.3">
      <c r="A229" s="26">
        <v>46272</v>
      </c>
      <c r="B229" s="35">
        <v>438.4</v>
      </c>
      <c r="C229" s="35">
        <v>109.6</v>
      </c>
      <c r="D229" s="35">
        <v>167.6</v>
      </c>
      <c r="E229" s="35">
        <v>77.099999999999994</v>
      </c>
      <c r="F229" s="35">
        <v>404</v>
      </c>
      <c r="G229" s="35">
        <v>25413.1191</v>
      </c>
    </row>
    <row r="230" spans="1:7" x14ac:dyDescent="0.3">
      <c r="A230" s="26">
        <v>46273</v>
      </c>
      <c r="B230" s="35">
        <v>435.4</v>
      </c>
      <c r="C230" s="35">
        <v>109.5</v>
      </c>
      <c r="D230" s="35">
        <v>164.9</v>
      </c>
      <c r="E230" s="35">
        <v>76.900000000000006</v>
      </c>
      <c r="F230" s="35">
        <v>402</v>
      </c>
      <c r="G230" s="35">
        <v>25317.179700000001</v>
      </c>
    </row>
    <row r="231" spans="1:7" x14ac:dyDescent="0.3">
      <c r="A231" s="26">
        <v>46274</v>
      </c>
      <c r="B231" s="35">
        <v>434</v>
      </c>
      <c r="C231" s="35">
        <v>109.8</v>
      </c>
      <c r="D231" s="35">
        <v>166</v>
      </c>
      <c r="E231" s="35">
        <v>76.95</v>
      </c>
      <c r="F231" s="35">
        <v>400.4</v>
      </c>
      <c r="G231" s="35">
        <v>25274.960899999998</v>
      </c>
    </row>
    <row r="232" spans="1:7" x14ac:dyDescent="0.3">
      <c r="A232" s="26">
        <v>46275</v>
      </c>
      <c r="B232" s="35">
        <v>425.6</v>
      </c>
      <c r="C232" s="35">
        <v>106.9</v>
      </c>
      <c r="D232" s="35">
        <v>164.7</v>
      </c>
      <c r="E232" s="35">
        <v>75.3</v>
      </c>
      <c r="F232" s="35">
        <v>397</v>
      </c>
      <c r="G232" s="35">
        <v>24954.470700000002</v>
      </c>
    </row>
    <row r="233" spans="1:7" x14ac:dyDescent="0.3">
      <c r="A233" s="26">
        <v>46276</v>
      </c>
      <c r="B233" s="35">
        <v>428.4</v>
      </c>
      <c r="C233" s="35">
        <v>107.5</v>
      </c>
      <c r="D233" s="35">
        <v>163.30000000000001</v>
      </c>
      <c r="E233" s="35">
        <v>75.05</v>
      </c>
      <c r="F233" s="35">
        <v>392.6</v>
      </c>
      <c r="G233" s="35">
        <v>24805.6309</v>
      </c>
    </row>
    <row r="234" spans="1:7" x14ac:dyDescent="0.3">
      <c r="A234" s="26">
        <v>46279</v>
      </c>
      <c r="B234" s="35">
        <v>430.6</v>
      </c>
      <c r="C234" s="35">
        <v>105.9</v>
      </c>
      <c r="D234" s="35">
        <v>164.9</v>
      </c>
      <c r="E234" s="35">
        <v>75.45</v>
      </c>
      <c r="F234" s="35">
        <v>397.4</v>
      </c>
      <c r="G234" s="35">
        <v>24917.599600000001</v>
      </c>
    </row>
    <row r="235" spans="1:7" x14ac:dyDescent="0.3">
      <c r="A235" s="26">
        <v>46280</v>
      </c>
      <c r="B235" s="35">
        <v>438.8</v>
      </c>
      <c r="C235" s="35">
        <v>107.2</v>
      </c>
      <c r="D235" s="35">
        <v>159.6</v>
      </c>
      <c r="E235" s="35">
        <v>76.05</v>
      </c>
      <c r="F235" s="35">
        <v>393.8</v>
      </c>
      <c r="G235" s="35">
        <v>24667.2402</v>
      </c>
    </row>
    <row r="236" spans="1:7" x14ac:dyDescent="0.3">
      <c r="A236" s="26">
        <v>46281</v>
      </c>
      <c r="B236" s="35">
        <v>433.4</v>
      </c>
      <c r="C236" s="35">
        <v>106.2</v>
      </c>
      <c r="D236" s="35">
        <v>160.9</v>
      </c>
      <c r="E236" s="35">
        <v>77</v>
      </c>
      <c r="F236" s="35">
        <v>395.6</v>
      </c>
      <c r="G236" s="35">
        <v>24713.779299999998</v>
      </c>
    </row>
    <row r="237" spans="1:7" x14ac:dyDescent="0.3">
      <c r="A237" s="26">
        <v>46282</v>
      </c>
      <c r="B237" s="35">
        <v>426</v>
      </c>
      <c r="C237" s="35">
        <v>105.1</v>
      </c>
      <c r="D237" s="35">
        <v>159.80000000000001</v>
      </c>
      <c r="E237" s="35">
        <v>77.349999999999994</v>
      </c>
      <c r="F237" s="35">
        <v>388.6</v>
      </c>
      <c r="G237" s="35">
        <v>24604.289100000002</v>
      </c>
    </row>
    <row r="238" spans="1:7" x14ac:dyDescent="0.3">
      <c r="A238" s="26">
        <v>46283</v>
      </c>
      <c r="B238" s="35">
        <v>419</v>
      </c>
      <c r="C238" s="35">
        <v>109.3</v>
      </c>
      <c r="D238" s="35">
        <v>161.6</v>
      </c>
      <c r="E238" s="35">
        <v>76.75</v>
      </c>
      <c r="F238" s="35">
        <v>388</v>
      </c>
      <c r="G238" s="35">
        <v>24750.779299999998</v>
      </c>
    </row>
    <row r="239" spans="1:7" x14ac:dyDescent="0.3">
      <c r="A239" s="26">
        <v>46286</v>
      </c>
      <c r="B239" s="35">
        <v>430</v>
      </c>
      <c r="C239" s="35">
        <v>112.6</v>
      </c>
      <c r="D239" s="35">
        <v>161.5</v>
      </c>
      <c r="E239" s="35">
        <v>77.349999999999994</v>
      </c>
      <c r="F239" s="35">
        <v>391.2</v>
      </c>
      <c r="G239" s="35">
        <v>25042.710899999998</v>
      </c>
    </row>
    <row r="240" spans="1:7" x14ac:dyDescent="0.3">
      <c r="A240" s="26">
        <v>46287</v>
      </c>
      <c r="B240" s="35">
        <v>451.6</v>
      </c>
      <c r="C240" s="35">
        <v>114.8</v>
      </c>
      <c r="D240" s="35">
        <v>159.30000000000001</v>
      </c>
      <c r="E240" s="35">
        <v>76.25</v>
      </c>
      <c r="F240" s="35">
        <v>397.4</v>
      </c>
      <c r="G240" s="35">
        <v>25087.75</v>
      </c>
    </row>
    <row r="241" spans="1:7" x14ac:dyDescent="0.3">
      <c r="A241" s="26">
        <v>46288</v>
      </c>
      <c r="B241" s="35">
        <v>441</v>
      </c>
      <c r="C241" s="35">
        <v>109.8</v>
      </c>
      <c r="D241" s="35">
        <v>159.5</v>
      </c>
      <c r="E241" s="35">
        <v>75.349999999999994</v>
      </c>
      <c r="F241" s="35">
        <v>395.8</v>
      </c>
      <c r="G241" s="35">
        <v>24834.1191</v>
      </c>
    </row>
    <row r="242" spans="1:7" x14ac:dyDescent="0.3">
      <c r="A242" s="26">
        <v>46289</v>
      </c>
      <c r="B242" s="35">
        <v>438.4</v>
      </c>
      <c r="C242" s="35">
        <v>110</v>
      </c>
      <c r="D242" s="35">
        <v>156.9</v>
      </c>
      <c r="E242" s="35">
        <v>75.8</v>
      </c>
      <c r="F242" s="35">
        <v>393.4</v>
      </c>
      <c r="G242" s="35">
        <v>24761.1309</v>
      </c>
    </row>
    <row r="243" spans="1:7" x14ac:dyDescent="0.3">
      <c r="A243" s="26">
        <v>46290</v>
      </c>
      <c r="B243" s="35">
        <v>436.6</v>
      </c>
      <c r="C243" s="35">
        <v>108.4</v>
      </c>
      <c r="D243" s="35">
        <v>157.6</v>
      </c>
      <c r="E243" s="35">
        <v>73.75</v>
      </c>
      <c r="F243" s="35">
        <v>388.4</v>
      </c>
      <c r="G243" s="35">
        <v>24510.089800000002</v>
      </c>
    </row>
    <row r="244" spans="1:7" x14ac:dyDescent="0.3">
      <c r="A244" s="26">
        <v>46293</v>
      </c>
      <c r="B244" s="35">
        <v>439.8</v>
      </c>
      <c r="C244" s="35">
        <v>107.7</v>
      </c>
      <c r="D244" s="35">
        <v>158.9</v>
      </c>
      <c r="E244" s="35">
        <v>74.05</v>
      </c>
      <c r="F244" s="35">
        <v>388.6</v>
      </c>
      <c r="G244" s="35">
        <v>24642.5098</v>
      </c>
    </row>
    <row r="245" spans="1:7" x14ac:dyDescent="0.3">
      <c r="A245" s="26">
        <v>46294</v>
      </c>
      <c r="B245" s="35">
        <v>432</v>
      </c>
      <c r="C245" s="35">
        <v>106.2</v>
      </c>
      <c r="D245" s="35">
        <v>159</v>
      </c>
      <c r="E245" s="35">
        <v>73.900000000000006</v>
      </c>
      <c r="F245" s="35">
        <v>386.8</v>
      </c>
      <c r="G245" s="35">
        <v>24523.570299999999</v>
      </c>
    </row>
    <row r="246" spans="1:7" x14ac:dyDescent="0.3">
      <c r="A246" s="26">
        <v>46295</v>
      </c>
      <c r="B246" s="35">
        <v>431</v>
      </c>
      <c r="C246" s="35">
        <v>106.6</v>
      </c>
      <c r="D246" s="35">
        <v>158</v>
      </c>
      <c r="E246" s="35">
        <v>73.599999999999994</v>
      </c>
      <c r="F246" s="35">
        <v>387.8</v>
      </c>
      <c r="G246" s="35">
        <v>24613.269499999999</v>
      </c>
    </row>
    <row r="247" spans="1:7" x14ac:dyDescent="0.3">
      <c r="A247" s="26">
        <v>46297</v>
      </c>
      <c r="B247" s="35">
        <v>421.2</v>
      </c>
      <c r="C247" s="35">
        <v>104.4</v>
      </c>
      <c r="D247" s="35">
        <v>149.5</v>
      </c>
      <c r="E247" s="35">
        <v>69.2</v>
      </c>
      <c r="F247" s="35">
        <v>375.8</v>
      </c>
      <c r="G247" s="35">
        <v>23972.289100000002</v>
      </c>
    </row>
    <row r="248" spans="1:7" x14ac:dyDescent="0.3">
      <c r="A248" s="26">
        <v>46300</v>
      </c>
      <c r="B248" s="35">
        <v>423</v>
      </c>
      <c r="C248" s="35">
        <v>105.4</v>
      </c>
      <c r="D248" s="35">
        <v>149.9</v>
      </c>
      <c r="E248" s="35">
        <v>68.95</v>
      </c>
      <c r="F248" s="35">
        <v>378</v>
      </c>
      <c r="G248" s="35">
        <v>24040.339800000002</v>
      </c>
    </row>
    <row r="249" spans="1:7" x14ac:dyDescent="0.3">
      <c r="A249" s="26">
        <v>46301</v>
      </c>
      <c r="B249" s="35">
        <v>428.2</v>
      </c>
      <c r="C249" s="35">
        <v>108.2</v>
      </c>
      <c r="D249" s="35">
        <v>152.80000000000001</v>
      </c>
      <c r="E249" s="35">
        <v>68.8</v>
      </c>
      <c r="F249" s="35">
        <v>380</v>
      </c>
      <c r="G249" s="35">
        <v>24280.5605</v>
      </c>
    </row>
    <row r="250" spans="1:7" x14ac:dyDescent="0.3">
      <c r="A250" s="26">
        <v>46302</v>
      </c>
      <c r="B250" s="35">
        <v>420.6</v>
      </c>
      <c r="C250" s="35">
        <v>105.4</v>
      </c>
      <c r="D250" s="35">
        <v>149.9</v>
      </c>
      <c r="E250" s="35">
        <v>68.8</v>
      </c>
      <c r="F250" s="35">
        <v>379</v>
      </c>
      <c r="G250" s="35">
        <v>24130.5</v>
      </c>
    </row>
    <row r="251" spans="1:7" x14ac:dyDescent="0.3">
      <c r="A251" s="26">
        <v>46303</v>
      </c>
      <c r="B251" s="35">
        <v>411.4</v>
      </c>
      <c r="C251" s="35">
        <v>104.3</v>
      </c>
      <c r="D251" s="35">
        <v>142.6</v>
      </c>
      <c r="E251" s="35">
        <v>69.25</v>
      </c>
      <c r="F251" s="35">
        <v>375</v>
      </c>
      <c r="G251" s="35">
        <v>23785.789100000002</v>
      </c>
    </row>
    <row r="252" spans="1:7" x14ac:dyDescent="0.3">
      <c r="A252" s="26">
        <v>46304</v>
      </c>
      <c r="B252" s="35">
        <v>424.8</v>
      </c>
      <c r="C252" s="35">
        <v>107</v>
      </c>
      <c r="D252" s="35">
        <v>145.19999999999999</v>
      </c>
      <c r="E252" s="35">
        <v>71.25</v>
      </c>
      <c r="F252" s="35">
        <v>377.8</v>
      </c>
      <c r="G252" s="35">
        <v>24211.349600000001</v>
      </c>
    </row>
    <row r="253" spans="1:7" x14ac:dyDescent="0.3">
      <c r="A253" s="26">
        <v>46307</v>
      </c>
      <c r="B253" s="35">
        <v>425.8</v>
      </c>
      <c r="C253" s="35">
        <v>108.2</v>
      </c>
      <c r="D253" s="35">
        <v>148.1</v>
      </c>
      <c r="E253" s="35">
        <v>71.900000000000006</v>
      </c>
      <c r="F253" s="35">
        <v>375.4</v>
      </c>
      <c r="G253" s="35">
        <v>24271.199199999999</v>
      </c>
    </row>
    <row r="254" spans="1:7" x14ac:dyDescent="0.3">
      <c r="A254" s="26">
        <v>46308</v>
      </c>
      <c r="B254" s="35">
        <v>425.2</v>
      </c>
      <c r="C254" s="35">
        <v>107.2</v>
      </c>
      <c r="D254" s="35">
        <v>150.69999999999999</v>
      </c>
      <c r="E254" s="35">
        <v>73.05</v>
      </c>
      <c r="F254" s="35">
        <v>379.6</v>
      </c>
      <c r="G254" s="35">
        <v>24345.220700000002</v>
      </c>
    </row>
    <row r="255" spans="1:7" x14ac:dyDescent="0.3">
      <c r="A255" s="26">
        <v>46309</v>
      </c>
      <c r="B255" s="35">
        <v>423.4</v>
      </c>
      <c r="C255" s="35">
        <v>110.5</v>
      </c>
      <c r="D255" s="35">
        <v>148</v>
      </c>
      <c r="E255" s="35">
        <v>72.75</v>
      </c>
      <c r="F255" s="35">
        <v>373.6</v>
      </c>
      <c r="G255" s="35">
        <v>24314.169900000001</v>
      </c>
    </row>
    <row r="256" spans="1:7" x14ac:dyDescent="0.3">
      <c r="A256" s="26">
        <v>46310</v>
      </c>
      <c r="B256" s="35">
        <v>417.8</v>
      </c>
      <c r="C256" s="35">
        <v>106.4</v>
      </c>
      <c r="D256" s="35">
        <v>147.9</v>
      </c>
      <c r="E256" s="35">
        <v>72.45</v>
      </c>
      <c r="F256" s="35">
        <v>371.4</v>
      </c>
      <c r="G256" s="35">
        <v>24062.720700000002</v>
      </c>
    </row>
    <row r="257" spans="1:7" x14ac:dyDescent="0.3">
      <c r="A257" s="26">
        <v>46311</v>
      </c>
      <c r="B257" s="35">
        <v>417.8</v>
      </c>
      <c r="C257" s="35">
        <v>108.8</v>
      </c>
      <c r="D257" s="35">
        <v>149.69999999999999</v>
      </c>
      <c r="E257" s="35">
        <v>73.3</v>
      </c>
      <c r="F257" s="35">
        <v>374.6</v>
      </c>
      <c r="G257" s="35">
        <v>24186.830099999999</v>
      </c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5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1" width="12" customWidth="1"/>
  </cols>
  <sheetData>
    <row r="1" spans="1:7" x14ac:dyDescent="0.3">
      <c r="A1" s="20" t="s">
        <v>73</v>
      </c>
      <c r="B1" s="20" t="s">
        <v>26</v>
      </c>
      <c r="C1" s="20" t="s">
        <v>61</v>
      </c>
      <c r="D1" s="20" t="s">
        <v>63</v>
      </c>
      <c r="E1" s="20" t="s">
        <v>65</v>
      </c>
      <c r="F1" s="20" t="s">
        <v>67</v>
      </c>
      <c r="G1" s="20" t="s">
        <v>69</v>
      </c>
    </row>
    <row r="2" spans="1:7" x14ac:dyDescent="0.3">
      <c r="A2" s="26">
        <f>Prices!A2</f>
        <v>45932</v>
      </c>
      <c r="B2" s="1"/>
      <c r="C2" s="1"/>
      <c r="D2" s="1"/>
      <c r="E2" s="1"/>
      <c r="F2" s="1"/>
      <c r="G2" s="1"/>
    </row>
    <row r="3" spans="1:7" x14ac:dyDescent="0.3">
      <c r="A3" s="26">
        <f>Prices!A3</f>
        <v>45933</v>
      </c>
      <c r="B3" s="36">
        <f>Prices!B3/Prices!B2-1</f>
        <v>-4.4345155268606939E-3</v>
      </c>
      <c r="C3" s="36">
        <f>Prices!C3/Prices!C2-1</f>
        <v>1.0922672487134744E-2</v>
      </c>
      <c r="D3" s="36">
        <f>Prices!D3/Prices!D2-1</f>
        <v>-8.1224405065202232E-3</v>
      </c>
      <c r="E3" s="36">
        <f>Prices!E3/Prices!E2-1</f>
        <v>-4.023713524789585E-3</v>
      </c>
      <c r="F3" s="36">
        <f>Prices!F3/Prices!F2-1</f>
        <v>-2.2164290742695547E-3</v>
      </c>
      <c r="G3" s="36">
        <f>Prices!G3/Prices!G2-1</f>
        <v>-5.3578100152023023E-3</v>
      </c>
    </row>
    <row r="4" spans="1:7" x14ac:dyDescent="0.3">
      <c r="A4" s="26">
        <f>Prices!A4</f>
        <v>45936</v>
      </c>
      <c r="B4" s="36">
        <f>Prices!B4/Prices!B3-1</f>
        <v>5.9390741329055086E-3</v>
      </c>
      <c r="C4" s="36">
        <f>Prices!C4/Prices!C3-1</f>
        <v>-2.4851197317360185E-2</v>
      </c>
      <c r="D4" s="36">
        <f>Prices!D4/Prices!D3-1</f>
        <v>9.0993671825354561E-3</v>
      </c>
      <c r="E4" s="36">
        <f>Prices!E4/Prices!E3-1</f>
        <v>1.2794615582028657E-2</v>
      </c>
      <c r="F4" s="36">
        <f>Prices!F4/Prices!F3-1</f>
        <v>-3.9980671109370869E-3</v>
      </c>
      <c r="G4" s="36">
        <f>Prices!G4/Prices!G3-1</f>
        <v>-6.7481279438874608E-3</v>
      </c>
    </row>
    <row r="5" spans="1:7" x14ac:dyDescent="0.3">
      <c r="A5" s="26">
        <f>Prices!A5</f>
        <v>45938</v>
      </c>
      <c r="B5" s="36">
        <f>Prices!B5/Prices!B4-1</f>
        <v>-3.6900247783552276E-3</v>
      </c>
      <c r="C5" s="36">
        <f>Prices!C5/Prices!C4-1</f>
        <v>-1.6066760696337168E-2</v>
      </c>
      <c r="D5" s="36">
        <f>Prices!D5/Prices!D4-1</f>
        <v>-2.7056659662103577E-3</v>
      </c>
      <c r="E5" s="36">
        <f>Prices!E5/Prices!E4-1</f>
        <v>-7.3130426371638135E-3</v>
      </c>
      <c r="F5" s="36">
        <f>Prices!F5/Prices!F4-1</f>
        <v>-7.5825005949229363E-3</v>
      </c>
      <c r="G5" s="36">
        <f>Prices!G5/Prices!G4-1</f>
        <v>-4.759614848698801E-3</v>
      </c>
    </row>
    <row r="6" spans="1:7" x14ac:dyDescent="0.3">
      <c r="A6" s="26">
        <f>Prices!A6</f>
        <v>45939</v>
      </c>
      <c r="B6" s="36">
        <f>Prices!B6/Prices!B5-1</f>
        <v>7.4082822287269146E-4</v>
      </c>
      <c r="C6" s="36">
        <f>Prices!C6/Prices!C5-1</f>
        <v>-2.4211263866192434E-2</v>
      </c>
      <c r="D6" s="36">
        <f>Prices!D6/Prices!D5-1</f>
        <v>-5.9673853140328581E-2</v>
      </c>
      <c r="E6" s="36">
        <f>Prices!E6/Prices!E5-1</f>
        <v>-7.3682895934058523E-3</v>
      </c>
      <c r="F6" s="36">
        <f>Prices!F6/Prices!F5-1</f>
        <v>2.6516719011722811E-2</v>
      </c>
      <c r="G6" s="36">
        <f>Prices!G6/Prices!G5-1</f>
        <v>-2.8651749763632939E-3</v>
      </c>
    </row>
    <row r="7" spans="1:7" x14ac:dyDescent="0.3">
      <c r="A7" s="26">
        <f>Prices!A7</f>
        <v>45940</v>
      </c>
      <c r="B7" s="36">
        <f>Prices!B7/Prices!B6-1</f>
        <v>-3.5529386921623662E-2</v>
      </c>
      <c r="C7" s="36">
        <f>Prices!C7/Prices!C6-1</f>
        <v>-4.5585994230118221E-2</v>
      </c>
      <c r="D7" s="36">
        <f>Prices!D7/Prices!D6-1</f>
        <v>-4.8082916138890708E-3</v>
      </c>
      <c r="E7" s="36">
        <f>Prices!E7/Prices!E6-1</f>
        <v>-2.6987642646005838E-3</v>
      </c>
      <c r="F7" s="36">
        <f>Prices!F7/Prices!F6-1</f>
        <v>-2.6707494178277003E-2</v>
      </c>
      <c r="G7" s="36">
        <f>Prices!G7/Prices!G6-1</f>
        <v>-1.727942989654041E-2</v>
      </c>
    </row>
    <row r="8" spans="1:7" x14ac:dyDescent="0.3">
      <c r="A8" s="26">
        <f>Prices!A8</f>
        <v>45943</v>
      </c>
      <c r="B8" s="36">
        <f>Prices!B8/Prices!B7-1</f>
        <v>-1.9186430740028459E-2</v>
      </c>
      <c r="C8" s="36">
        <f>Prices!C8/Prices!C7-1</f>
        <v>-1.6928285998937032E-2</v>
      </c>
      <c r="D8" s="36">
        <f>Prices!D8/Prices!D7-1</f>
        <v>-8.6953271707760349E-3</v>
      </c>
      <c r="E8" s="36">
        <f>Prices!E8/Prices!E7-1</f>
        <v>-2.9094382414998843E-2</v>
      </c>
      <c r="F8" s="36">
        <f>Prices!F8/Prices!F7-1</f>
        <v>-2.6540810764047129E-2</v>
      </c>
      <c r="G8" s="36">
        <f>Prices!G8/Prices!G7-1</f>
        <v>-1.5246668561888832E-2</v>
      </c>
    </row>
    <row r="9" spans="1:7" x14ac:dyDescent="0.3">
      <c r="A9" s="26">
        <f>Prices!A9</f>
        <v>45944</v>
      </c>
      <c r="B9" s="36">
        <f>Prices!B9/Prices!B8-1</f>
        <v>-2.8169016314335549E-2</v>
      </c>
      <c r="C9" s="36">
        <f>Prices!C9/Prices!C8-1</f>
        <v>-4.3050700107993056E-2</v>
      </c>
      <c r="D9" s="36">
        <f>Prices!D9/Prices!D8-1</f>
        <v>-6.8232606340863367E-3</v>
      </c>
      <c r="E9" s="36">
        <f>Prices!E9/Prices!E8-1</f>
        <v>-2.2995480863276518E-2</v>
      </c>
      <c r="F9" s="36">
        <f>Prices!F9/Prices!F8-1</f>
        <v>-2.9574850328012214E-2</v>
      </c>
      <c r="G9" s="36">
        <f>Prices!G9/Prices!G8-1</f>
        <v>-1.7309381700416848E-2</v>
      </c>
    </row>
    <row r="10" spans="1:7" x14ac:dyDescent="0.3">
      <c r="A10" s="26">
        <f>Prices!A10</f>
        <v>45945</v>
      </c>
      <c r="B10" s="36">
        <f>Prices!B10/Prices!B9-1</f>
        <v>9.6618365357812319E-3</v>
      </c>
      <c r="C10" s="36">
        <f>Prices!C10/Prices!C9-1</f>
        <v>3.8560571746224515E-2</v>
      </c>
      <c r="D10" s="36">
        <f>Prices!D10/Prices!D9-1</f>
        <v>1.570199855743537E-2</v>
      </c>
      <c r="E10" s="36">
        <f>Prices!E10/Prices!E9-1</f>
        <v>1.2838874680306978E-2</v>
      </c>
      <c r="F10" s="36">
        <f>Prices!F10/Prices!F9-1</f>
        <v>1.8571279103402949E-2</v>
      </c>
      <c r="G10" s="36">
        <f>Prices!G10/Prices!G9-1</f>
        <v>1.8444383154893718E-2</v>
      </c>
    </row>
    <row r="11" spans="1:7" x14ac:dyDescent="0.3">
      <c r="A11" s="26">
        <f>Prices!A11</f>
        <v>45946</v>
      </c>
      <c r="B11" s="36">
        <f>Prices!B11/Prices!B10-1</f>
        <v>-1.1164302114140656E-2</v>
      </c>
      <c r="C11" s="36">
        <f>Prices!C11/Prices!C10-1</f>
        <v>-2.4755465438063284E-3</v>
      </c>
      <c r="D11" s="36">
        <f>Prices!D11/Prices!D10-1</f>
        <v>-5.7972214954790102E-3</v>
      </c>
      <c r="E11" s="36">
        <f>Prices!E11/Prices!E10-1</f>
        <v>-5.6346360573420462E-3</v>
      </c>
      <c r="F11" s="36">
        <f>Prices!F11/Prices!F10-1</f>
        <v>-7.9473841693288305E-3</v>
      </c>
      <c r="G11" s="36">
        <f>Prices!G11/Prices!G10-1</f>
        <v>-8.5253912842686574E-4</v>
      </c>
    </row>
    <row r="12" spans="1:7" x14ac:dyDescent="0.3">
      <c r="A12" s="26">
        <f>Prices!A12</f>
        <v>45947</v>
      </c>
      <c r="B12" s="36">
        <f>Prices!B12/Prices!B11-1</f>
        <v>-1.9354840815090424E-2</v>
      </c>
      <c r="C12" s="36">
        <f>Prices!C12/Prices!C11-1</f>
        <v>-4.2183763064427615E-2</v>
      </c>
      <c r="D12" s="36">
        <f>Prices!D12/Prices!D11-1</f>
        <v>-1.9435734766078294E-2</v>
      </c>
      <c r="E12" s="36">
        <f>Prices!E12/Prices!E11-1</f>
        <v>-2.1953767794175238E-2</v>
      </c>
      <c r="F12" s="36">
        <f>Prices!F12/Prices!F11-1</f>
        <v>-2.4505308703935635E-2</v>
      </c>
      <c r="G12" s="36">
        <f>Prices!G12/Prices!G11-1</f>
        <v>-2.4775864078510956E-2</v>
      </c>
    </row>
    <row r="13" spans="1:7" x14ac:dyDescent="0.3">
      <c r="A13" s="26">
        <f>Prices!A13</f>
        <v>45950</v>
      </c>
      <c r="B13" s="36">
        <f>Prices!B13/Prices!B12-1</f>
        <v>3.2072496771202719E-2</v>
      </c>
      <c r="C13" s="36">
        <f>Prices!C13/Prices!C12-1</f>
        <v>4.8575183706603742E-2</v>
      </c>
      <c r="D13" s="36">
        <f>Prices!D13/Prices!D12-1</f>
        <v>1.1892167458130709E-2</v>
      </c>
      <c r="E13" s="36">
        <f>Prices!E13/Prices!E12-1</f>
        <v>4.4170557610448746E-2</v>
      </c>
      <c r="F13" s="36">
        <f>Prices!F13/Prices!F12-1</f>
        <v>2.6569956613343271E-2</v>
      </c>
      <c r="G13" s="36">
        <f>Prices!G13/Prices!G12-1</f>
        <v>2.4229733699786982E-2</v>
      </c>
    </row>
    <row r="14" spans="1:7" x14ac:dyDescent="0.3">
      <c r="A14" s="26">
        <f>Prices!A14</f>
        <v>45951</v>
      </c>
      <c r="B14" s="36">
        <f>Prices!B14/Prices!B13-1</f>
        <v>4.7807958201651068E-3</v>
      </c>
      <c r="C14" s="36">
        <f>Prices!C14/Prices!C13-1</f>
        <v>1.9765209298874264E-2</v>
      </c>
      <c r="D14" s="36">
        <f>Prices!D14/Prices!D13-1</f>
        <v>2.9388694670919868E-3</v>
      </c>
      <c r="E14" s="36">
        <f>Prices!E14/Prices!E13-1</f>
        <v>1.1095923111462236E-2</v>
      </c>
      <c r="F14" s="36">
        <f>Prices!F14/Prices!F13-1</f>
        <v>9.8825364649806069E-3</v>
      </c>
      <c r="G14" s="36">
        <f>Prices!G14/Prices!G13-1</f>
        <v>6.5246841928863208E-3</v>
      </c>
    </row>
    <row r="15" spans="1:7" x14ac:dyDescent="0.3">
      <c r="A15" s="26">
        <f>Prices!A15</f>
        <v>45952</v>
      </c>
      <c r="B15" s="36">
        <f>Prices!B15/Prices!B14-1</f>
        <v>-1.1102327246366395E-2</v>
      </c>
      <c r="C15" s="36">
        <f>Prices!C15/Prices!C14-1</f>
        <v>-1.9382117686151945E-2</v>
      </c>
      <c r="D15" s="36">
        <f>Prices!D15/Prices!D14-1</f>
        <v>9.7607194344484505E-4</v>
      </c>
      <c r="E15" s="36">
        <f>Prices!E15/Prices!E14-1</f>
        <v>-3.2236667364643035E-2</v>
      </c>
      <c r="F15" s="36">
        <f>Prices!F15/Prices!F14-1</f>
        <v>-1.5843399775909539E-2</v>
      </c>
      <c r="G15" s="36">
        <f>Prices!G15/Prices!G14-1</f>
        <v>-9.4431205566988252E-3</v>
      </c>
    </row>
    <row r="16" spans="1:7" x14ac:dyDescent="0.3">
      <c r="A16" s="26">
        <f>Prices!A16</f>
        <v>45953</v>
      </c>
      <c r="B16" s="36">
        <f>Prices!B16/Prices!B15-1</f>
        <v>1.5236582725869363E-2</v>
      </c>
      <c r="C16" s="36">
        <f>Prices!C16/Prices!C15-1</f>
        <v>1.6677127230341648E-2</v>
      </c>
      <c r="D16" s="36">
        <f>Prices!D16/Prices!D15-1</f>
        <v>1.9512603122018302E-3</v>
      </c>
      <c r="E16" s="36">
        <f>Prices!E16/Prices!E15-1</f>
        <v>4.9619395854449966E-3</v>
      </c>
      <c r="F16" s="36">
        <f>Prices!F16/Prices!F15-1</f>
        <v>-1.4204806232784861E-3</v>
      </c>
      <c r="G16" s="36">
        <f>Prices!G16/Prices!G15-1</f>
        <v>7.2225841597104434E-3</v>
      </c>
    </row>
    <row r="17" spans="1:7" x14ac:dyDescent="0.3">
      <c r="A17" s="26">
        <f>Prices!A17</f>
        <v>45954</v>
      </c>
      <c r="B17" s="36">
        <f>Prices!B17/Prices!B16-1</f>
        <v>7.1090452620297118E-3</v>
      </c>
      <c r="C17" s="36">
        <f>Prices!C17/Prices!C16-1</f>
        <v>2.2479024179593798E-2</v>
      </c>
      <c r="D17" s="36">
        <f>Prices!D17/Prices!D16-1</f>
        <v>3.894920620377551E-3</v>
      </c>
      <c r="E17" s="36">
        <f>Prices!E17/Prices!E16-1</f>
        <v>2.1154265749019352E-3</v>
      </c>
      <c r="F17" s="36">
        <f>Prices!F17/Prices!F16-1</f>
        <v>7.5863465372894012E-3</v>
      </c>
      <c r="G17" s="36">
        <f>Prices!G17/Prices!G16-1</f>
        <v>7.400263566895271E-3</v>
      </c>
    </row>
    <row r="18" spans="1:7" x14ac:dyDescent="0.3">
      <c r="A18" s="26">
        <f>Prices!A18</f>
        <v>45957</v>
      </c>
      <c r="B18" s="36">
        <f>Prices!B18/Prices!B17-1</f>
        <v>2.9019542873447213E-2</v>
      </c>
      <c r="C18" s="36">
        <f>Prices!C18/Prices!C17-1</f>
        <v>3.1491023214368363E-2</v>
      </c>
      <c r="D18" s="36">
        <f>Prices!D18/Prices!D17-1</f>
        <v>-1.0668967916027339E-2</v>
      </c>
      <c r="E18" s="36">
        <f>Prices!E18/Prices!E17-1</f>
        <v>1.5481822520666322E-2</v>
      </c>
      <c r="F18" s="36">
        <f>Prices!F18/Prices!F17-1</f>
        <v>2.1647379732589345E-2</v>
      </c>
      <c r="G18" s="36">
        <f>Prices!G18/Prices!G17-1</f>
        <v>1.0456698291765099E-2</v>
      </c>
    </row>
    <row r="19" spans="1:7" x14ac:dyDescent="0.3">
      <c r="A19" s="26">
        <f>Prices!A19</f>
        <v>45958</v>
      </c>
      <c r="B19" s="36">
        <f>Prices!B19/Prices!B18-1</f>
        <v>-1.6768268704362099E-2</v>
      </c>
      <c r="C19" s="36">
        <f>Prices!C19/Prices!C18-1</f>
        <v>-1.4977042237438898E-2</v>
      </c>
      <c r="D19" s="36">
        <f>Prices!D19/Prices!D18-1</f>
        <v>4.411803897049027E-2</v>
      </c>
      <c r="E19" s="36">
        <f>Prices!E19/Prices!E18-1</f>
        <v>3.3957629284639079E-2</v>
      </c>
      <c r="F19" s="36">
        <f>Prices!F19/Prices!F18-1</f>
        <v>-4.1456307281036997E-3</v>
      </c>
      <c r="G19" s="36">
        <f>Prices!G19/Prices!G18-1</f>
        <v>-3.3123854265543207E-3</v>
      </c>
    </row>
    <row r="20" spans="1:7" x14ac:dyDescent="0.3">
      <c r="A20" s="26">
        <f>Prices!A20</f>
        <v>45960</v>
      </c>
      <c r="B20" s="36">
        <f>Prices!B20/Prices!B19-1</f>
        <v>9.3023263109075494E-3</v>
      </c>
      <c r="C20" s="36">
        <f>Prices!C20/Prices!C19-1</f>
        <v>6.4329426614515572E-3</v>
      </c>
      <c r="D20" s="36">
        <f>Prices!D20/Prices!D19-1</f>
        <v>1.4084299643057685E-2</v>
      </c>
      <c r="E20" s="36">
        <f>Prices!E20/Prices!E19-1</f>
        <v>-1.8767466611734673E-2</v>
      </c>
      <c r="F20" s="36">
        <f>Prices!F20/Prices!F19-1</f>
        <v>0</v>
      </c>
      <c r="G20" s="36">
        <f>Prices!G20/Prices!G19-1</f>
        <v>-2.4083641305702175E-3</v>
      </c>
    </row>
    <row r="21" spans="1:7" x14ac:dyDescent="0.3">
      <c r="A21" s="26">
        <f>Prices!A21</f>
        <v>45961</v>
      </c>
      <c r="B21" s="36">
        <f>Prices!B21/Prices!B20-1</f>
        <v>-3.3794113652376945E-2</v>
      </c>
      <c r="C21" s="36">
        <f>Prices!C21/Prices!C20-1</f>
        <v>-4.0674294429956737E-2</v>
      </c>
      <c r="D21" s="36">
        <f>Prices!D21/Prices!D20-1</f>
        <v>9.2546072164645388E-4</v>
      </c>
      <c r="E21" s="36">
        <f>Prices!E21/Prices!E20-1</f>
        <v>3.0737191553920074E-2</v>
      </c>
      <c r="F21" s="36">
        <f>Prices!F21/Prices!F20-1</f>
        <v>-2.0351500925883448E-2</v>
      </c>
      <c r="G21" s="36">
        <f>Prices!G21/Prices!G20-1</f>
        <v>-1.4307481736220429E-2</v>
      </c>
    </row>
    <row r="22" spans="1:7" x14ac:dyDescent="0.3">
      <c r="A22" s="26">
        <f>Prices!A22</f>
        <v>45964</v>
      </c>
      <c r="B22" s="36">
        <f>Prices!B22/Prices!B21-1</f>
        <v>-1.5898519676528222E-3</v>
      </c>
      <c r="C22" s="36">
        <f>Prices!C22/Prices!C21-1</f>
        <v>-1.1507753392810405E-2</v>
      </c>
      <c r="D22" s="36">
        <f>Prices!D22/Prices!D21-1</f>
        <v>1.8501772320844712E-3</v>
      </c>
      <c r="E22" s="36">
        <f>Prices!E22/Prices!E21-1</f>
        <v>5.9642538538516865E-2</v>
      </c>
      <c r="F22" s="36">
        <f>Prices!F22/Prices!F21-1</f>
        <v>1.227554973427103E-2</v>
      </c>
      <c r="G22" s="36">
        <f>Prices!G22/Prices!G21-1</f>
        <v>9.7159994099431657E-3</v>
      </c>
    </row>
    <row r="23" spans="1:7" x14ac:dyDescent="0.3">
      <c r="A23" s="26">
        <f>Prices!A23</f>
        <v>45965</v>
      </c>
      <c r="B23" s="36">
        <f>Prices!B23/Prices!B22-1</f>
        <v>1.5923836218874055E-3</v>
      </c>
      <c r="C23" s="36">
        <f>Prices!C23/Prices!C22-1</f>
        <v>-2.5735336967716904E-2</v>
      </c>
      <c r="D23" s="36">
        <f>Prices!D23/Prices!D22-1</f>
        <v>-2.7696579100812135E-3</v>
      </c>
      <c r="E23" s="36">
        <f>Prices!E23/Prices!E22-1</f>
        <v>-3.7519413220979958E-3</v>
      </c>
      <c r="F23" s="36">
        <f>Prices!F23/Prices!F22-1</f>
        <v>-7.4625030201579401E-3</v>
      </c>
      <c r="G23" s="36">
        <f>Prices!G23/Prices!G22-1</f>
        <v>-7.8735442406989709E-3</v>
      </c>
    </row>
    <row r="24" spans="1:7" x14ac:dyDescent="0.3">
      <c r="A24" s="26">
        <f>Prices!A24</f>
        <v>45966</v>
      </c>
      <c r="B24" s="36">
        <f>Prices!B24/Prices!B23-1</f>
        <v>0</v>
      </c>
      <c r="C24" s="36">
        <f>Prices!C24/Prices!C23-1</f>
        <v>-3.1450342459283798E-3</v>
      </c>
      <c r="D24" s="36">
        <f>Prices!D24/Prices!D23-1</f>
        <v>1.8518894984411727E-3</v>
      </c>
      <c r="E24" s="36">
        <f>Prices!E24/Prices!E23-1</f>
        <v>-6.2767856683487722E-4</v>
      </c>
      <c r="F24" s="36">
        <f>Prices!F24/Prices!F23-1</f>
        <v>-4.6992531435654517E-3</v>
      </c>
      <c r="G24" s="36">
        <f>Prices!G24/Prices!G23-1</f>
        <v>-6.5466776630029866E-4</v>
      </c>
    </row>
    <row r="25" spans="1:7" x14ac:dyDescent="0.3">
      <c r="A25" s="26">
        <f>Prices!A25</f>
        <v>45967</v>
      </c>
      <c r="B25" s="36">
        <f>Prices!B25/Prices!B24-1</f>
        <v>2.384729701040289E-2</v>
      </c>
      <c r="C25" s="36">
        <f>Prices!C25/Prices!C24-1</f>
        <v>4.1010015645300602E-2</v>
      </c>
      <c r="D25" s="36">
        <f>Prices!D25/Prices!D24-1</f>
        <v>3.0511772981663965E-2</v>
      </c>
      <c r="E25" s="36">
        <f>Prices!E25/Prices!E24-1</f>
        <v>2.0099616463744363E-2</v>
      </c>
      <c r="F25" s="36">
        <f>Prices!F25/Prices!F24-1</f>
        <v>2.2190745410551438E-2</v>
      </c>
      <c r="G25" s="36">
        <f>Prices!G25/Prices!G24-1</f>
        <v>2.1225428699793714E-2</v>
      </c>
    </row>
    <row r="26" spans="1:7" x14ac:dyDescent="0.3">
      <c r="A26" s="26">
        <f>Prices!A26</f>
        <v>45968</v>
      </c>
      <c r="B26" s="36">
        <f>Prices!B26/Prices!B25-1</f>
        <v>-1.5527899573849924E-2</v>
      </c>
      <c r="C26" s="36">
        <f>Prices!C26/Prices!C25-1</f>
        <v>-2.9696914906461758E-2</v>
      </c>
      <c r="D26" s="36">
        <f>Prices!D26/Prices!D25-1</f>
        <v>-6.3226156106627185E-3</v>
      </c>
      <c r="E26" s="36">
        <f>Prices!E26/Prices!E25-1</f>
        <v>3.6954467402727786E-3</v>
      </c>
      <c r="F26" s="36">
        <f>Prices!F26/Prices!F25-1</f>
        <v>-1.0161769253454467E-2</v>
      </c>
      <c r="G26" s="36">
        <f>Prices!G26/Prices!G25-1</f>
        <v>-9.215102991174895E-3</v>
      </c>
    </row>
    <row r="27" spans="1:7" x14ac:dyDescent="0.3">
      <c r="A27" s="26">
        <f>Prices!A27</f>
        <v>45971</v>
      </c>
      <c r="B27" s="36">
        <f>Prices!B27/Prices!B26-1</f>
        <v>2.4447964124370003E-2</v>
      </c>
      <c r="C27" s="36">
        <f>Prices!C27/Prices!C26-1</f>
        <v>2.0611478446178833E-2</v>
      </c>
      <c r="D27" s="36">
        <f>Prices!D27/Prices!D26-1</f>
        <v>4.5454288102999563E-3</v>
      </c>
      <c r="E27" s="36">
        <f>Prices!E27/Prices!E26-1</f>
        <v>-2.4537224427610971E-3</v>
      </c>
      <c r="F27" s="36">
        <f>Prices!F27/Prices!F26-1</f>
        <v>1.7265511917398557E-2</v>
      </c>
      <c r="G27" s="36">
        <f>Prices!G27/Prices!G26-1</f>
        <v>1.5518368896077828E-2</v>
      </c>
    </row>
    <row r="28" spans="1:7" x14ac:dyDescent="0.3">
      <c r="A28" s="26">
        <f>Prices!A28</f>
        <v>45972</v>
      </c>
      <c r="B28" s="36">
        <f>Prices!B28/Prices!B27-1</f>
        <v>7.6975807136192564E-4</v>
      </c>
      <c r="C28" s="36">
        <f>Prices!C28/Prices!C27-1</f>
        <v>-1.8359629645967823E-2</v>
      </c>
      <c r="D28" s="36">
        <f>Prices!D28/Prices!D27-1</f>
        <v>1.7193909613615999E-2</v>
      </c>
      <c r="E28" s="36">
        <f>Prices!E28/Prices!E27-1</f>
        <v>1.2914989654398967E-2</v>
      </c>
      <c r="F28" s="36">
        <f>Prices!F28/Prices!F27-1</f>
        <v>-1.3761721355852741E-3</v>
      </c>
      <c r="G28" s="36">
        <f>Prices!G28/Prices!G27-1</f>
        <v>1.7767868401965536E-3</v>
      </c>
    </row>
    <row r="29" spans="1:7" x14ac:dyDescent="0.3">
      <c r="A29" s="26">
        <f>Prices!A29</f>
        <v>45973</v>
      </c>
      <c r="B29" s="36">
        <f>Prices!B29/Prices!B28-1</f>
        <v>1.0769257826404033E-2</v>
      </c>
      <c r="C29" s="36">
        <f>Prices!C29/Prices!C28-1</f>
        <v>-2.2443487150808683E-2</v>
      </c>
      <c r="D29" s="36">
        <f>Prices!D29/Prices!D28-1</f>
        <v>9.7869821501626042E-3</v>
      </c>
      <c r="E29" s="36">
        <f>Prices!E29/Prices!E28-1</f>
        <v>2.1249702981875451E-2</v>
      </c>
      <c r="F29" s="36">
        <f>Prices!F29/Prices!F28-1</f>
        <v>4.593482825555828E-3</v>
      </c>
      <c r="G29" s="36">
        <f>Prices!G29/Prices!G28-1</f>
        <v>8.4775555329159591E-3</v>
      </c>
    </row>
    <row r="30" spans="1:7" x14ac:dyDescent="0.3">
      <c r="A30" s="26">
        <f>Prices!A30</f>
        <v>45974</v>
      </c>
      <c r="B30" s="36">
        <f>Prices!B30/Prices!B29-1</f>
        <v>-1.522095795797318E-3</v>
      </c>
      <c r="C30" s="36">
        <f>Prices!C30/Prices!C29-1</f>
        <v>3.3162797854483506E-2</v>
      </c>
      <c r="D30" s="36">
        <f>Prices!D30/Prices!D29-1</f>
        <v>7.0482365690716087E-3</v>
      </c>
      <c r="E30" s="36">
        <f>Prices!E30/Prices!E29-1</f>
        <v>5.9568475729210313E-4</v>
      </c>
      <c r="F30" s="36">
        <f>Prices!F30/Prices!F29-1</f>
        <v>-1.8289444104436781E-3</v>
      </c>
      <c r="G30" s="36">
        <f>Prices!G30/Prices!G29-1</f>
        <v>5.5825986892374946E-3</v>
      </c>
    </row>
    <row r="31" spans="1:7" x14ac:dyDescent="0.3">
      <c r="A31" s="26">
        <f>Prices!A31</f>
        <v>45975</v>
      </c>
      <c r="B31" s="36">
        <f>Prices!B31/Prices!B30-1</f>
        <v>-2.2865933116918202E-2</v>
      </c>
      <c r="C31" s="36">
        <f>Prices!C31/Prices!C30-1</f>
        <v>-4.3826907199675635E-2</v>
      </c>
      <c r="D31" s="36">
        <f>Prices!D31/Prices!D30-1</f>
        <v>-1.2248767676620864E-2</v>
      </c>
      <c r="E31" s="36">
        <f>Prices!E31/Prices!E30-1</f>
        <v>-2.1390491518676225E-2</v>
      </c>
      <c r="F31" s="36">
        <f>Prices!F31/Prices!F30-1</f>
        <v>-2.6110863236908699E-2</v>
      </c>
      <c r="G31" s="36">
        <f>Prices!G31/Prices!G30-1</f>
        <v>-1.8489560013884354E-2</v>
      </c>
    </row>
    <row r="32" spans="1:7" x14ac:dyDescent="0.3">
      <c r="A32" s="26">
        <f>Prices!A32</f>
        <v>45978</v>
      </c>
      <c r="B32" s="36">
        <f>Prices!B32/Prices!B31-1</f>
        <v>-7.0201637359563751E-3</v>
      </c>
      <c r="C32" s="36">
        <f>Prices!C32/Prices!C31-1</f>
        <v>0</v>
      </c>
      <c r="D32" s="36">
        <f>Prices!D32/Prices!D31-1</f>
        <v>-7.0856976842539332E-3</v>
      </c>
      <c r="E32" s="36">
        <f>Prices!E32/Prices!E31-1</f>
        <v>-1.2750319411114153E-2</v>
      </c>
      <c r="F32" s="36">
        <f>Prices!F32/Prices!F31-1</f>
        <v>-7.0553899419718569E-3</v>
      </c>
      <c r="G32" s="36">
        <f>Prices!G32/Prices!G31-1</f>
        <v>-7.08182808917035E-3</v>
      </c>
    </row>
    <row r="33" spans="1:7" x14ac:dyDescent="0.3">
      <c r="A33" s="26">
        <f>Prices!A33</f>
        <v>45979</v>
      </c>
      <c r="B33" s="36">
        <f>Prices!B33/Prices!B32-1</f>
        <v>-2.0424222657928759E-2</v>
      </c>
      <c r="C33" s="36">
        <f>Prices!C33/Prices!C32-1</f>
        <v>-1.9369674470549603E-3</v>
      </c>
      <c r="D33" s="36">
        <f>Prices!D33/Prices!D32-1</f>
        <v>-2.2301400863166454E-2</v>
      </c>
      <c r="E33" s="36">
        <f>Prices!E33/Prices!E32-1</f>
        <v>-3.3825452950827395E-2</v>
      </c>
      <c r="F33" s="36">
        <f>Prices!F33/Prices!F32-1</f>
        <v>-1.2790380728542661E-2</v>
      </c>
      <c r="G33" s="36">
        <f>Prices!G33/Prices!G32-1</f>
        <v>-1.7216691607718104E-2</v>
      </c>
    </row>
    <row r="34" spans="1:7" x14ac:dyDescent="0.3">
      <c r="A34" s="26">
        <f>Prices!A34</f>
        <v>45980</v>
      </c>
      <c r="B34" s="36">
        <f>Prices!B34/Prices!B33-1</f>
        <v>-1.6038764322324761E-3</v>
      </c>
      <c r="C34" s="36">
        <f>Prices!C34/Prices!C33-1</f>
        <v>1.1643064314655449E-2</v>
      </c>
      <c r="D34" s="36">
        <f>Prices!D34/Prices!D33-1</f>
        <v>-1.6423081148450924E-2</v>
      </c>
      <c r="E34" s="36">
        <f>Prices!E34/Prices!E33-1</f>
        <v>-7.6389242120118439E-3</v>
      </c>
      <c r="F34" s="36">
        <f>Prices!F34/Prices!F33-1</f>
        <v>-9.5954529262165522E-4</v>
      </c>
      <c r="G34" s="36">
        <f>Prices!G34/Prices!G33-1</f>
        <v>-3.8325795489941861E-3</v>
      </c>
    </row>
    <row r="35" spans="1:7" x14ac:dyDescent="0.3">
      <c r="A35" s="26">
        <f>Prices!A35</f>
        <v>45981</v>
      </c>
      <c r="B35" s="36">
        <f>Prices!B35/Prices!B34-1</f>
        <v>-2.4095982193641508E-3</v>
      </c>
      <c r="C35" s="36">
        <f>Prices!C35/Prices!C34-1</f>
        <v>-1.0230136463696304E-2</v>
      </c>
      <c r="D35" s="36">
        <f>Prices!D35/Prices!D34-1</f>
        <v>-1.8554697843436996E-3</v>
      </c>
      <c r="E35" s="36">
        <f>Prices!E35/Prices!E34-1</f>
        <v>1.2828668084334582E-2</v>
      </c>
      <c r="F35" s="36">
        <f>Prices!F35/Prices!F34-1</f>
        <v>2.8818973343318621E-3</v>
      </c>
      <c r="G35" s="36">
        <f>Prices!G35/Prices!G34-1</f>
        <v>1.904675230322006E-4</v>
      </c>
    </row>
    <row r="36" spans="1:7" x14ac:dyDescent="0.3">
      <c r="A36" s="26">
        <f>Prices!A36</f>
        <v>45982</v>
      </c>
      <c r="B36" s="36">
        <f>Prices!B36/Prices!B35-1</f>
        <v>-1.7713339831140762E-2</v>
      </c>
      <c r="C36" s="36">
        <f>Prices!C36/Prices!C35-1</f>
        <v>-4.6511432387074669E-2</v>
      </c>
      <c r="D36" s="36">
        <f>Prices!D36/Prices!D35-1</f>
        <v>-2.3234075228819706E-2</v>
      </c>
      <c r="E36" s="36">
        <f>Prices!E36/Prices!E35-1</f>
        <v>-2.723208782367792E-2</v>
      </c>
      <c r="F36" s="36">
        <f>Prices!F36/Prices!F35-1</f>
        <v>-2.0115063481507156E-2</v>
      </c>
      <c r="G36" s="36">
        <f>Prices!G36/Prices!G35-1</f>
        <v>-2.3825709781215898E-2</v>
      </c>
    </row>
    <row r="37" spans="1:7" x14ac:dyDescent="0.3">
      <c r="A37" s="26">
        <f>Prices!A37</f>
        <v>45985</v>
      </c>
      <c r="B37" s="36">
        <f>Prices!B37/Prices!B36-1</f>
        <v>2.3770479296979063E-2</v>
      </c>
      <c r="C37" s="36">
        <f>Prices!C37/Prices!C36-1</f>
        <v>4.6747507030235891E-2</v>
      </c>
      <c r="D37" s="36">
        <f>Prices!D37/Prices!D36-1</f>
        <v>2.0932527043402871E-2</v>
      </c>
      <c r="E37" s="36">
        <f>Prices!E37/Prices!E36-1</f>
        <v>2.8645406050031408E-2</v>
      </c>
      <c r="F37" s="36">
        <f>Prices!F37/Prices!F36-1</f>
        <v>1.4662774382178334E-2</v>
      </c>
      <c r="G37" s="36">
        <f>Prices!G37/Prices!G36-1</f>
        <v>1.96859681254411E-2</v>
      </c>
    </row>
    <row r="38" spans="1:7" x14ac:dyDescent="0.3">
      <c r="A38" s="26">
        <f>Prices!A38</f>
        <v>45986</v>
      </c>
      <c r="B38" s="36">
        <f>Prices!B38/Prices!B37-1</f>
        <v>8.0057306905878534E-4</v>
      </c>
      <c r="C38" s="36">
        <f>Prices!C38/Prices!C37-1</f>
        <v>2.1359219526355666E-2</v>
      </c>
      <c r="D38" s="36">
        <f>Prices!D38/Prices!D37-1</f>
        <v>-4.6598061009892611E-3</v>
      </c>
      <c r="E38" s="36">
        <f>Prices!E38/Prices!E37-1</f>
        <v>3.1642163442149318E-3</v>
      </c>
      <c r="F38" s="36">
        <f>Prices!F38/Prices!F37-1</f>
        <v>4.8162143559049575E-4</v>
      </c>
      <c r="G38" s="36">
        <f>Prices!G38/Prices!G37-1</f>
        <v>6.9236015787530469E-3</v>
      </c>
    </row>
    <row r="39" spans="1:7" x14ac:dyDescent="0.3">
      <c r="A39" s="26">
        <f>Prices!A39</f>
        <v>45987</v>
      </c>
      <c r="B39" s="36">
        <f>Prices!B39/Prices!B38-1</f>
        <v>-8.7999067662455355E-3</v>
      </c>
      <c r="C39" s="36">
        <f>Prices!C39/Prices!C38-1</f>
        <v>-1.9011172854740188E-2</v>
      </c>
      <c r="D39" s="36">
        <f>Prices!D39/Prices!D38-1</f>
        <v>7.4904001002997767E-3</v>
      </c>
      <c r="E39" s="36">
        <f>Prices!E39/Prices!E38-1</f>
        <v>1.8297152268140993E-2</v>
      </c>
      <c r="F39" s="36">
        <f>Prices!F39/Prices!F38-1</f>
        <v>-5.2960321948577471E-3</v>
      </c>
      <c r="G39" s="36">
        <f>Prices!G39/Prices!G38-1</f>
        <v>1.2948399939032296E-3</v>
      </c>
    </row>
    <row r="40" spans="1:7" x14ac:dyDescent="0.3">
      <c r="A40" s="26">
        <f>Prices!A40</f>
        <v>45988</v>
      </c>
      <c r="B40" s="36">
        <f>Prices!B40/Prices!B39-1</f>
        <v>-1.291369499321815E-2</v>
      </c>
      <c r="C40" s="36">
        <f>Prices!C40/Prices!C39-1</f>
        <v>-2.7131830572379223E-2</v>
      </c>
      <c r="D40" s="36">
        <f>Prices!D40/Prices!D39-1</f>
        <v>1.3011467996110415E-2</v>
      </c>
      <c r="E40" s="36">
        <f>Prices!E40/Prices!E39-1</f>
        <v>1.6728088894869542E-2</v>
      </c>
      <c r="F40" s="36">
        <f>Prices!F40/Prices!F39-1</f>
        <v>-3.3881687848560382E-3</v>
      </c>
      <c r="G40" s="36">
        <f>Prices!G40/Prices!G39-1</f>
        <v>6.8842737029339851E-4</v>
      </c>
    </row>
    <row r="41" spans="1:7" x14ac:dyDescent="0.3">
      <c r="A41" s="26">
        <f>Prices!A41</f>
        <v>45989</v>
      </c>
      <c r="B41" s="36">
        <f>Prices!B41/Prices!B40-1</f>
        <v>0</v>
      </c>
      <c r="C41" s="36">
        <f>Prices!C41/Prices!C40-1</f>
        <v>5.9761538829710137E-3</v>
      </c>
      <c r="D41" s="36">
        <f>Prices!D41/Prices!D40-1</f>
        <v>2.752087396391989E-3</v>
      </c>
      <c r="E41" s="36">
        <f>Prices!E41/Prices!E40-1</f>
        <v>-1.7671502096407332E-2</v>
      </c>
      <c r="F41" s="36">
        <f>Prices!F41/Prices!F40-1</f>
        <v>-1.9426427021339565E-3</v>
      </c>
      <c r="G41" s="36">
        <f>Prices!G41/Prices!G40-1</f>
        <v>-3.3546340796568597E-3</v>
      </c>
    </row>
    <row r="42" spans="1:7" x14ac:dyDescent="0.3">
      <c r="A42" s="26">
        <f>Prices!A42</f>
        <v>45992</v>
      </c>
      <c r="B42" s="36">
        <f>Prices!B42/Prices!B41-1</f>
        <v>1.308264021870853E-2</v>
      </c>
      <c r="C42" s="36">
        <f>Prices!C42/Prices!C41-1</f>
        <v>2.2442314884933978E-2</v>
      </c>
      <c r="D42" s="36">
        <f>Prices!D42/Prices!D41-1</f>
        <v>1.0979086459474763E-2</v>
      </c>
      <c r="E42" s="36">
        <f>Prices!E42/Prices!E41-1</f>
        <v>-1.2405607436246635E-3</v>
      </c>
      <c r="F42" s="36">
        <f>Prices!F42/Prices!F41-1</f>
        <v>3.8928478166693203E-3</v>
      </c>
      <c r="G42" s="36">
        <f>Prices!G42/Prices!G41-1</f>
        <v>6.7431044392909367E-3</v>
      </c>
    </row>
    <row r="43" spans="1:7" x14ac:dyDescent="0.3">
      <c r="A43" s="26">
        <f>Prices!A43</f>
        <v>45993</v>
      </c>
      <c r="B43" s="36">
        <f>Prices!B43/Prices!B42-1</f>
        <v>-4.035499066407211E-3</v>
      </c>
      <c r="C43" s="36">
        <f>Prices!C43/Prices!C42-1</f>
        <v>1.3556833223031139E-2</v>
      </c>
      <c r="D43" s="36">
        <f>Prices!D43/Prices!D42-1</f>
        <v>4.5248613750430433E-3</v>
      </c>
      <c r="E43" s="36">
        <f>Prices!E43/Prices!E42-1</f>
        <v>3.7263049384994584E-3</v>
      </c>
      <c r="F43" s="36">
        <f>Prices!F43/Prices!F42-1</f>
        <v>-5.8166284755426512E-3</v>
      </c>
      <c r="G43" s="36">
        <f>Prices!G43/Prices!G42-1</f>
        <v>2.3735406351224064E-3</v>
      </c>
    </row>
    <row r="44" spans="1:7" x14ac:dyDescent="0.3">
      <c r="A44" s="26">
        <f>Prices!A44</f>
        <v>45994</v>
      </c>
      <c r="B44" s="36">
        <f>Prices!B44/Prices!B43-1</f>
        <v>-9.7244735234405244E-3</v>
      </c>
      <c r="C44" s="36">
        <f>Prices!C44/Prices!C43-1</f>
        <v>-2.1656124062643611E-2</v>
      </c>
      <c r="D44" s="36">
        <f>Prices!D44/Prices!D43-1</f>
        <v>1.8010435953543791E-3</v>
      </c>
      <c r="E44" s="36">
        <f>Prices!E44/Prices!E43-1</f>
        <v>-1.5469897666138821E-2</v>
      </c>
      <c r="F44" s="36">
        <f>Prices!F44/Prices!F43-1</f>
        <v>-1.4627027067902199E-2</v>
      </c>
      <c r="G44" s="36">
        <f>Prices!G44/Prices!G43-1</f>
        <v>-1.2811636296948703E-2</v>
      </c>
    </row>
    <row r="45" spans="1:7" x14ac:dyDescent="0.3">
      <c r="A45" s="26">
        <f>Prices!A45</f>
        <v>45995</v>
      </c>
      <c r="B45" s="36">
        <f>Prices!B45/Prices!B44-1</f>
        <v>1.6365232788151385E-3</v>
      </c>
      <c r="C45" s="36">
        <f>Prices!C45/Prices!C44-1</f>
        <v>5.2083129654469928E-3</v>
      </c>
      <c r="D45" s="36">
        <f>Prices!D45/Prices!D44-1</f>
        <v>2.6985753836905602E-3</v>
      </c>
      <c r="E45" s="36">
        <f>Prices!E45/Prices!E44-1</f>
        <v>-6.914430541460681E-3</v>
      </c>
      <c r="F45" s="36">
        <f>Prices!F45/Prices!F44-1</f>
        <v>5.4427793194338214E-3</v>
      </c>
      <c r="G45" s="36">
        <f>Prices!G45/Prices!G44-1</f>
        <v>6.7998809272895588E-3</v>
      </c>
    </row>
    <row r="46" spans="1:7" x14ac:dyDescent="0.3">
      <c r="A46" s="26">
        <f>Prices!A46</f>
        <v>45996</v>
      </c>
      <c r="B46" s="36">
        <f>Prices!B46/Prices!B45-1</f>
        <v>-3.2678641947778697E-3</v>
      </c>
      <c r="C46" s="36">
        <f>Prices!C46/Prices!C45-1</f>
        <v>3.8864815411578935E-3</v>
      </c>
      <c r="D46" s="36">
        <f>Prices!D46/Prices!D45-1</f>
        <v>-4.4842798853469423E-3</v>
      </c>
      <c r="E46" s="36">
        <f>Prices!E46/Prices!E45-1</f>
        <v>-8.8611025737788118E-3</v>
      </c>
      <c r="F46" s="36">
        <f>Prices!F46/Prices!F45-1</f>
        <v>2.4605055905200235E-3</v>
      </c>
      <c r="G46" s="36">
        <f>Prices!G46/Prices!G45-1</f>
        <v>5.7518612309290784E-3</v>
      </c>
    </row>
    <row r="47" spans="1:7" x14ac:dyDescent="0.3">
      <c r="A47" s="26">
        <f>Prices!A47</f>
        <v>45999</v>
      </c>
      <c r="B47" s="36">
        <f>Prices!B47/Prices!B46-1</f>
        <v>-8.196859968277237E-3</v>
      </c>
      <c r="C47" s="36">
        <f>Prices!C47/Prices!C46-1</f>
        <v>-1.0322535641554387E-2</v>
      </c>
      <c r="D47" s="36">
        <f>Prices!D47/Prices!D46-1</f>
        <v>-1.711739512614785E-2</v>
      </c>
      <c r="E47" s="36">
        <f>Prices!E47/Prices!E46-1</f>
        <v>-5.1080087401379481E-3</v>
      </c>
      <c r="F47" s="36">
        <f>Prices!F47/Prices!F46-1</f>
        <v>-6.8728103703297183E-3</v>
      </c>
      <c r="G47" s="36">
        <f>Prices!G47/Prices!G46-1</f>
        <v>-1.2256841795168505E-2</v>
      </c>
    </row>
    <row r="48" spans="1:7" x14ac:dyDescent="0.3">
      <c r="A48" s="26">
        <f>Prices!A48</f>
        <v>46000</v>
      </c>
      <c r="B48" s="36">
        <f>Prices!B48/Prices!B47-1</f>
        <v>-4.1320510614559769E-3</v>
      </c>
      <c r="C48" s="36">
        <f>Prices!C48/Prices!C47-1</f>
        <v>-1.6297271845046812E-2</v>
      </c>
      <c r="D48" s="36">
        <f>Prices!D48/Prices!D47-1</f>
        <v>3.6667221654020921E-3</v>
      </c>
      <c r="E48" s="36">
        <f>Prices!E48/Prices!E47-1</f>
        <v>-8.3444461102650802E-3</v>
      </c>
      <c r="F48" s="36">
        <f>Prices!F48/Prices!F47-1</f>
        <v>-8.4033463120137819E-3</v>
      </c>
      <c r="G48" s="36">
        <f>Prices!G48/Prices!G47-1</f>
        <v>-1.2851708949963236E-2</v>
      </c>
    </row>
    <row r="49" spans="1:7" x14ac:dyDescent="0.3">
      <c r="A49" s="26">
        <f>Prices!A49</f>
        <v>46001</v>
      </c>
      <c r="B49" s="36">
        <f>Prices!B49/Prices!B48-1</f>
        <v>8.2980556826073304E-4</v>
      </c>
      <c r="C49" s="36">
        <f>Prices!C49/Prices!C48-1</f>
        <v>1.5241732119956941E-2</v>
      </c>
      <c r="D49" s="36">
        <f>Prices!D49/Prices!D48-1</f>
        <v>2.0090451584893421E-2</v>
      </c>
      <c r="E49" s="36">
        <f>Prices!E49/Prices!E48-1</f>
        <v>3.2358983132216856E-3</v>
      </c>
      <c r="F49" s="36">
        <f>Prices!F49/Prices!F48-1</f>
        <v>3.9879377382769921E-3</v>
      </c>
      <c r="G49" s="36">
        <f>Prices!G49/Prices!G48-1</f>
        <v>4.1891890537044674E-3</v>
      </c>
    </row>
    <row r="50" spans="1:7" x14ac:dyDescent="0.3">
      <c r="A50" s="26">
        <f>Prices!A50</f>
        <v>46002</v>
      </c>
      <c r="B50" s="36">
        <f>Prices!B50/Prices!B49-1</f>
        <v>-2.4875204553131969E-3</v>
      </c>
      <c r="C50" s="36">
        <f>Prices!C50/Prices!C49-1</f>
        <v>-1.6971370654970452E-2</v>
      </c>
      <c r="D50" s="36">
        <f>Prices!D50/Prices!D49-1</f>
        <v>2.0591512308537174E-2</v>
      </c>
      <c r="E50" s="36">
        <f>Prices!E50/Prices!E49-1</f>
        <v>-2.5803688394024915E-3</v>
      </c>
      <c r="F50" s="36">
        <f>Prices!F50/Prices!F49-1</f>
        <v>-4.9652499245959048E-3</v>
      </c>
      <c r="G50" s="36">
        <f>Prices!G50/Prices!G49-1</f>
        <v>-4.0208248461703899E-4</v>
      </c>
    </row>
    <row r="51" spans="1:7" x14ac:dyDescent="0.3">
      <c r="A51" s="26">
        <f>Prices!A51</f>
        <v>46003</v>
      </c>
      <c r="B51" s="36">
        <f>Prices!B51/Prices!B50-1</f>
        <v>2.4106387662938378E-2</v>
      </c>
      <c r="C51" s="36">
        <f>Prices!C51/Prices!C50-1</f>
        <v>2.3240524572030408E-2</v>
      </c>
      <c r="D51" s="36">
        <f>Prices!D51/Prices!D50-1</f>
        <v>2.8947028176734335E-2</v>
      </c>
      <c r="E51" s="36">
        <f>Prices!E51/Prices!E50-1</f>
        <v>2.1992527788859073E-2</v>
      </c>
      <c r="F51" s="36">
        <f>Prices!F51/Prices!F50-1</f>
        <v>2.495142314951293E-3</v>
      </c>
      <c r="G51" s="36">
        <f>Prices!G51/Prices!G50-1</f>
        <v>1.7480234570169229E-2</v>
      </c>
    </row>
    <row r="52" spans="1:7" x14ac:dyDescent="0.3">
      <c r="A52" s="26">
        <f>Prices!A52</f>
        <v>46006</v>
      </c>
      <c r="B52" s="36">
        <f>Prices!B52/Prices!B51-1</f>
        <v>-2.1103924630694104E-2</v>
      </c>
      <c r="C52" s="36">
        <f>Prices!C52/Prices!C51-1</f>
        <v>-3.5691524505399586E-2</v>
      </c>
      <c r="D52" s="36">
        <f>Prices!D52/Prices!D51-1</f>
        <v>-9.3772620200093248E-3</v>
      </c>
      <c r="E52" s="36">
        <f>Prices!E52/Prices!E51-1</f>
        <v>2.0886421491772333E-2</v>
      </c>
      <c r="F52" s="36">
        <f>Prices!F52/Prices!F51-1</f>
        <v>4.9776068166682563E-3</v>
      </c>
      <c r="G52" s="36">
        <f>Prices!G52/Prices!G51-1</f>
        <v>-1.339304094361693E-2</v>
      </c>
    </row>
    <row r="53" spans="1:7" x14ac:dyDescent="0.3">
      <c r="A53" s="26">
        <f>Prices!A53</f>
        <v>46007</v>
      </c>
      <c r="B53" s="36">
        <f>Prices!B53/Prices!B52-1</f>
        <v>-1.0779534922425005E-2</v>
      </c>
      <c r="C53" s="36">
        <f>Prices!C53/Prices!C52-1</f>
        <v>-2.9609238890977441E-2</v>
      </c>
      <c r="D53" s="36">
        <f>Prices!D53/Prices!D52-1</f>
        <v>0</v>
      </c>
      <c r="E53" s="36">
        <f>Prices!E53/Prices!E52-1</f>
        <v>-1.0539499942202379E-2</v>
      </c>
      <c r="F53" s="36">
        <f>Prices!F53/Prices!F52-1</f>
        <v>-1.9316337319065346E-2</v>
      </c>
      <c r="G53" s="36">
        <f>Prices!G53/Prices!G52-1</f>
        <v>-1.5352628994424911E-2</v>
      </c>
    </row>
    <row r="54" spans="1:7" x14ac:dyDescent="0.3">
      <c r="A54" s="26">
        <f>Prices!A54</f>
        <v>46008</v>
      </c>
      <c r="B54" s="36">
        <f>Prices!B54/Prices!B53-1</f>
        <v>1.4249778929233958E-2</v>
      </c>
      <c r="C54" s="36">
        <f>Prices!C54/Prices!C53-1</f>
        <v>1.2482088109837308E-2</v>
      </c>
      <c r="D54" s="36">
        <f>Prices!D54/Prices!D53-1</f>
        <v>1.1187366957963407E-2</v>
      </c>
      <c r="E54" s="36">
        <f>Prices!E54/Prices!E53-1</f>
        <v>1.4410757293319643E-2</v>
      </c>
      <c r="F54" s="36">
        <f>Prices!F54/Prices!F53-1</f>
        <v>6.0604557287247118E-3</v>
      </c>
      <c r="G54" s="36">
        <f>Prices!G54/Prices!G53-1</f>
        <v>9.2476840340800504E-3</v>
      </c>
    </row>
    <row r="55" spans="1:7" x14ac:dyDescent="0.3">
      <c r="A55" s="26">
        <f>Prices!A55</f>
        <v>46009</v>
      </c>
      <c r="B55" s="36">
        <f>Prices!B55/Prices!B54-1</f>
        <v>0</v>
      </c>
      <c r="C55" s="36">
        <f>Prices!C55/Prices!C54-1</f>
        <v>-1.3013220988190133E-2</v>
      </c>
      <c r="D55" s="36">
        <f>Prices!D55/Prices!D54-1</f>
        <v>1.0212888504515405E-2</v>
      </c>
      <c r="E55" s="36">
        <f>Prices!E55/Prices!E54-1</f>
        <v>4.9420558192865283E-3</v>
      </c>
      <c r="F55" s="36">
        <f>Prices!F55/Prices!F54-1</f>
        <v>8.5341207815690101E-3</v>
      </c>
      <c r="G55" s="36">
        <f>Prices!G55/Prices!G54-1</f>
        <v>1.1524541343055361E-3</v>
      </c>
    </row>
    <row r="56" spans="1:7" x14ac:dyDescent="0.3">
      <c r="A56" s="26">
        <f>Prices!A56</f>
        <v>46010</v>
      </c>
      <c r="B56" s="36">
        <f>Prices!B56/Prices!B55-1</f>
        <v>1.4876119567454937E-2</v>
      </c>
      <c r="C56" s="36">
        <f>Prices!C56/Prices!C55-1</f>
        <v>8.3271675055665018E-3</v>
      </c>
      <c r="D56" s="36">
        <f>Prices!D56/Prices!D55-1</f>
        <v>5.0543827094640115E-3</v>
      </c>
      <c r="E56" s="36">
        <f>Prices!E56/Prices!E55-1</f>
        <v>1.4136175764612791E-2</v>
      </c>
      <c r="F56" s="36">
        <f>Prices!F56/Prices!F55-1</f>
        <v>1.2941829190088239E-2</v>
      </c>
      <c r="G56" s="36">
        <f>Prices!G56/Prices!G55-1</f>
        <v>7.5455883709498739E-3</v>
      </c>
    </row>
    <row r="57" spans="1:7" x14ac:dyDescent="0.3">
      <c r="A57" s="26">
        <f>Prices!A57</f>
        <v>46013</v>
      </c>
      <c r="B57" s="36">
        <f>Prices!B57/Prices!B56-1</f>
        <v>8.1442844933832248E-4</v>
      </c>
      <c r="C57" s="36">
        <f>Prices!C57/Prices!C56-1</f>
        <v>7.5707727383280687E-3</v>
      </c>
      <c r="D57" s="36">
        <f>Prices!D57/Prices!D56-1</f>
        <v>1.6764374746594202E-2</v>
      </c>
      <c r="E57" s="36">
        <f>Prices!E57/Prices!E56-1</f>
        <v>1.8179853890600839E-3</v>
      </c>
      <c r="F57" s="36">
        <f>Prices!F57/Prices!F56-1</f>
        <v>0</v>
      </c>
      <c r="G57" s="36">
        <f>Prices!G57/Prices!G56-1</f>
        <v>4.330008101467886E-3</v>
      </c>
    </row>
    <row r="58" spans="1:7" x14ac:dyDescent="0.3">
      <c r="A58" s="26">
        <f>Prices!A58</f>
        <v>46014</v>
      </c>
      <c r="B58" s="36">
        <f>Prices!B58/Prices!B57-1</f>
        <v>-2.034183756624286E-2</v>
      </c>
      <c r="C58" s="36">
        <f>Prices!C58/Prices!C57-1</f>
        <v>5.4644584537724139E-3</v>
      </c>
      <c r="D58" s="36">
        <f>Prices!D58/Prices!D57-1</f>
        <v>8.2439821668476299E-3</v>
      </c>
      <c r="E58" s="36">
        <f>Prices!E58/Prices!E57-1</f>
        <v>0</v>
      </c>
      <c r="F58" s="36">
        <f>Prices!F58/Prices!F57-1</f>
        <v>1.4742285641120567E-3</v>
      </c>
      <c r="G58" s="36">
        <f>Prices!G58/Prices!G57-1</f>
        <v>-1.0708141548199102E-3</v>
      </c>
    </row>
    <row r="59" spans="1:7" x14ac:dyDescent="0.3">
      <c r="A59" s="26">
        <f>Prices!A59</f>
        <v>46015</v>
      </c>
      <c r="B59" s="36">
        <f>Prices!B59/Prices!B58-1</f>
        <v>8.3066290529676401E-4</v>
      </c>
      <c r="C59" s="36">
        <f>Prices!C59/Prices!C58-1</f>
        <v>-7.4730506342026715E-3</v>
      </c>
      <c r="D59" s="36">
        <f>Prices!D59/Prices!D58-1</f>
        <v>1.3083028642624006E-2</v>
      </c>
      <c r="E59" s="36">
        <f>Prices!E59/Prices!E58-1</f>
        <v>8.4697756804763547E-3</v>
      </c>
      <c r="F59" s="36">
        <f>Prices!F59/Prices!F58-1</f>
        <v>7.8506399763171864E-3</v>
      </c>
      <c r="G59" s="36">
        <f>Prices!G59/Prices!G58-1</f>
        <v>1.7377533821631985E-3</v>
      </c>
    </row>
    <row r="60" spans="1:7" x14ac:dyDescent="0.3">
      <c r="A60" s="26">
        <f>Prices!A60</f>
        <v>46020</v>
      </c>
      <c r="B60" s="36">
        <f>Prices!B60/Prices!B59-1</f>
        <v>-9.9586742722662658E-3</v>
      </c>
      <c r="C60" s="36">
        <f>Prices!C60/Prices!C59-1</f>
        <v>-1.916453902458759E-2</v>
      </c>
      <c r="D60" s="36">
        <f>Prices!D60/Prices!D59-1</f>
        <v>-1.6141963492086076E-2</v>
      </c>
      <c r="E60" s="36">
        <f>Prices!E60/Prices!E59-1</f>
        <v>-1.3798206454404327E-2</v>
      </c>
      <c r="F60" s="36">
        <f>Prices!F60/Prices!F59-1</f>
        <v>-6.3288956813246644E-3</v>
      </c>
      <c r="G60" s="36">
        <f>Prices!G60/Prices!G59-1</f>
        <v>-7.1149037599339549E-3</v>
      </c>
    </row>
    <row r="61" spans="1:7" x14ac:dyDescent="0.3">
      <c r="A61" s="26">
        <f>Prices!A61</f>
        <v>46021</v>
      </c>
      <c r="B61" s="36">
        <f>Prices!B61/Prices!B60-1</f>
        <v>5.8677455801960932E-3</v>
      </c>
      <c r="C61" s="36">
        <f>Prices!C61/Prices!C60-1</f>
        <v>8.3736553317954598E-3</v>
      </c>
      <c r="D61" s="36">
        <f>Prices!D61/Prices!D60-1</f>
        <v>9.0234002133873226E-3</v>
      </c>
      <c r="E61" s="36">
        <f>Prices!E61/Prices!E60-1</f>
        <v>-6.6902803985253723E-3</v>
      </c>
      <c r="F61" s="36">
        <f>Prices!F61/Prices!F60-1</f>
        <v>9.7976089578710734E-4</v>
      </c>
      <c r="G61" s="36">
        <f>Prices!G61/Prices!G60-1</f>
        <v>8.5573289461937652E-3</v>
      </c>
    </row>
    <row r="62" spans="1:7" x14ac:dyDescent="0.3">
      <c r="A62" s="26">
        <f>Prices!A62</f>
        <v>46022</v>
      </c>
      <c r="B62" s="36">
        <f>Prices!B62/Prices!B61-1</f>
        <v>-1.666863376553307E-3</v>
      </c>
      <c r="C62" s="36">
        <f>Prices!C62/Prices!C61-1</f>
        <v>-1.1764746636367285E-2</v>
      </c>
      <c r="D62" s="36">
        <f>Prices!D62/Prices!D61-1</f>
        <v>-6.50386333026165E-3</v>
      </c>
      <c r="E62" s="36">
        <f>Prices!E62/Prices!E61-1</f>
        <v>-1.8983927025433056E-2</v>
      </c>
      <c r="F62" s="36">
        <f>Prices!F62/Prices!F61-1</f>
        <v>-1.9578568590783441E-3</v>
      </c>
      <c r="G62" s="36">
        <f>Prices!G62/Prices!G61-1</f>
        <v>-8.6661755922144978E-3</v>
      </c>
    </row>
    <row r="63" spans="1:7" x14ac:dyDescent="0.3">
      <c r="A63" s="26">
        <f>Prices!A63</f>
        <v>46024</v>
      </c>
      <c r="B63" s="36">
        <f>Prices!B63/Prices!B62-1</f>
        <v>4.0066954747953742E-2</v>
      </c>
      <c r="C63" s="36">
        <f>Prices!C63/Prices!C62-1</f>
        <v>4.3417725334916613E-2</v>
      </c>
      <c r="D63" s="36">
        <f>Prices!D63/Prices!D62-1</f>
        <v>1.7185361863480297E-2</v>
      </c>
      <c r="E63" s="36">
        <f>Prices!E63/Prices!E62-1</f>
        <v>3.9950886347939418E-2</v>
      </c>
      <c r="F63" s="36">
        <f>Prices!F63/Prices!F62-1</f>
        <v>1.9617482916598261E-2</v>
      </c>
      <c r="G63" s="36">
        <f>Prices!G63/Prices!G62-1</f>
        <v>2.7620628549323012E-2</v>
      </c>
    </row>
    <row r="64" spans="1:7" x14ac:dyDescent="0.3">
      <c r="A64" s="26">
        <f>Prices!A64</f>
        <v>46027</v>
      </c>
      <c r="B64" s="36">
        <f>Prices!B64/Prices!B63-1</f>
        <v>2.4076641241157493E-3</v>
      </c>
      <c r="C64" s="36">
        <f>Prices!C64/Prices!C63-1</f>
        <v>2.5503080633999309E-2</v>
      </c>
      <c r="D64" s="36">
        <f>Prices!D64/Prices!D63-1</f>
        <v>4.8266699401176005E-3</v>
      </c>
      <c r="E64" s="36">
        <f>Prices!E64/Prices!E63-1</f>
        <v>7.2021015968593005E-3</v>
      </c>
      <c r="F64" s="36">
        <f>Prices!F64/Prices!F63-1</f>
        <v>1.0582122417413853E-2</v>
      </c>
      <c r="G64" s="36">
        <f>Prices!G64/Prices!G63-1</f>
        <v>3.329540313818935E-4</v>
      </c>
    </row>
    <row r="65" spans="1:7" x14ac:dyDescent="0.3">
      <c r="A65" s="26">
        <f>Prices!A65</f>
        <v>46028</v>
      </c>
      <c r="B65" s="36">
        <f>Prices!B65/Prices!B64-1</f>
        <v>1.2810141067389536E-2</v>
      </c>
      <c r="C65" s="36">
        <f>Prices!C65/Prices!C64-1</f>
        <v>-1.3088626188914709E-2</v>
      </c>
      <c r="D65" s="36">
        <f>Prices!D65/Prices!D64-1</f>
        <v>3.1225146327619191E-2</v>
      </c>
      <c r="E65" s="36">
        <f>Prices!E65/Prices!E64-1</f>
        <v>2.5626654553624562E-2</v>
      </c>
      <c r="F65" s="36">
        <f>Prices!F65/Prices!F64-1</f>
        <v>2.9033750332188246E-2</v>
      </c>
      <c r="G65" s="36">
        <f>Prices!G65/Prices!G64-1</f>
        <v>1.3785466608377428E-2</v>
      </c>
    </row>
    <row r="66" spans="1:7" x14ac:dyDescent="0.3">
      <c r="A66" s="26">
        <f>Prices!A66</f>
        <v>46029</v>
      </c>
      <c r="B66" s="36">
        <f>Prices!B66/Prices!B65-1</f>
        <v>-1.2648116905592199E-2</v>
      </c>
      <c r="C66" s="36">
        <f>Prices!C66/Prices!C65-1</f>
        <v>-3.2493311469750541E-2</v>
      </c>
      <c r="D66" s="36">
        <f>Prices!D66/Prices!D65-1</f>
        <v>-1.242277570664363E-2</v>
      </c>
      <c r="E66" s="36">
        <f>Prices!E66/Prices!E65-1</f>
        <v>-1.1631797070977834E-3</v>
      </c>
      <c r="F66" s="36">
        <f>Prices!F66/Prices!F65-1</f>
        <v>-5.0880545735579874E-3</v>
      </c>
      <c r="G66" s="36">
        <f>Prices!G66/Prices!G65-1</f>
        <v>-9.4157907310671307E-3</v>
      </c>
    </row>
    <row r="67" spans="1:7" x14ac:dyDescent="0.3">
      <c r="A67" s="26">
        <f>Prices!A67</f>
        <v>46030</v>
      </c>
      <c r="B67" s="36">
        <f>Prices!B67/Prices!B66-1</f>
        <v>-1.3610876130189853E-2</v>
      </c>
      <c r="C67" s="36">
        <f>Prices!C67/Prices!C66-1</f>
        <v>-2.2618218497082121E-2</v>
      </c>
      <c r="D67" s="36">
        <f>Prices!D67/Prices!D66-1</f>
        <v>-2.2798137175619515E-2</v>
      </c>
      <c r="E67" s="36">
        <f>Prices!E67/Prices!E66-1</f>
        <v>-2.4432572631418292E-2</v>
      </c>
      <c r="F67" s="36">
        <f>Prices!F67/Prices!F66-1</f>
        <v>-1.1622395794527618E-2</v>
      </c>
      <c r="G67" s="36">
        <f>Prices!G67/Prices!G66-1</f>
        <v>-1.1702607600153625E-2</v>
      </c>
    </row>
    <row r="68" spans="1:7" x14ac:dyDescent="0.3">
      <c r="A68" s="26">
        <f>Prices!A68</f>
        <v>46031</v>
      </c>
      <c r="B68" s="36">
        <f>Prices!B68/Prices!B67-1</f>
        <v>-8.1168561897186908E-3</v>
      </c>
      <c r="C68" s="36">
        <f>Prices!C68/Prices!C67-1</f>
        <v>2.734902085225932E-2</v>
      </c>
      <c r="D68" s="36">
        <f>Prices!D68/Prices!D67-1</f>
        <v>4.0225033047658343E-3</v>
      </c>
      <c r="E68" s="36">
        <f>Prices!E68/Prices!E67-1</f>
        <v>5.367371075575722E-3</v>
      </c>
      <c r="F68" s="36">
        <f>Prices!F68/Prices!F67-1</f>
        <v>3.7628422127964356E-3</v>
      </c>
      <c r="G68" s="36">
        <f>Prices!G68/Prices!G67-1</f>
        <v>3.1541405269559508E-3</v>
      </c>
    </row>
    <row r="69" spans="1:7" x14ac:dyDescent="0.3">
      <c r="A69" s="26">
        <f>Prices!A69</f>
        <v>46034</v>
      </c>
      <c r="B69" s="36">
        <f>Prices!B69/Prices!B68-1</f>
        <v>1.9639935075525417E-2</v>
      </c>
      <c r="C69" s="36">
        <f>Prices!C69/Prices!C68-1</f>
        <v>5.324261048902601E-2</v>
      </c>
      <c r="D69" s="36">
        <f>Prices!D69/Prices!D68-1</f>
        <v>-5.6091089800637262E-3</v>
      </c>
      <c r="E69" s="36">
        <f>Prices!E69/Prices!E68-1</f>
        <v>-7.1178831801881337E-3</v>
      </c>
      <c r="F69" s="36">
        <f>Prices!F69/Prices!F68-1</f>
        <v>-1.4055944208416493E-3</v>
      </c>
      <c r="G69" s="36">
        <f>Prices!G69/Prices!G68-1</f>
        <v>1.4360110877835508E-2</v>
      </c>
    </row>
    <row r="70" spans="1:7" x14ac:dyDescent="0.3">
      <c r="A70" s="26">
        <f>Prices!A70</f>
        <v>46035</v>
      </c>
      <c r="B70" s="36">
        <f>Prices!B70/Prices!B69-1</f>
        <v>7.2231547561147913E-3</v>
      </c>
      <c r="C70" s="36">
        <f>Prices!C70/Prices!C69-1</f>
        <v>3.6292773950849622E-2</v>
      </c>
      <c r="D70" s="36">
        <f>Prices!D70/Prices!D69-1</f>
        <v>1.8533171181328578E-2</v>
      </c>
      <c r="E70" s="36">
        <f>Prices!E70/Prices!E69-1</f>
        <v>8.3635250917992732E-3</v>
      </c>
      <c r="F70" s="36">
        <f>Prices!F70/Prices!F69-1</f>
        <v>1.3139287853509485E-2</v>
      </c>
      <c r="G70" s="36">
        <f>Prices!G70/Prices!G69-1</f>
        <v>9.0193124706989813E-3</v>
      </c>
    </row>
    <row r="71" spans="1:7" x14ac:dyDescent="0.3">
      <c r="A71" s="26">
        <f>Prices!A71</f>
        <v>46036</v>
      </c>
      <c r="B71" s="36">
        <f>Prices!B71/Prices!B70-1</f>
        <v>8.7648460767213443E-3</v>
      </c>
      <c r="C71" s="36">
        <f>Prices!C71/Prices!C70-1</f>
        <v>5.6910558925324706E-2</v>
      </c>
      <c r="D71" s="36">
        <f>Prices!D71/Prices!D70-1</f>
        <v>4.7464820192093526E-3</v>
      </c>
      <c r="E71" s="36">
        <f>Prices!E71/Prices!E70-1</f>
        <v>3.5541183710776636E-3</v>
      </c>
      <c r="F71" s="36">
        <f>Prices!F71/Prices!F70-1</f>
        <v>6.9475490457835409E-3</v>
      </c>
      <c r="G71" s="36">
        <f>Prices!G71/Prices!G70-1</f>
        <v>5.636812677006553E-3</v>
      </c>
    </row>
    <row r="72" spans="1:7" x14ac:dyDescent="0.3">
      <c r="A72" s="26">
        <f>Prices!A72</f>
        <v>46037</v>
      </c>
      <c r="B72" s="36">
        <f>Prices!B72/Prices!B71-1</f>
        <v>-1.7377541892816373E-2</v>
      </c>
      <c r="C72" s="36">
        <f>Prices!C72/Prices!C71-1</f>
        <v>-2.6035687332430446E-2</v>
      </c>
      <c r="D72" s="36">
        <f>Prices!D72/Prices!D71-1</f>
        <v>9.4489360241400977E-3</v>
      </c>
      <c r="E72" s="36">
        <f>Prices!E72/Prices!E71-1</f>
        <v>1.7707656747234513E-3</v>
      </c>
      <c r="F72" s="36">
        <f>Prices!F72/Prices!F71-1</f>
        <v>8.7397325620910404E-3</v>
      </c>
      <c r="G72" s="36">
        <f>Prices!G72/Prices!G71-1</f>
        <v>-2.8219235094261164E-3</v>
      </c>
    </row>
    <row r="73" spans="1:7" x14ac:dyDescent="0.3">
      <c r="A73" s="26">
        <f>Prices!A73</f>
        <v>46038</v>
      </c>
      <c r="B73" s="36">
        <f>Prices!B73/Prices!B72-1</f>
        <v>-7.234767741542969E-3</v>
      </c>
      <c r="C73" s="36">
        <f>Prices!C73/Prices!C72-1</f>
        <v>9.7204947222129245E-3</v>
      </c>
      <c r="D73" s="36">
        <f>Prices!D73/Prices!D72-1</f>
        <v>2.3399199245395241E-3</v>
      </c>
      <c r="E73" s="36">
        <f>Prices!E73/Prices!E72-1</f>
        <v>-1.5320715989012634E-2</v>
      </c>
      <c r="F73" s="36">
        <f>Prices!F73/Prices!F72-1</f>
        <v>-4.5616189857655698E-4</v>
      </c>
      <c r="G73" s="36">
        <f>Prices!G73/Prices!G72-1</f>
        <v>-2.9215314519139834E-3</v>
      </c>
    </row>
    <row r="74" spans="1:7" x14ac:dyDescent="0.3">
      <c r="A74" s="26">
        <f>Prices!A74</f>
        <v>46041</v>
      </c>
      <c r="B74" s="36">
        <f>Prices!B74/Prices!B73-1</f>
        <v>-1.2145709191066056E-2</v>
      </c>
      <c r="C74" s="36">
        <f>Prices!C74/Prices!C73-1</f>
        <v>-3.4897722296412859E-2</v>
      </c>
      <c r="D74" s="36">
        <f>Prices!D74/Prices!D73-1</f>
        <v>-1.1673095175589121E-2</v>
      </c>
      <c r="E74" s="36">
        <f>Prices!E74/Prices!E73-1</f>
        <v>-7.1817798355928719E-3</v>
      </c>
      <c r="F74" s="36">
        <f>Prices!F74/Prices!F73-1</f>
        <v>-1.5054552144113886E-2</v>
      </c>
      <c r="G74" s="36">
        <f>Prices!G74/Prices!G73-1</f>
        <v>-1.0469767530933538E-2</v>
      </c>
    </row>
    <row r="75" spans="1:7" x14ac:dyDescent="0.3">
      <c r="A75" s="26">
        <f>Prices!A75</f>
        <v>46042</v>
      </c>
      <c r="B75" s="36">
        <f>Prices!B75/Prices!B74-1</f>
        <v>-1.4754182098488999E-2</v>
      </c>
      <c r="C75" s="36">
        <f>Prices!C75/Prices!C74-1</f>
        <v>-4.363994053184439E-3</v>
      </c>
      <c r="D75" s="36">
        <f>Prices!D75/Prices!D74-1</f>
        <v>1.1023894913381405E-2</v>
      </c>
      <c r="E75" s="36">
        <f>Prices!E75/Prices!E74-1</f>
        <v>-1.2054159734907754E-3</v>
      </c>
      <c r="F75" s="36">
        <f>Prices!F75/Prices!F74-1</f>
        <v>-1.1116222146288268E-2</v>
      </c>
      <c r="G75" s="36">
        <f>Prices!G75/Prices!G74-1</f>
        <v>-2.8757298005830378E-3</v>
      </c>
    </row>
    <row r="76" spans="1:7" x14ac:dyDescent="0.3">
      <c r="A76" s="26">
        <f>Prices!A76</f>
        <v>46043</v>
      </c>
      <c r="B76" s="36">
        <f>Prices!B76/Prices!B75-1</f>
        <v>2.4959668622861475E-3</v>
      </c>
      <c r="C76" s="36">
        <f>Prices!C76/Prices!C75-1</f>
        <v>2.1916236733721561E-2</v>
      </c>
      <c r="D76" s="36">
        <f>Prices!D76/Prices!D75-1</f>
        <v>-1.5577860198607851E-3</v>
      </c>
      <c r="E76" s="36">
        <f>Prices!E76/Prices!E75-1</f>
        <v>0</v>
      </c>
      <c r="F76" s="36">
        <f>Prices!F76/Prices!F75-1</f>
        <v>9.3662388255300044E-4</v>
      </c>
      <c r="G76" s="36">
        <f>Prices!G76/Prices!G75-1</f>
        <v>3.6828943429025873E-3</v>
      </c>
    </row>
    <row r="77" spans="1:7" x14ac:dyDescent="0.3">
      <c r="A77" s="26">
        <f>Prices!A77</f>
        <v>46044</v>
      </c>
      <c r="B77" s="36">
        <f>Prices!B77/Prices!B76-1</f>
        <v>-8.2988952268885363E-3</v>
      </c>
      <c r="C77" s="36">
        <f>Prices!C77/Prices!C76-1</f>
        <v>9.8038794703132481E-3</v>
      </c>
      <c r="D77" s="36">
        <f>Prices!D77/Prices!D76-1</f>
        <v>1.1700409283571522E-2</v>
      </c>
      <c r="E77" s="36">
        <f>Prices!E77/Prices!E76-1</f>
        <v>-4.2240476417176875E-3</v>
      </c>
      <c r="F77" s="36">
        <f>Prices!F77/Prices!F76-1</f>
        <v>-2.339610518110935E-3</v>
      </c>
      <c r="G77" s="36">
        <f>Prices!G77/Prices!G76-1</f>
        <v>1.6889335271590422E-3</v>
      </c>
    </row>
    <row r="78" spans="1:7" x14ac:dyDescent="0.3">
      <c r="A78" s="26">
        <f>Prices!A78</f>
        <v>46045</v>
      </c>
      <c r="B78" s="36">
        <f>Prices!B78/Prices!B77-1</f>
        <v>-4.1840869583031903E-3</v>
      </c>
      <c r="C78" s="36">
        <f>Prices!C78/Prices!C77-1</f>
        <v>2.2451133035629178E-2</v>
      </c>
      <c r="D78" s="36">
        <f>Prices!D78/Prices!D77-1</f>
        <v>2.3136588301577721E-3</v>
      </c>
      <c r="E78" s="36">
        <f>Prices!E78/Prices!E77-1</f>
        <v>6.6659464265534929E-3</v>
      </c>
      <c r="F78" s="36">
        <f>Prices!F78/Prices!F77-1</f>
        <v>-1.0319057848558244E-2</v>
      </c>
      <c r="G78" s="36">
        <f>Prices!G78/Prices!G77-1</f>
        <v>4.489263069102023E-3</v>
      </c>
    </row>
    <row r="79" spans="1:7" x14ac:dyDescent="0.3">
      <c r="A79" s="26">
        <f>Prices!A79</f>
        <v>46048</v>
      </c>
      <c r="B79" s="36">
        <f>Prices!B79/Prices!B78-1</f>
        <v>7.5630687880163805E-3</v>
      </c>
      <c r="C79" s="36">
        <f>Prices!C79/Prices!C78-1</f>
        <v>-1.9584566912105084E-2</v>
      </c>
      <c r="D79" s="36">
        <f>Prices!D79/Prices!D78-1</f>
        <v>7.6922646988606402E-3</v>
      </c>
      <c r="E79" s="36">
        <f>Prices!E79/Prices!E78-1</f>
        <v>0</v>
      </c>
      <c r="F79" s="36">
        <f>Prices!F79/Prices!F78-1</f>
        <v>2.3697936574207379E-3</v>
      </c>
      <c r="G79" s="36">
        <f>Prices!G79/Prices!G78-1</f>
        <v>5.9850442567732642E-4</v>
      </c>
    </row>
    <row r="80" spans="1:7" x14ac:dyDescent="0.3">
      <c r="A80" s="26">
        <f>Prices!A80</f>
        <v>46049</v>
      </c>
      <c r="B80" s="36">
        <f>Prices!B80/Prices!B79-1</f>
        <v>1.2510384398672025E-2</v>
      </c>
      <c r="C80" s="36">
        <f>Prices!C80/Prices!C79-1</f>
        <v>2.8450781384457446E-2</v>
      </c>
      <c r="D80" s="36">
        <f>Prices!D80/Prices!D79-1</f>
        <v>2.6717409063428788E-2</v>
      </c>
      <c r="E80" s="36">
        <f>Prices!E80/Prices!E79-1</f>
        <v>4.093973391886796E-2</v>
      </c>
      <c r="F80" s="36">
        <f>Prices!F80/Prices!F79-1</f>
        <v>1.7493840197113864E-2</v>
      </c>
      <c r="G80" s="36">
        <f>Prices!G80/Prices!G79-1</f>
        <v>1.3503556319913734E-2</v>
      </c>
    </row>
    <row r="81" spans="1:7" x14ac:dyDescent="0.3">
      <c r="A81" s="26">
        <f>Prices!A81</f>
        <v>46050</v>
      </c>
      <c r="B81" s="36">
        <f>Prices!B81/Prices!B80-1</f>
        <v>2.3064309169874564E-2</v>
      </c>
      <c r="C81" s="36">
        <f>Prices!C81/Prices!C80-1</f>
        <v>2.1188547966644267E-2</v>
      </c>
      <c r="D81" s="36">
        <f>Prices!D81/Prices!D80-1</f>
        <v>2.23047122196669E-2</v>
      </c>
      <c r="E81" s="36">
        <f>Prices!E81/Prices!E80-1</f>
        <v>2.7761088259308897E-2</v>
      </c>
      <c r="F81" s="36">
        <f>Prices!F81/Prices!F80-1</f>
        <v>2.044631634782812E-2</v>
      </c>
      <c r="G81" s="36">
        <f>Prices!G81/Prices!G80-1</f>
        <v>2.5803159612213245E-2</v>
      </c>
    </row>
    <row r="82" spans="1:7" x14ac:dyDescent="0.3">
      <c r="A82" s="26">
        <f>Prices!A82</f>
        <v>46051</v>
      </c>
      <c r="B82" s="36">
        <f>Prices!B82/Prices!B81-1</f>
        <v>1.610333240422035E-3</v>
      </c>
      <c r="C82" s="36">
        <f>Prices!C82/Prices!C81-1</f>
        <v>-1.1523004174709417E-3</v>
      </c>
      <c r="D82" s="36">
        <f>Prices!D82/Prices!D81-1</f>
        <v>7.2696692489215842E-4</v>
      </c>
      <c r="E82" s="36">
        <f>Prices!E82/Prices!E81-1</f>
        <v>2.3636265103445409E-2</v>
      </c>
      <c r="F82" s="36">
        <f>Prices!F82/Prices!F81-1</f>
        <v>1.1384230309074317E-2</v>
      </c>
      <c r="G82" s="36">
        <f>Prices!G82/Prices!G81-1</f>
        <v>5.07349177416061E-3</v>
      </c>
    </row>
    <row r="83" spans="1:7" x14ac:dyDescent="0.3">
      <c r="A83" s="26">
        <f>Prices!A83</f>
        <v>46052</v>
      </c>
      <c r="B83" s="36">
        <f>Prices!B83/Prices!B82-1</f>
        <v>-2.5723419848460494E-2</v>
      </c>
      <c r="C83" s="36">
        <f>Prices!C83/Prices!C82-1</f>
        <v>-2.365894152593373E-2</v>
      </c>
      <c r="D83" s="36">
        <f>Prices!D83/Prices!D82-1</f>
        <v>-7.2674056779907792E-3</v>
      </c>
      <c r="E83" s="36">
        <f>Prices!E83/Prices!E82-1</f>
        <v>-6.5974443773597624E-3</v>
      </c>
      <c r="F83" s="36">
        <f>Prices!F83/Prices!F82-1</f>
        <v>-2.7014891499799187E-2</v>
      </c>
      <c r="G83" s="36">
        <f>Prices!G83/Prices!G82-1</f>
        <v>-2.0772973919727655E-2</v>
      </c>
    </row>
    <row r="84" spans="1:7" x14ac:dyDescent="0.3">
      <c r="A84" s="26">
        <f>Prices!A84</f>
        <v>46055</v>
      </c>
      <c r="B84" s="36">
        <f>Prices!B84/Prices!B83-1</f>
        <v>-1.2376362828074861E-2</v>
      </c>
      <c r="C84" s="36">
        <f>Prices!C84/Prices!C83-1</f>
        <v>-3.4869472452270678E-2</v>
      </c>
      <c r="D84" s="36">
        <f>Prices!D84/Prices!D83-1</f>
        <v>-1.3908698331548841E-2</v>
      </c>
      <c r="E84" s="36">
        <f>Prices!E84/Prices!E83-1</f>
        <v>-1.4388073172916571E-2</v>
      </c>
      <c r="F84" s="36">
        <f>Prices!F84/Prices!F83-1</f>
        <v>-1.8509733333620493E-2</v>
      </c>
      <c r="G84" s="36">
        <f>Prices!G84/Prices!G83-1</f>
        <v>-2.2329450365433656E-2</v>
      </c>
    </row>
    <row r="85" spans="1:7" x14ac:dyDescent="0.3">
      <c r="A85" s="26">
        <f>Prices!A85</f>
        <v>46056</v>
      </c>
      <c r="B85" s="36">
        <f>Prices!B85/Prices!B84-1</f>
        <v>-2.9239671187233696E-2</v>
      </c>
      <c r="C85" s="36">
        <f>Prices!C85/Prices!C84-1</f>
        <v>-1.4084981945474584E-2</v>
      </c>
      <c r="D85" s="36">
        <f>Prices!D85/Prices!D84-1</f>
        <v>3.1180382012272467E-2</v>
      </c>
      <c r="E85" s="36">
        <f>Prices!E85/Prices!E84-1</f>
        <v>4.4913727448223639E-3</v>
      </c>
      <c r="F85" s="36">
        <f>Prices!F85/Prices!F84-1</f>
        <v>-5.1864089663109514E-3</v>
      </c>
      <c r="G85" s="36">
        <f>Prices!G85/Prices!G84-1</f>
        <v>2.2109407693922112E-3</v>
      </c>
    </row>
    <row r="86" spans="1:7" x14ac:dyDescent="0.3">
      <c r="A86" s="26">
        <f>Prices!A86</f>
        <v>46057</v>
      </c>
      <c r="B86" s="36">
        <f>Prices!B86/Prices!B85-1</f>
        <v>-3.9586891233427068E-2</v>
      </c>
      <c r="C86" s="36">
        <f>Prices!C86/Prices!C85-1</f>
        <v>-9.3166562512631002E-3</v>
      </c>
      <c r="D86" s="36">
        <f>Prices!D86/Prices!D85-1</f>
        <v>7.1963950768583196E-4</v>
      </c>
      <c r="E86" s="36">
        <f>Prices!E86/Prices!E85-1</f>
        <v>1.397392816157117E-2</v>
      </c>
      <c r="F86" s="36">
        <f>Prices!F86/Prices!F85-1</f>
        <v>-4.2652365579383122E-3</v>
      </c>
      <c r="G86" s="36">
        <f>Prices!G86/Prices!G85-1</f>
        <v>4.6770664454554023E-4</v>
      </c>
    </row>
    <row r="87" spans="1:7" x14ac:dyDescent="0.3">
      <c r="A87" s="26">
        <f>Prices!A87</f>
        <v>46058</v>
      </c>
      <c r="B87" s="36">
        <f>Prices!B87/Prices!B86-1</f>
        <v>8.9598180623906565E-4</v>
      </c>
      <c r="C87" s="36">
        <f>Prices!C87/Prices!C86-1</f>
        <v>6.2703519682250075E-4</v>
      </c>
      <c r="D87" s="36">
        <f>Prices!D87/Prices!D86-1</f>
        <v>-3.5971034990549544E-3</v>
      </c>
      <c r="E87" s="36">
        <f>Prices!E87/Prices!E86-1</f>
        <v>-2.5357862123260744E-2</v>
      </c>
      <c r="F87" s="36">
        <f>Prices!F87/Prices!F86-1</f>
        <v>-1.3803039399994166E-2</v>
      </c>
      <c r="G87" s="36">
        <f>Prices!G87/Prices!G86-1</f>
        <v>1.4124277423694931E-3</v>
      </c>
    </row>
    <row r="88" spans="1:7" x14ac:dyDescent="0.3">
      <c r="A88" s="26">
        <f>Prices!A88</f>
        <v>46059</v>
      </c>
      <c r="B88" s="36">
        <f>Prices!B88/Prices!B87-1</f>
        <v>-1.9695584546755907E-2</v>
      </c>
      <c r="C88" s="36">
        <f>Prices!C88/Prices!C87-1</f>
        <v>-2.8821780805677544E-2</v>
      </c>
      <c r="D88" s="36">
        <f>Prices!D88/Prices!D87-1</f>
        <v>-2.6714811184157417E-2</v>
      </c>
      <c r="E88" s="36">
        <f>Prices!E88/Prices!E87-1</f>
        <v>-5.54296846479857E-2</v>
      </c>
      <c r="F88" s="36">
        <f>Prices!F88/Prices!F87-1</f>
        <v>-1.6409235341010686E-2</v>
      </c>
      <c r="G88" s="36">
        <f>Prices!G88/Prices!G87-1</f>
        <v>-1.209924098055859E-2</v>
      </c>
    </row>
    <row r="89" spans="1:7" x14ac:dyDescent="0.3">
      <c r="A89" s="26">
        <f>Prices!A89</f>
        <v>46062</v>
      </c>
      <c r="B89" s="36">
        <f>Prices!B89/Prices!B88-1</f>
        <v>2.2830974292795903E-2</v>
      </c>
      <c r="C89" s="36">
        <f>Prices!C89/Prices!C88-1</f>
        <v>1.8709353643405535E-2</v>
      </c>
      <c r="D89" s="36">
        <f>Prices!D89/Prices!D88-1</f>
        <v>3.3382614521010101E-2</v>
      </c>
      <c r="E89" s="36">
        <f>Prices!E89/Prices!E88-1</f>
        <v>3.4131732118844349E-2</v>
      </c>
      <c r="F89" s="36">
        <f>Prices!F89/Prices!F88-1</f>
        <v>2.6987145680511748E-2</v>
      </c>
      <c r="G89" s="36">
        <f>Prices!G89/Prices!G88-1</f>
        <v>1.7590809247481465E-2</v>
      </c>
    </row>
    <row r="90" spans="1:7" x14ac:dyDescent="0.3">
      <c r="A90" s="26">
        <f>Prices!A90</f>
        <v>46063</v>
      </c>
      <c r="B90" s="36">
        <f>Prices!B90/Prices!B89-1</f>
        <v>-1.6071340181005977E-2</v>
      </c>
      <c r="C90" s="36">
        <f>Prices!C90/Prices!C89-1</f>
        <v>1.6466209747468596E-2</v>
      </c>
      <c r="D90" s="36">
        <f>Prices!D90/Prices!D89-1</f>
        <v>7.1787145227761862E-3</v>
      </c>
      <c r="E90" s="36">
        <f>Prices!E90/Prices!E89-1</f>
        <v>-5.2119729447231977E-3</v>
      </c>
      <c r="F90" s="36">
        <f>Prices!F90/Prices!F89-1</f>
        <v>-3.344460952677375E-3</v>
      </c>
      <c r="G90" s="36">
        <f>Prices!G90/Prices!G89-1</f>
        <v>5.7716089609740617E-3</v>
      </c>
    </row>
    <row r="91" spans="1:7" x14ac:dyDescent="0.3">
      <c r="A91" s="26">
        <f>Prices!A91</f>
        <v>46064</v>
      </c>
      <c r="B91" s="36">
        <f>Prices!B91/Prices!B90-1</f>
        <v>-5.4447380659622402E-3</v>
      </c>
      <c r="C91" s="36">
        <f>Prices!C91/Prices!C90-1</f>
        <v>-2.4918896632424303E-3</v>
      </c>
      <c r="D91" s="36">
        <f>Prices!D91/Prices!D90-1</f>
        <v>-3.5637739456089168E-3</v>
      </c>
      <c r="E91" s="36">
        <f>Prices!E91/Prices!E90-1</f>
        <v>-4.0740678900001992E-3</v>
      </c>
      <c r="F91" s="36">
        <f>Prices!F91/Prices!F90-1</f>
        <v>1.9174982558620712E-3</v>
      </c>
      <c r="G91" s="36">
        <f>Prices!G91/Prices!G90-1</f>
        <v>3.0618415737420079E-3</v>
      </c>
    </row>
    <row r="92" spans="1:7" x14ac:dyDescent="0.3">
      <c r="A92" s="26">
        <f>Prices!A92</f>
        <v>46065</v>
      </c>
      <c r="B92" s="36">
        <f>Prices!B92/Prices!B91-1</f>
        <v>-2.2810144865465176E-2</v>
      </c>
      <c r="C92" s="36">
        <f>Prices!C92/Prices!C91-1</f>
        <v>-9.3696496886580549E-3</v>
      </c>
      <c r="D92" s="36">
        <f>Prices!D92/Prices!D91-1</f>
        <v>-2.1457634165898964E-3</v>
      </c>
      <c r="E92" s="36">
        <f>Prices!E92/Prices!E91-1</f>
        <v>-2.0456064129677154E-2</v>
      </c>
      <c r="F92" s="36">
        <f>Prices!F92/Prices!F91-1</f>
        <v>-9.5693898258629728E-3</v>
      </c>
      <c r="G92" s="36">
        <f>Prices!G92/Prices!G91-1</f>
        <v>-8.5761950167724255E-3</v>
      </c>
    </row>
    <row r="93" spans="1:7" x14ac:dyDescent="0.3">
      <c r="A93" s="26">
        <f>Prices!A93</f>
        <v>46066</v>
      </c>
      <c r="B93" s="36">
        <f>Prices!B93/Prices!B92-1</f>
        <v>-6.5359637641951851E-3</v>
      </c>
      <c r="C93" s="36">
        <f>Prices!C93/Prices!C92-1</f>
        <v>-2.0176465167129454E-2</v>
      </c>
      <c r="D93" s="36">
        <f>Prices!D93/Prices!D92-1</f>
        <v>-2.7239852673090481E-2</v>
      </c>
      <c r="E93" s="36">
        <f>Prices!E93/Prices!E92-1</f>
        <v>-4.1766506596770503E-2</v>
      </c>
      <c r="F93" s="36">
        <f>Prices!F93/Prices!F92-1</f>
        <v>-2.1256015240774584E-2</v>
      </c>
      <c r="G93" s="36">
        <f>Prices!G93/Prices!G92-1</f>
        <v>-1.721702864382435E-2</v>
      </c>
    </row>
    <row r="94" spans="1:7" x14ac:dyDescent="0.3">
      <c r="A94" s="26">
        <f>Prices!A94</f>
        <v>46069</v>
      </c>
      <c r="B94" s="36">
        <f>Prices!B94/Prices!B93-1</f>
        <v>4.6992325715080607E-3</v>
      </c>
      <c r="C94" s="36">
        <f>Prices!C94/Prices!C93-1</f>
        <v>-4.504405839750758E-3</v>
      </c>
      <c r="D94" s="36">
        <f>Prices!D94/Prices!D93-1</f>
        <v>-9.5805149536350998E-3</v>
      </c>
      <c r="E94" s="36">
        <f>Prices!E94/Prices!E93-1</f>
        <v>2.8020749873694184E-2</v>
      </c>
      <c r="F94" s="36">
        <f>Prices!F94/Prices!F93-1</f>
        <v>8.8844102930245583E-3</v>
      </c>
      <c r="G94" s="36">
        <f>Prices!G94/Prices!G93-1</f>
        <v>5.2252711134193053E-3</v>
      </c>
    </row>
    <row r="95" spans="1:7" x14ac:dyDescent="0.3">
      <c r="A95" s="26">
        <f>Prices!A95</f>
        <v>46073</v>
      </c>
      <c r="B95" s="36">
        <f>Prices!B95/Prices!B94-1</f>
        <v>-2.3386265357646541E-2</v>
      </c>
      <c r="C95" s="36">
        <f>Prices!C95/Prices!C94-1</f>
        <v>-4.9127464138860266E-2</v>
      </c>
      <c r="D95" s="36">
        <f>Prices!D95/Prices!D94-1</f>
        <v>-7.437350171760615E-4</v>
      </c>
      <c r="E95" s="36">
        <f>Prices!E95/Prices!E94-1</f>
        <v>-3.0281406099718078E-3</v>
      </c>
      <c r="F95" s="36">
        <f>Prices!F95/Prices!F94-1</f>
        <v>-2.4460607066184581E-3</v>
      </c>
      <c r="G95" s="36">
        <f>Prices!G95/Prices!G94-1</f>
        <v>-1.0955986027003428E-2</v>
      </c>
    </row>
    <row r="96" spans="1:7" x14ac:dyDescent="0.3">
      <c r="A96" s="26">
        <f>Prices!A96</f>
        <v>46076</v>
      </c>
      <c r="B96" s="36">
        <f>Prices!B96/Prices!B95-1</f>
        <v>3.0651276395220473E-2</v>
      </c>
      <c r="C96" s="36">
        <f>Prices!C96/Prices!C95-1</f>
        <v>3.4670408908422878E-2</v>
      </c>
      <c r="D96" s="36">
        <f>Prices!D96/Prices!D95-1</f>
        <v>1.1914027327679211E-2</v>
      </c>
      <c r="E96" s="36">
        <f>Prices!E96/Prices!E95-1</f>
        <v>4.0704064929325767E-2</v>
      </c>
      <c r="F96" s="36">
        <f>Prices!F96/Prices!F95-1</f>
        <v>2.4521853645747882E-2</v>
      </c>
      <c r="G96" s="36">
        <f>Prices!G96/Prices!G95-1</f>
        <v>2.5311465986880943E-2</v>
      </c>
    </row>
    <row r="97" spans="1:7" x14ac:dyDescent="0.3">
      <c r="A97" s="26">
        <f>Prices!A97</f>
        <v>46077</v>
      </c>
      <c r="B97" s="36">
        <f>Prices!B97/Prices!B96-1</f>
        <v>-3.3457251167723356E-2</v>
      </c>
      <c r="C97" s="36">
        <f>Prices!C97/Prices!C96-1</f>
        <v>-2.7595320378821508E-2</v>
      </c>
      <c r="D97" s="36">
        <f>Prices!D97/Prices!D96-1</f>
        <v>-4.4154443551662759E-3</v>
      </c>
      <c r="E97" s="36">
        <f>Prices!E97/Prices!E96-1</f>
        <v>-9.3405292129266071E-3</v>
      </c>
      <c r="F97" s="36">
        <f>Prices!F97/Prices!F96-1</f>
        <v>-1.0052594222653699E-2</v>
      </c>
      <c r="G97" s="36">
        <f>Prices!G97/Prices!G96-1</f>
        <v>-1.8151965513865331E-2</v>
      </c>
    </row>
    <row r="98" spans="1:7" x14ac:dyDescent="0.3">
      <c r="A98" s="26">
        <f>Prices!A98</f>
        <v>46078</v>
      </c>
      <c r="B98" s="36">
        <f>Prices!B98/Prices!B97-1</f>
        <v>4.8076764071138811E-3</v>
      </c>
      <c r="C98" s="36">
        <f>Prices!C98/Prices!C97-1</f>
        <v>2.0272724628485062E-3</v>
      </c>
      <c r="D98" s="36">
        <f>Prices!D98/Prices!D97-1</f>
        <v>5.4693295752086479E-2</v>
      </c>
      <c r="E98" s="36">
        <f>Prices!E98/Prices!E97-1</f>
        <v>-4.1244830812883215E-3</v>
      </c>
      <c r="F98" s="36">
        <f>Prices!F98/Prices!F97-1</f>
        <v>-3.384891683466229E-3</v>
      </c>
      <c r="G98" s="36">
        <f>Prices!G98/Prices!G97-1</f>
        <v>6.5964004201934934E-3</v>
      </c>
    </row>
    <row r="99" spans="1:7" x14ac:dyDescent="0.3">
      <c r="A99" s="26">
        <f>Prices!A99</f>
        <v>46079</v>
      </c>
      <c r="B99" s="36">
        <f>Prices!B99/Prices!B98-1</f>
        <v>-2.0095743805453092E-2</v>
      </c>
      <c r="C99" s="36">
        <f>Prices!C99/Prices!C98-1</f>
        <v>-3.573863628692453E-2</v>
      </c>
      <c r="D99" s="36">
        <f>Prices!D99/Prices!D98-1</f>
        <v>1.6117499612664954E-2</v>
      </c>
      <c r="E99" s="36">
        <f>Prices!E99/Prices!E98-1</f>
        <v>2.3666085117888258E-3</v>
      </c>
      <c r="F99" s="36">
        <f>Prices!F99/Prices!F98-1</f>
        <v>7.7630294377046827E-3</v>
      </c>
      <c r="G99" s="36">
        <f>Prices!G99/Prices!G98-1</f>
        <v>-1.4372906461659452E-2</v>
      </c>
    </row>
    <row r="100" spans="1:7" x14ac:dyDescent="0.3">
      <c r="A100" s="26">
        <f>Prices!A100</f>
        <v>46080</v>
      </c>
      <c r="B100" s="36">
        <f>Prices!B100/Prices!B99-1</f>
        <v>1.171875154365698E-2</v>
      </c>
      <c r="C100" s="36">
        <f>Prices!C100/Prices!C99-1</f>
        <v>-6.9938539495661978E-4</v>
      </c>
      <c r="D100" s="36">
        <f>Prices!D100/Prices!D99-1</f>
        <v>1.5862562162789029E-2</v>
      </c>
      <c r="E100" s="36">
        <f>Prices!E100/Prices!E99-1</f>
        <v>2.4793138524918268E-2</v>
      </c>
      <c r="F100" s="36">
        <f>Prices!F100/Prices!F99-1</f>
        <v>8.6665060375314962E-3</v>
      </c>
      <c r="G100" s="36">
        <f>Prices!G100/Prices!G99-1</f>
        <v>9.4583001236931974E-3</v>
      </c>
    </row>
    <row r="101" spans="1:7" x14ac:dyDescent="0.3">
      <c r="A101" s="26">
        <f>Prices!A101</f>
        <v>46083</v>
      </c>
      <c r="B101" s="36">
        <f>Prices!B101/Prices!B100-1</f>
        <v>-7.7219436276046993E-3</v>
      </c>
      <c r="C101" s="36">
        <f>Prices!C101/Prices!C100-1</f>
        <v>-4.5486262415948553E-2</v>
      </c>
      <c r="D101" s="36">
        <f>Prices!D101/Prices!D100-1</f>
        <v>-5.1595522783518533E-2</v>
      </c>
      <c r="E101" s="36">
        <f>Prices!E101/Prices!E100-1</f>
        <v>-2.0737460445979239E-2</v>
      </c>
      <c r="F101" s="36">
        <f>Prices!F101/Prices!F100-1</f>
        <v>-1.9093099961158488E-2</v>
      </c>
      <c r="G101" s="36">
        <f>Prices!G101/Prices!G100-1</f>
        <v>-2.1429889115538003E-2</v>
      </c>
    </row>
    <row r="102" spans="1:7" x14ac:dyDescent="0.3">
      <c r="A102" s="26">
        <f>Prices!A102</f>
        <v>46084</v>
      </c>
      <c r="B102" s="36">
        <f>Prices!B102/Prices!B101-1</f>
        <v>-6.8093553697406994E-3</v>
      </c>
      <c r="C102" s="36">
        <f>Prices!C102/Prices!C101-1</f>
        <v>-1.1730157926297058E-2</v>
      </c>
      <c r="D102" s="36">
        <f>Prices!D102/Prices!D101-1</f>
        <v>-2.7917112782223197E-2</v>
      </c>
      <c r="E102" s="36">
        <f>Prices!E102/Prices!E101-1</f>
        <v>0</v>
      </c>
      <c r="F102" s="36">
        <f>Prices!F102/Prices!F101-1</f>
        <v>-3.8930993901356015E-3</v>
      </c>
      <c r="G102" s="36">
        <f>Prices!G102/Prices!G101-1</f>
        <v>-1.1196131385194263E-2</v>
      </c>
    </row>
    <row r="103" spans="1:7" x14ac:dyDescent="0.3">
      <c r="A103" s="26">
        <f>Prices!A103</f>
        <v>46085</v>
      </c>
      <c r="B103" s="36">
        <f>Prices!B103/Prices!B102-1</f>
        <v>-8.8149376353368059E-3</v>
      </c>
      <c r="C103" s="36">
        <f>Prices!C103/Prices!C102-1</f>
        <v>-3.6350092722628902E-2</v>
      </c>
      <c r="D103" s="36">
        <f>Prices!D103/Prices!D102-1</f>
        <v>-3.6818659883329774E-2</v>
      </c>
      <c r="E103" s="36">
        <f>Prices!E103/Prices!E102-1</f>
        <v>-4.7058596654891316E-2</v>
      </c>
      <c r="F103" s="36">
        <f>Prices!F103/Prices!F102-1</f>
        <v>-1.1235742227504564E-2</v>
      </c>
      <c r="G103" s="36">
        <f>Prices!G103/Prices!G102-1</f>
        <v>-2.0125659264773721E-2</v>
      </c>
    </row>
    <row r="104" spans="1:7" x14ac:dyDescent="0.3">
      <c r="A104" s="26">
        <f>Prices!A104</f>
        <v>46086</v>
      </c>
      <c r="B104" s="36">
        <f>Prices!B104/Prices!B103-1</f>
        <v>-7.9050727499013762E-3</v>
      </c>
      <c r="C104" s="36">
        <f>Prices!C104/Prices!C103-1</f>
        <v>-2.7713896407366545E-2</v>
      </c>
      <c r="D104" s="36">
        <f>Prices!D104/Prices!D103-1</f>
        <v>2.3699860491027014E-2</v>
      </c>
      <c r="E104" s="36">
        <f>Prices!E104/Prices!E103-1</f>
        <v>5.0618166180776525E-2</v>
      </c>
      <c r="F104" s="36">
        <f>Prices!F104/Prices!F103-1</f>
        <v>6.4227019077045533E-3</v>
      </c>
      <c r="G104" s="36">
        <f>Prices!G104/Prices!G103-1</f>
        <v>2.8459714250359536E-3</v>
      </c>
    </row>
    <row r="105" spans="1:7" x14ac:dyDescent="0.3">
      <c r="A105" s="26">
        <f>Prices!A105</f>
        <v>46087</v>
      </c>
      <c r="B105" s="36">
        <f>Prices!B105/Prices!B104-1</f>
        <v>3.3864510520161817E-2</v>
      </c>
      <c r="C105" s="36">
        <f>Prices!C105/Prices!C104-1</f>
        <v>3.4837949752057895E-2</v>
      </c>
      <c r="D105" s="36">
        <f>Prices!D105/Prices!D104-1</f>
        <v>9.7085346577787668E-3</v>
      </c>
      <c r="E105" s="36">
        <f>Prices!E105/Prices!E104-1</f>
        <v>5.8748040728764384E-3</v>
      </c>
      <c r="F105" s="36">
        <f>Prices!F105/Prices!F104-1</f>
        <v>1.8655061058372224E-2</v>
      </c>
      <c r="G105" s="36">
        <f>Prices!G105/Prices!G104-1</f>
        <v>1.7216675872735676E-2</v>
      </c>
    </row>
    <row r="106" spans="1:7" x14ac:dyDescent="0.3">
      <c r="A106" s="26">
        <f>Prices!A106</f>
        <v>46090</v>
      </c>
      <c r="B106" s="36">
        <f>Prices!B106/Prices!B105-1</f>
        <v>-5.7804448457260404E-3</v>
      </c>
      <c r="C106" s="36">
        <f>Prices!C106/Prices!C105-1</f>
        <v>-1.5302538805930244E-2</v>
      </c>
      <c r="D106" s="36">
        <f>Prices!D106/Prices!D105-1</f>
        <v>-3.9200843286452458E-2</v>
      </c>
      <c r="E106" s="36">
        <f>Prices!E106/Prices!E105-1</f>
        <v>-4.4392528957112987E-2</v>
      </c>
      <c r="F106" s="36">
        <f>Prices!F106/Prices!F105-1</f>
        <v>-1.9277130046630786E-2</v>
      </c>
      <c r="G106" s="36">
        <f>Prices!G106/Prices!G105-1</f>
        <v>-1.3542892602001477E-2</v>
      </c>
    </row>
    <row r="107" spans="1:7" x14ac:dyDescent="0.3">
      <c r="A107" s="26">
        <f>Prices!A107</f>
        <v>46091</v>
      </c>
      <c r="B107" s="36">
        <f>Prices!B107/Prices!B106-1</f>
        <v>7.2674579895239289E-2</v>
      </c>
      <c r="C107" s="36">
        <f>Prices!C107/Prices!C106-1</f>
        <v>3.729667373753176E-2</v>
      </c>
      <c r="D107" s="36">
        <f>Prices!D107/Prices!D106-1</f>
        <v>4.6189939295048887E-2</v>
      </c>
      <c r="E107" s="36">
        <f>Prices!E107/Prices!E106-1</f>
        <v>4.706595495795618E-2</v>
      </c>
      <c r="F107" s="36">
        <f>Prices!F107/Prices!F106-1</f>
        <v>2.3587148933921664E-2</v>
      </c>
      <c r="G107" s="36">
        <f>Prices!G107/Prices!G106-1</f>
        <v>2.1702987133707108E-2</v>
      </c>
    </row>
    <row r="108" spans="1:7" x14ac:dyDescent="0.3">
      <c r="A108" s="26">
        <f>Prices!A108</f>
        <v>46092</v>
      </c>
      <c r="B108" s="36">
        <f>Prices!B108/Prices!B107-1</f>
        <v>-2.7099815307457531E-3</v>
      </c>
      <c r="C108" s="36">
        <f>Prices!C108/Prices!C107-1</f>
        <v>-2.2474623248224246E-3</v>
      </c>
      <c r="D108" s="36">
        <f>Prices!D108/Prices!D107-1</f>
        <v>-2.1339404919389904E-2</v>
      </c>
      <c r="E108" s="36">
        <f>Prices!E108/Prices!E107-1</f>
        <v>9.3405292129267181E-3</v>
      </c>
      <c r="F108" s="36">
        <f>Prices!F108/Prices!F107-1</f>
        <v>3.2190476285025582E-3</v>
      </c>
      <c r="G108" s="36">
        <f>Prices!G108/Prices!G107-1</f>
        <v>-2.3551939359520713E-3</v>
      </c>
    </row>
    <row r="109" spans="1:7" x14ac:dyDescent="0.3">
      <c r="A109" s="26">
        <f>Prices!A109</f>
        <v>46093</v>
      </c>
      <c r="B109" s="36">
        <f>Prices!B109/Prices!B108-1</f>
        <v>-9.9638444784756475E-3</v>
      </c>
      <c r="C109" s="36">
        <f>Prices!C109/Prices!C108-1</f>
        <v>-1.2011962357206807E-2</v>
      </c>
      <c r="D109" s="36">
        <f>Prices!D109/Prices!D108-1</f>
        <v>-4.4570910359478244E-3</v>
      </c>
      <c r="E109" s="36">
        <f>Prices!E109/Prices!E108-1</f>
        <v>-2.4291248490536654E-2</v>
      </c>
      <c r="F109" s="36">
        <f>Prices!F109/Prices!F108-1</f>
        <v>-1.2153794847841959E-2</v>
      </c>
      <c r="G109" s="36">
        <f>Prices!G109/Prices!G108-1</f>
        <v>-7.0273635264960221E-3</v>
      </c>
    </row>
    <row r="110" spans="1:7" x14ac:dyDescent="0.3">
      <c r="A110" s="26">
        <f>Prices!A110</f>
        <v>46094</v>
      </c>
      <c r="B110" s="36">
        <f>Prices!B110/Prices!B109-1</f>
        <v>1.8298571600727787E-3</v>
      </c>
      <c r="C110" s="36">
        <f>Prices!C110/Prices!C109-1</f>
        <v>6.8389722523345409E-3</v>
      </c>
      <c r="D110" s="36">
        <f>Prices!D110/Prices!D109-1</f>
        <v>-4.965122787542986E-2</v>
      </c>
      <c r="E110" s="36">
        <f>Prices!E110/Prices!E109-1</f>
        <v>-3.0231555423303802E-2</v>
      </c>
      <c r="F110" s="36">
        <f>Prices!F110/Prices!F109-1</f>
        <v>-1.2303076520447709E-2</v>
      </c>
      <c r="G110" s="36">
        <f>Prices!G110/Prices!G109-1</f>
        <v>-9.7664014422220724E-3</v>
      </c>
    </row>
    <row r="111" spans="1:7" x14ac:dyDescent="0.3">
      <c r="A111" s="26">
        <f>Prices!A111</f>
        <v>46097</v>
      </c>
      <c r="B111" s="36">
        <f>Prices!B111/Prices!B110-1</f>
        <v>2.0091294332944098E-2</v>
      </c>
      <c r="C111" s="36">
        <f>Prices!C111/Prices!C110-1</f>
        <v>1.132061215777691E-2</v>
      </c>
      <c r="D111" s="36">
        <f>Prices!D111/Prices!D110-1</f>
        <v>1.4694600761208987E-2</v>
      </c>
      <c r="E111" s="36">
        <f>Prices!E111/Prices!E110-1</f>
        <v>1.9560300280291765E-2</v>
      </c>
      <c r="F111" s="36">
        <f>Prices!F111/Prices!F110-1</f>
        <v>1.1958084708403538E-2</v>
      </c>
      <c r="G111" s="36">
        <f>Prices!G111/Prices!G110-1</f>
        <v>1.4467356189798775E-2</v>
      </c>
    </row>
    <row r="112" spans="1:7" x14ac:dyDescent="0.3">
      <c r="A112" s="26">
        <f>Prices!A112</f>
        <v>46098</v>
      </c>
      <c r="B112" s="36">
        <f>Prices!B112/Prices!B111-1</f>
        <v>-1.5219323565090481E-2</v>
      </c>
      <c r="C112" s="36">
        <f>Prices!C112/Prices!C111-1</f>
        <v>4.4774067648962745E-3</v>
      </c>
      <c r="D112" s="36">
        <f>Prices!D112/Prices!D111-1</f>
        <v>4.0224502803032358E-3</v>
      </c>
      <c r="E112" s="36">
        <f>Prices!E112/Prices!E111-1</f>
        <v>-4.7968730038621121E-3</v>
      </c>
      <c r="F112" s="36">
        <f>Prices!F112/Prices!F111-1</f>
        <v>-4.4311980395987938E-3</v>
      </c>
      <c r="G112" s="36">
        <f>Prices!G112/Prices!G111-1</f>
        <v>1.3362070892608546E-3</v>
      </c>
    </row>
    <row r="113" spans="1:7" x14ac:dyDescent="0.3">
      <c r="A113" s="26">
        <f>Prices!A113</f>
        <v>46099</v>
      </c>
      <c r="B113" s="36">
        <f>Prices!B113/Prices!B112-1</f>
        <v>9.090143246088811E-4</v>
      </c>
      <c r="C113" s="36">
        <f>Prices!C113/Prices!C112-1</f>
        <v>2.3031764437248192E-2</v>
      </c>
      <c r="D113" s="36">
        <f>Prices!D113/Prices!D112-1</f>
        <v>2.4839600856325639E-2</v>
      </c>
      <c r="E113" s="36">
        <f>Prices!E113/Prices!E112-1</f>
        <v>1.8675162034494264E-2</v>
      </c>
      <c r="F113" s="36">
        <f>Prices!F113/Prices!F112-1</f>
        <v>-3.9566258571200885E-3</v>
      </c>
      <c r="G113" s="36">
        <f>Prices!G113/Prices!G112-1</f>
        <v>6.0645403821817379E-3</v>
      </c>
    </row>
    <row r="114" spans="1:7" x14ac:dyDescent="0.3">
      <c r="A114" s="26">
        <f>Prices!A114</f>
        <v>46100</v>
      </c>
      <c r="B114" s="36">
        <f>Prices!B114/Prices!B113-1</f>
        <v>-6.8119854454572137E-2</v>
      </c>
      <c r="C114" s="36">
        <f>Prices!C114/Prices!C113-1</f>
        <v>-4.1394242059184738E-2</v>
      </c>
      <c r="D114" s="36">
        <f>Prices!D114/Prices!D113-1</f>
        <v>-3.0492477811083329E-2</v>
      </c>
      <c r="E114" s="36">
        <f>Prices!E114/Prices!E113-1</f>
        <v>-2.0698003264279508E-2</v>
      </c>
      <c r="F114" s="36">
        <f>Prices!F114/Prices!F113-1</f>
        <v>-1.0426989595246017E-2</v>
      </c>
      <c r="G114" s="36">
        <f>Prices!G114/Prices!G113-1</f>
        <v>-2.0166429668249108E-2</v>
      </c>
    </row>
    <row r="115" spans="1:7" x14ac:dyDescent="0.3">
      <c r="A115" s="26">
        <f>Prices!A115</f>
        <v>46101</v>
      </c>
      <c r="B115" s="36">
        <f>Prices!B115/Prices!B114-1</f>
        <v>-9.7465567878327608E-3</v>
      </c>
      <c r="C115" s="36">
        <f>Prices!C115/Prices!C114-1</f>
        <v>-6.2879544580632385E-2</v>
      </c>
      <c r="D115" s="36">
        <f>Prices!D115/Prices!D114-1</f>
        <v>4.0321824880391599E-3</v>
      </c>
      <c r="E115" s="36">
        <f>Prices!E115/Prices!E114-1</f>
        <v>3.9251931726087763E-2</v>
      </c>
      <c r="F115" s="36">
        <f>Prices!F115/Prices!F114-1</f>
        <v>-6.5226583541604377E-3</v>
      </c>
      <c r="G115" s="36">
        <f>Prices!G115/Prices!G114-1</f>
        <v>-8.7550871048616141E-3</v>
      </c>
    </row>
    <row r="116" spans="1:7" x14ac:dyDescent="0.3">
      <c r="A116" s="26">
        <f>Prices!A116</f>
        <v>46104</v>
      </c>
      <c r="B116" s="36">
        <f>Prices!B116/Prices!B115-1</f>
        <v>-1.8897758536053466E-2</v>
      </c>
      <c r="C116" s="36">
        <f>Prices!C116/Prices!C115-1</f>
        <v>-3.2336176456544297E-2</v>
      </c>
      <c r="D116" s="36">
        <f>Prices!D116/Prices!D115-1</f>
        <v>-4.4980216301767295E-2</v>
      </c>
      <c r="E116" s="36">
        <f>Prices!E116/Prices!E115-1</f>
        <v>-7.7862797179318877E-2</v>
      </c>
      <c r="F116" s="36">
        <f>Prices!F116/Prices!F115-1</f>
        <v>-3.3838516110941685E-2</v>
      </c>
      <c r="G116" s="36">
        <f>Prices!G116/Prices!G115-1</f>
        <v>-3.5401284209703121E-2</v>
      </c>
    </row>
    <row r="117" spans="1:7" x14ac:dyDescent="0.3">
      <c r="A117" s="26">
        <f>Prices!A117</f>
        <v>46105</v>
      </c>
      <c r="B117" s="36">
        <f>Prices!B117/Prices!B116-1</f>
        <v>3.1300288231234541E-2</v>
      </c>
      <c r="C117" s="36">
        <f>Prices!C117/Prices!C116-1</f>
        <v>2.9239966612526258E-2</v>
      </c>
      <c r="D117" s="36">
        <f>Prices!D117/Prices!D116-1</f>
        <v>3.9528970234291139E-2</v>
      </c>
      <c r="E117" s="36">
        <f>Prices!E117/Prices!E116-1</f>
        <v>7.2465040495055533E-2</v>
      </c>
      <c r="F117" s="36">
        <f>Prices!F117/Prices!F116-1</f>
        <v>2.3523174424815885E-2</v>
      </c>
      <c r="G117" s="36">
        <f>Prices!G117/Prices!G116-1</f>
        <v>2.7939752635486537E-2</v>
      </c>
    </row>
    <row r="118" spans="1:7" x14ac:dyDescent="0.3">
      <c r="A118" s="26">
        <f>Prices!A118</f>
        <v>46106</v>
      </c>
      <c r="B118" s="36">
        <f>Prices!B118/Prices!B117-1</f>
        <v>-1.6536949663872091E-2</v>
      </c>
      <c r="C118" s="36">
        <f>Prices!C118/Prices!C117-1</f>
        <v>4.6266147361612386E-2</v>
      </c>
      <c r="D118" s="36">
        <f>Prices!D118/Prices!D117-1</f>
        <v>1.1327143940979445E-2</v>
      </c>
      <c r="E118" s="36">
        <f>Prices!E118/Prices!E117-1</f>
        <v>1.997553770107352E-2</v>
      </c>
      <c r="F118" s="36">
        <f>Prices!F118/Prices!F117-1</f>
        <v>1.6343298148364216E-2</v>
      </c>
      <c r="G118" s="36">
        <f>Prices!G118/Prices!G117-1</f>
        <v>1.086185126720407E-2</v>
      </c>
    </row>
    <row r="119" spans="1:7" x14ac:dyDescent="0.3">
      <c r="A119" s="26">
        <f>Prices!A119</f>
        <v>46107</v>
      </c>
      <c r="B119" s="36">
        <f>Prices!B119/Prices!B118-1</f>
        <v>-1.9584600732110991E-2</v>
      </c>
      <c r="C119" s="36">
        <f>Prices!C119/Prices!C118-1</f>
        <v>-4.5772025272706851E-2</v>
      </c>
      <c r="D119" s="36">
        <f>Prices!D119/Prices!D118-1</f>
        <v>-1.599808572678052E-3</v>
      </c>
      <c r="E119" s="36">
        <f>Prices!E119/Prices!E118-1</f>
        <v>2.3050802647124335E-3</v>
      </c>
      <c r="F119" s="36">
        <f>Prices!F119/Prices!F118-1</f>
        <v>-1.8592986541456913E-2</v>
      </c>
      <c r="G119" s="36">
        <f>Prices!G119/Prices!G118-1</f>
        <v>-1.8926447010716219E-2</v>
      </c>
    </row>
    <row r="120" spans="1:7" x14ac:dyDescent="0.3">
      <c r="A120" s="26">
        <f>Prices!A120</f>
        <v>46108</v>
      </c>
      <c r="B120" s="36">
        <f>Prices!B120/Prices!B119-1</f>
        <v>-4.4391389699327544E-3</v>
      </c>
      <c r="C120" s="36">
        <f>Prices!C120/Prices!C119-1</f>
        <v>-3.251612987243413E-3</v>
      </c>
      <c r="D120" s="36">
        <f>Prices!D120/Prices!D119-1</f>
        <v>0</v>
      </c>
      <c r="E120" s="36">
        <f>Prices!E120/Prices!E119-1</f>
        <v>-1.5517915432188945E-2</v>
      </c>
      <c r="F120" s="36">
        <f>Prices!F120/Prices!F119-1</f>
        <v>-5.1201929465893858E-4</v>
      </c>
      <c r="G120" s="36">
        <f>Prices!G120/Prices!G119-1</f>
        <v>3.8401009779776007E-3</v>
      </c>
    </row>
    <row r="121" spans="1:7" x14ac:dyDescent="0.3">
      <c r="A121" s="26">
        <f>Prices!A121</f>
        <v>46111</v>
      </c>
      <c r="B121" s="36">
        <f>Prices!B121/Prices!B120-1</f>
        <v>-2.3915683994180315E-2</v>
      </c>
      <c r="C121" s="36">
        <f>Prices!C121/Prices!C120-1</f>
        <v>-1.7129311316271156E-2</v>
      </c>
      <c r="D121" s="36">
        <f>Prices!D121/Prices!D120-1</f>
        <v>-9.6158517429338897E-3</v>
      </c>
      <c r="E121" s="36">
        <f>Prices!E121/Prices!E120-1</f>
        <v>-8.1731125767611212E-3</v>
      </c>
      <c r="F121" s="36">
        <f>Prices!F121/Prices!F120-1</f>
        <v>-2.049178511494798E-2</v>
      </c>
      <c r="G121" s="36">
        <f>Prices!G121/Prices!G120-1</f>
        <v>-8.0591840272850046E-3</v>
      </c>
    </row>
    <row r="122" spans="1:7" x14ac:dyDescent="0.3">
      <c r="A122" s="26">
        <f>Prices!A122</f>
        <v>46112</v>
      </c>
      <c r="B122" s="36">
        <f>Prices!B122/Prices!B121-1</f>
        <v>4.9834734961511362E-3</v>
      </c>
      <c r="C122" s="36">
        <f>Prices!C122/Prices!C121-1</f>
        <v>-1.2447981097479466E-2</v>
      </c>
      <c r="D122" s="36">
        <f>Prices!D122/Prices!D121-1</f>
        <v>1.779968082879857E-2</v>
      </c>
      <c r="E122" s="36">
        <f>Prices!E122/Prices!E121-1</f>
        <v>-1.1770366895360596E-3</v>
      </c>
      <c r="F122" s="36">
        <f>Prices!F122/Prices!F121-1</f>
        <v>1.6213494219998514E-2</v>
      </c>
      <c r="G122" s="36">
        <f>Prices!G122/Prices!G121-1</f>
        <v>1.5091034006669002E-3</v>
      </c>
    </row>
    <row r="123" spans="1:7" x14ac:dyDescent="0.3">
      <c r="A123" s="26">
        <f>Prices!A123</f>
        <v>46113</v>
      </c>
      <c r="B123" s="36">
        <f>Prices!B123/Prices!B122-1</f>
        <v>2.6033080566917555E-2</v>
      </c>
      <c r="C123" s="36">
        <f>Prices!C123/Prices!C122-1</f>
        <v>3.1092838526549871E-2</v>
      </c>
      <c r="D123" s="36">
        <f>Prices!D123/Prices!D122-1</f>
        <v>3.5771201824987608E-2</v>
      </c>
      <c r="E123" s="36">
        <f>Prices!E123/Prices!E122-1</f>
        <v>3.1231851248151088E-2</v>
      </c>
      <c r="F123" s="36">
        <f>Prices!F123/Prices!F122-1</f>
        <v>3.0365396784156173E-2</v>
      </c>
      <c r="G123" s="36">
        <f>Prices!G123/Prices!G122-1</f>
        <v>2.0408497279541749E-2</v>
      </c>
    </row>
    <row r="124" spans="1:7" x14ac:dyDescent="0.3">
      <c r="A124" s="26">
        <f>Prices!A124</f>
        <v>46114</v>
      </c>
      <c r="B124" s="36">
        <f>Prices!B124/Prices!B123-1</f>
        <v>-1.4901377279372241E-2</v>
      </c>
      <c r="C124" s="36">
        <f>Prices!C124/Prices!C123-1</f>
        <v>-3.4229882712901616E-2</v>
      </c>
      <c r="D124" s="36">
        <f>Prices!D124/Prices!D123-1</f>
        <v>-2.3024910176484559E-3</v>
      </c>
      <c r="E124" s="36">
        <f>Prices!E124/Prices!E123-1</f>
        <v>-1.5428080347316242E-2</v>
      </c>
      <c r="F124" s="36">
        <f>Prices!F124/Prices!F123-1</f>
        <v>-1.0988974675866903E-2</v>
      </c>
      <c r="G124" s="36">
        <f>Prices!G124/Prices!G123-1</f>
        <v>-7.01746637100642E-3</v>
      </c>
    </row>
    <row r="125" spans="1:7" x14ac:dyDescent="0.3">
      <c r="A125" s="26">
        <f>Prices!A125</f>
        <v>46120</v>
      </c>
      <c r="B125" s="36">
        <f>Prices!B125/Prices!B124-1</f>
        <v>3.8430121224403813E-2</v>
      </c>
      <c r="C125" s="36">
        <f>Prices!C125/Prices!C124-1</f>
        <v>6.7510256219628362E-2</v>
      </c>
      <c r="D125" s="36">
        <f>Prices!D125/Prices!D124-1</f>
        <v>6.6153700260551229E-2</v>
      </c>
      <c r="E125" s="36">
        <f>Prices!E125/Prices!E124-1</f>
        <v>2.9018390681579076E-2</v>
      </c>
      <c r="F125" s="36">
        <f>Prices!F125/Prices!F124-1</f>
        <v>4.1414073136059493E-2</v>
      </c>
      <c r="G125" s="36">
        <f>Prices!G125/Prices!G124-1</f>
        <v>3.0915505511344588E-2</v>
      </c>
    </row>
    <row r="126" spans="1:7" x14ac:dyDescent="0.3">
      <c r="A126" s="26">
        <f>Prices!A126</f>
        <v>46121</v>
      </c>
      <c r="B126" s="36">
        <f>Prices!B126/Prices!B125-1</f>
        <v>9.8416905722298331E-4</v>
      </c>
      <c r="C126" s="36">
        <f>Prices!C126/Prices!C125-1</f>
        <v>-2.8458778298519505E-2</v>
      </c>
      <c r="D126" s="36">
        <f>Prices!D126/Prices!D125-1</f>
        <v>2.1646078953871939E-3</v>
      </c>
      <c r="E126" s="36">
        <f>Prices!E126/Prices!E125-1</f>
        <v>-1.6918655244263503E-3</v>
      </c>
      <c r="F126" s="36">
        <f>Prices!F126/Prices!F125-1</f>
        <v>-1.0184264957722733E-2</v>
      </c>
      <c r="G126" s="36">
        <f>Prices!G126/Prices!G125-1</f>
        <v>-5.4307725678729435E-3</v>
      </c>
    </row>
    <row r="127" spans="1:7" x14ac:dyDescent="0.3">
      <c r="A127" s="26">
        <f>Prices!A127</f>
        <v>46122</v>
      </c>
      <c r="B127" s="36">
        <f>Prices!B127/Prices!B126-1</f>
        <v>-7.8662082107068265E-3</v>
      </c>
      <c r="C127" s="36">
        <f>Prices!C127/Prices!C126-1</f>
        <v>2.1155534847045798E-2</v>
      </c>
      <c r="D127" s="36">
        <f>Prices!D127/Prices!D126-1</f>
        <v>5.7595774709364722E-3</v>
      </c>
      <c r="E127" s="36">
        <f>Prices!E127/Prices!E126-1</f>
        <v>5.085355957552995E-3</v>
      </c>
      <c r="F127" s="36">
        <f>Prices!F127/Prices!F126-1</f>
        <v>4.8994295468274274E-4</v>
      </c>
      <c r="G127" s="36">
        <f>Prices!G127/Prices!G126-1</f>
        <v>5.4806036644259315E-3</v>
      </c>
    </row>
    <row r="128" spans="1:7" x14ac:dyDescent="0.3">
      <c r="A128" s="26">
        <f>Prices!A128</f>
        <v>46125</v>
      </c>
      <c r="B128" s="36">
        <f>Prices!B128/Prices!B127-1</f>
        <v>-2.8741313738520402E-2</v>
      </c>
      <c r="C128" s="36">
        <f>Prices!C128/Prices!C127-1</f>
        <v>-1.832652224446063E-2</v>
      </c>
      <c r="D128" s="36">
        <f>Prices!D128/Prices!D127-1</f>
        <v>-6.4426902915520889E-3</v>
      </c>
      <c r="E128" s="36">
        <f>Prices!E128/Prices!E127-1</f>
        <v>-1.7425936888854188E-2</v>
      </c>
      <c r="F128" s="36">
        <f>Prices!F128/Prices!F127-1</f>
        <v>-6.3663885784805974E-3</v>
      </c>
      <c r="G128" s="36">
        <f>Prices!G128/Prices!G127-1</f>
        <v>-8.986392285015965E-3</v>
      </c>
    </row>
    <row r="129" spans="1:7" x14ac:dyDescent="0.3">
      <c r="A129" s="26">
        <f>Prices!A129</f>
        <v>46126</v>
      </c>
      <c r="B129" s="36">
        <f>Prices!B129/Prices!B128-1</f>
        <v>6.5307228059974243E-3</v>
      </c>
      <c r="C129" s="36">
        <f>Prices!C129/Prices!C128-1</f>
        <v>1.0552413053918519E-2</v>
      </c>
      <c r="D129" s="36">
        <f>Prices!D129/Prices!D128-1</f>
        <v>1.5850435719537925E-2</v>
      </c>
      <c r="E129" s="36">
        <f>Prices!E129/Prices!E128-1</f>
        <v>-4.5761654921487871E-3</v>
      </c>
      <c r="F129" s="36">
        <f>Prices!F129/Prices!F128-1</f>
        <v>3.4501353117186717E-3</v>
      </c>
      <c r="G129" s="36">
        <f>Prices!G129/Prices!G128-1</f>
        <v>8.2409859103027561E-3</v>
      </c>
    </row>
    <row r="130" spans="1:7" x14ac:dyDescent="0.3">
      <c r="A130" s="26">
        <f>Prices!A130</f>
        <v>46127</v>
      </c>
      <c r="B130" s="36">
        <f>Prices!B130/Prices!B129-1</f>
        <v>1.1759722678044149E-2</v>
      </c>
      <c r="C130" s="36">
        <f>Prices!C130/Prices!C129-1</f>
        <v>3.2931678467037484E-2</v>
      </c>
      <c r="D130" s="36">
        <f>Prices!D130/Prices!D129-1</f>
        <v>2.8365399086400789E-3</v>
      </c>
      <c r="E130" s="36">
        <f>Prices!E130/Prices!E129-1</f>
        <v>-3.6207684300268883E-2</v>
      </c>
      <c r="F130" s="36">
        <f>Prices!F130/Prices!F129-1</f>
        <v>1.6699218115368453E-2</v>
      </c>
      <c r="G130" s="36">
        <f>Prices!G130/Prices!G129-1</f>
        <v>2.8988509391636441E-3</v>
      </c>
    </row>
    <row r="131" spans="1:7" x14ac:dyDescent="0.3">
      <c r="A131" s="26">
        <f>Prices!A131</f>
        <v>46128</v>
      </c>
      <c r="B131" s="36">
        <f>Prices!B131/Prices!B130-1</f>
        <v>3.6072150382835844E-2</v>
      </c>
      <c r="C131" s="36">
        <f>Prices!C131/Prices!C130-1</f>
        <v>5.5987307706379941E-2</v>
      </c>
      <c r="D131" s="36">
        <f>Prices!D131/Prices!D130-1</f>
        <v>6.3652345424920487E-3</v>
      </c>
      <c r="E131" s="36">
        <f>Prices!E131/Prices!E130-1</f>
        <v>4.7711322672714385E-3</v>
      </c>
      <c r="F131" s="36">
        <f>Prices!F131/Prices!F130-1</f>
        <v>-6.7633529572429518E-3</v>
      </c>
      <c r="G131" s="36">
        <f>Prices!G131/Prices!G130-1</f>
        <v>1.7224880829023403E-2</v>
      </c>
    </row>
    <row r="132" spans="1:7" x14ac:dyDescent="0.3">
      <c r="A132" s="26">
        <f>Prices!A132</f>
        <v>46129</v>
      </c>
      <c r="B132" s="36">
        <f>Prices!B132/Prices!B131-1</f>
        <v>-1.2572454367103636E-2</v>
      </c>
      <c r="C132" s="36">
        <f>Prices!C132/Prices!C131-1</f>
        <v>4.4180591207523268E-3</v>
      </c>
      <c r="D132" s="36">
        <f>Prices!D132/Prices!D131-1</f>
        <v>-5.6219629363730705E-3</v>
      </c>
      <c r="E132" s="36">
        <f>Prices!E132/Prices!E131-1</f>
        <v>-3.145424985620815E-2</v>
      </c>
      <c r="F132" s="36">
        <f>Prices!F132/Prices!F131-1</f>
        <v>-6.3227913050666329E-3</v>
      </c>
      <c r="G132" s="36">
        <f>Prices!G132/Prices!G131-1</f>
        <v>-8.8629005614319079E-3</v>
      </c>
    </row>
    <row r="133" spans="1:7" x14ac:dyDescent="0.3">
      <c r="A133" s="26">
        <f>Prices!A133</f>
        <v>46132</v>
      </c>
      <c r="B133" s="36">
        <f>Prices!B133/Prices!B132-1</f>
        <v>2.3506368248468412E-2</v>
      </c>
      <c r="C133" s="36">
        <f>Prices!C133/Prices!C132-1</f>
        <v>4.3986257322174982E-3</v>
      </c>
      <c r="D133" s="36">
        <f>Prices!D133/Prices!D132-1</f>
        <v>4.9467617884610959E-3</v>
      </c>
      <c r="E133" s="36">
        <f>Prices!E133/Prices!E132-1</f>
        <v>2.3284310648309825E-2</v>
      </c>
      <c r="F133" s="36">
        <f>Prices!F133/Prices!F132-1</f>
        <v>7.3421991375979268E-3</v>
      </c>
      <c r="G133" s="36">
        <f>Prices!G133/Prices!G132-1</f>
        <v>7.6734582183273226E-3</v>
      </c>
    </row>
    <row r="134" spans="1:7" x14ac:dyDescent="0.3">
      <c r="A134" s="26">
        <f>Prices!A134</f>
        <v>46133</v>
      </c>
      <c r="B134" s="36">
        <f>Prices!B134/Prices!B133-1</f>
        <v>-6.6985812684844381E-3</v>
      </c>
      <c r="C134" s="36">
        <f>Prices!C134/Prices!C133-1</f>
        <v>-5.1093781056716914E-3</v>
      </c>
      <c r="D134" s="36">
        <f>Prices!D134/Prices!D133-1</f>
        <v>1.0548329812249069E-2</v>
      </c>
      <c r="E134" s="36">
        <f>Prices!E134/Prices!E133-1</f>
        <v>-8.3835553243489791E-3</v>
      </c>
      <c r="F134" s="36">
        <f>Prices!F134/Prices!F133-1</f>
        <v>1.3605329473202588E-2</v>
      </c>
      <c r="G134" s="36">
        <f>Prices!G134/Prices!G133-1</f>
        <v>4.7953364018000766E-3</v>
      </c>
    </row>
    <row r="135" spans="1:7" x14ac:dyDescent="0.3">
      <c r="A135" s="26">
        <f>Prices!A135</f>
        <v>46134</v>
      </c>
      <c r="B135" s="36">
        <f>Prices!B135/Prices!B134-1</f>
        <v>-2.89016394592988E-2</v>
      </c>
      <c r="C135" s="36">
        <f>Prices!C135/Prices!C134-1</f>
        <v>-3.5216295303906353E-2</v>
      </c>
      <c r="D135" s="36">
        <f>Prices!D135/Prices!D134-1</f>
        <v>2.0877854355694225E-3</v>
      </c>
      <c r="E135" s="36">
        <f>Prices!E135/Prices!E134-1</f>
        <v>4.8316351465884644E-3</v>
      </c>
      <c r="F135" s="36">
        <f>Prices!F135/Prices!F134-1</f>
        <v>-1.438121264727088E-3</v>
      </c>
      <c r="G135" s="36">
        <f>Prices!G135/Prices!G134-1</f>
        <v>-1.2241266208766088E-2</v>
      </c>
    </row>
    <row r="136" spans="1:7" x14ac:dyDescent="0.3">
      <c r="A136" s="26">
        <f>Prices!A136</f>
        <v>46135</v>
      </c>
      <c r="B136" s="36">
        <f>Prices!B136/Prices!B135-1</f>
        <v>-1.7460411131692166E-2</v>
      </c>
      <c r="C136" s="36">
        <f>Prices!C136/Prices!C135-1</f>
        <v>-8.3652702725335315E-3</v>
      </c>
      <c r="D136" s="36">
        <f>Prices!D136/Prices!D135-1</f>
        <v>-2.0138240763481918E-2</v>
      </c>
      <c r="E136" s="36">
        <f>Prices!E136/Prices!E135-1</f>
        <v>-1.7428458848446127E-2</v>
      </c>
      <c r="F136" s="36">
        <f>Prices!F136/Prices!F135-1</f>
        <v>-1.0561655505480605E-2</v>
      </c>
      <c r="G136" s="36">
        <f>Prices!G136/Prices!G135-1</f>
        <v>-9.4805153376988915E-3</v>
      </c>
    </row>
    <row r="137" spans="1:7" x14ac:dyDescent="0.3">
      <c r="A137" s="26">
        <f>Prices!A137</f>
        <v>46136</v>
      </c>
      <c r="B137" s="36">
        <f>Prices!B137/Prices!B136-1</f>
        <v>-3.6349566258744304E-3</v>
      </c>
      <c r="C137" s="36">
        <f>Prices!C137/Prices!C136-1</f>
        <v>1.0736730905355429E-2</v>
      </c>
      <c r="D137" s="36">
        <f>Prices!D137/Prices!D136-1</f>
        <v>-7.7960285085707515E-3</v>
      </c>
      <c r="E137" s="36">
        <f>Prices!E137/Prices!E136-1</f>
        <v>-1.22310975655604E-3</v>
      </c>
      <c r="F137" s="36">
        <f>Prices!F137/Prices!F136-1</f>
        <v>-1.4555656187253962E-3</v>
      </c>
      <c r="G137" s="36">
        <f>Prices!G137/Prices!G136-1</f>
        <v>2.4260319017730403E-3</v>
      </c>
    </row>
    <row r="138" spans="1:7" x14ac:dyDescent="0.3">
      <c r="A138" s="26">
        <f>Prices!A138</f>
        <v>46139</v>
      </c>
      <c r="B138" s="36">
        <f>Prices!B138/Prices!B137-1</f>
        <v>-2.9995841856024885E-2</v>
      </c>
      <c r="C138" s="36">
        <f>Prices!C138/Prices!C137-1</f>
        <v>-1.2139552442304358E-2</v>
      </c>
      <c r="D138" s="36">
        <f>Prices!D138/Prices!D137-1</f>
        <v>1.4284002638822457E-3</v>
      </c>
      <c r="E138" s="36">
        <f>Prices!E138/Prices!E137-1</f>
        <v>1.8983927025433278E-2</v>
      </c>
      <c r="F138" s="36">
        <f>Prices!F138/Prices!F137-1</f>
        <v>9.7179158557070267E-4</v>
      </c>
      <c r="G138" s="36">
        <f>Prices!G138/Prices!G137-1</f>
        <v>-2.0178519572333631E-3</v>
      </c>
    </row>
    <row r="139" spans="1:7" x14ac:dyDescent="0.3">
      <c r="A139" s="26">
        <f>Prices!A139</f>
        <v>46140</v>
      </c>
      <c r="B139" s="36">
        <f>Prices!B139/Prices!B138-1</f>
        <v>-1.0029210204188233E-2</v>
      </c>
      <c r="C139" s="36">
        <f>Prices!C139/Prices!C138-1</f>
        <v>-2.8418173667727586E-2</v>
      </c>
      <c r="D139" s="36">
        <f>Prices!D139/Prices!D138-1</f>
        <v>2.8534464429221806E-3</v>
      </c>
      <c r="E139" s="36">
        <f>Prices!E139/Prices!E138-1</f>
        <v>-6.0212776436985305E-4</v>
      </c>
      <c r="F139" s="36">
        <f>Prices!F139/Prices!F138-1</f>
        <v>-1.0679576394013179E-2</v>
      </c>
      <c r="G139" s="36">
        <f>Prices!G139/Prices!G138-1</f>
        <v>-9.4837003587767699E-3</v>
      </c>
    </row>
    <row r="140" spans="1:7" x14ac:dyDescent="0.3">
      <c r="A140" s="26">
        <f>Prices!A140</f>
        <v>46141</v>
      </c>
      <c r="B140" s="36">
        <f>Prices!B140/Prices!B139-1</f>
        <v>1.139719274361517E-2</v>
      </c>
      <c r="C140" s="36">
        <f>Prices!C140/Prices!C139-1</f>
        <v>3.241103466177897E-2</v>
      </c>
      <c r="D140" s="36">
        <f>Prices!D140/Prices!D139-1</f>
        <v>2.8446087548978927E-3</v>
      </c>
      <c r="E140" s="36">
        <f>Prices!E140/Prices!E139-1</f>
        <v>2.1647768505638654E-2</v>
      </c>
      <c r="F140" s="36">
        <f>Prices!F140/Prices!F139-1</f>
        <v>2.9931262073084719E-2</v>
      </c>
      <c r="G140" s="36">
        <f>Prices!G140/Prices!G139-1</f>
        <v>1.6824930422980833E-2</v>
      </c>
    </row>
    <row r="141" spans="1:7" x14ac:dyDescent="0.3">
      <c r="A141" s="26">
        <f>Prices!A141</f>
        <v>46142</v>
      </c>
      <c r="B141" s="36">
        <f>Prices!B141/Prices!B140-1</f>
        <v>-2.3789840086539171E-2</v>
      </c>
      <c r="C141" s="36">
        <f>Prices!C141/Prices!C140-1</f>
        <v>-3.522171868005175E-2</v>
      </c>
      <c r="D141" s="36">
        <f>Prices!D141/Prices!D140-1</f>
        <v>-5.6737964771866878E-3</v>
      </c>
      <c r="E141" s="36">
        <f>Prices!E141/Prices!E140-1</f>
        <v>1.1782426697506398E-3</v>
      </c>
      <c r="F141" s="36">
        <f>Prices!F141/Prices!F140-1</f>
        <v>-1.7627460697214214E-2</v>
      </c>
      <c r="G141" s="36">
        <f>Prices!G141/Prices!G140-1</f>
        <v>-1.2841320357671715E-2</v>
      </c>
    </row>
    <row r="142" spans="1:7" x14ac:dyDescent="0.3">
      <c r="A142" s="26">
        <f>Prices!A142</f>
        <v>46146</v>
      </c>
      <c r="B142" s="36">
        <f>Prices!B142/Prices!B141-1</f>
        <v>1.1116051386165227E-2</v>
      </c>
      <c r="C142" s="36">
        <f>Prices!C142/Prices!C141-1</f>
        <v>4.5237996866329677E-2</v>
      </c>
      <c r="D142" s="36">
        <f>Prices!D142/Prices!D141-1</f>
        <v>2.282468854621289E-2</v>
      </c>
      <c r="E142" s="36">
        <f>Prices!E142/Prices!E141-1</f>
        <v>1.1168689124501086E-2</v>
      </c>
      <c r="F142" s="36">
        <f>Prices!F142/Prices!F141-1</f>
        <v>6.3043921956338345E-3</v>
      </c>
      <c r="G142" s="36">
        <f>Prices!G142/Prices!G141-1</f>
        <v>1.2389239694887921E-2</v>
      </c>
    </row>
    <row r="143" spans="1:7" x14ac:dyDescent="0.3">
      <c r="A143" s="26">
        <f>Prices!A143</f>
        <v>46147</v>
      </c>
      <c r="B143" s="36">
        <f>Prices!B143/Prices!B142-1</f>
        <v>-1.6913605014707844E-3</v>
      </c>
      <c r="C143" s="36">
        <f>Prices!C143/Prices!C142-1</f>
        <v>-3.7969660758755408E-3</v>
      </c>
      <c r="D143" s="36">
        <f>Prices!D143/Prices!D142-1</f>
        <v>-5.1604065356317785E-2</v>
      </c>
      <c r="E143" s="36">
        <f>Prices!E143/Prices!E142-1</f>
        <v>-1.1626660313300841E-3</v>
      </c>
      <c r="F143" s="36">
        <f>Prices!F143/Prices!F142-1</f>
        <v>7.7108862773642706E-3</v>
      </c>
      <c r="G143" s="36">
        <f>Prices!G143/Prices!G142-1</f>
        <v>-7.5594880569829215E-3</v>
      </c>
    </row>
    <row r="144" spans="1:7" x14ac:dyDescent="0.3">
      <c r="A144" s="26">
        <f>Prices!A144</f>
        <v>46148</v>
      </c>
      <c r="B144" s="36">
        <f>Prices!B144/Prices!B143-1</f>
        <v>-1.9483171073554018E-2</v>
      </c>
      <c r="C144" s="36">
        <f>Prices!C144/Prices!C143-1</f>
        <v>2.286633870749899E-2</v>
      </c>
      <c r="D144" s="36">
        <f>Prices!D144/Prices!D143-1</f>
        <v>3.3088363681484489E-2</v>
      </c>
      <c r="E144" s="36">
        <f>Prices!E144/Prices!E143-1</f>
        <v>1.8044685941364991E-2</v>
      </c>
      <c r="F144" s="36">
        <f>Prices!F144/Prices!F143-1</f>
        <v>7.1736559677559875E-3</v>
      </c>
      <c r="G144" s="36">
        <f>Prices!G144/Prices!G143-1</f>
        <v>1.2169375395112869E-2</v>
      </c>
    </row>
    <row r="145" spans="1:7" x14ac:dyDescent="0.3">
      <c r="A145" s="26">
        <f>Prices!A145</f>
        <v>46149</v>
      </c>
      <c r="B145" s="36">
        <f>Prices!B145/Prices!B144-1</f>
        <v>3.1101379646984117E-2</v>
      </c>
      <c r="C145" s="36">
        <f>Prices!C145/Prices!C144-1</f>
        <v>4.992554994569165E-2</v>
      </c>
      <c r="D145" s="36">
        <f>Prices!D145/Prices!D144-1</f>
        <v>1.8505279722442314E-2</v>
      </c>
      <c r="E145" s="36">
        <f>Prices!E145/Prices!E144-1</f>
        <v>1.9439927647949329E-2</v>
      </c>
      <c r="F145" s="36">
        <f>Prices!F145/Prices!F144-1</f>
        <v>1.3770059387700373E-2</v>
      </c>
      <c r="G145" s="36">
        <f>Prices!G145/Prices!G144-1</f>
        <v>1.5735998814943919E-2</v>
      </c>
    </row>
    <row r="146" spans="1:7" x14ac:dyDescent="0.3">
      <c r="A146" s="26">
        <f>Prices!A146</f>
        <v>46150</v>
      </c>
      <c r="B146" s="36">
        <f>Prices!B146/Prices!B145-1</f>
        <v>-1.2568078238294866E-2</v>
      </c>
      <c r="C146" s="36">
        <f>Prices!C146/Prices!C145-1</f>
        <v>-1.3484948711153133E-2</v>
      </c>
      <c r="D146" s="36">
        <f>Prices!D146/Prices!D145-1</f>
        <v>-3.0747579342213727E-2</v>
      </c>
      <c r="E146" s="36">
        <f>Prices!E146/Prices!E145-1</f>
        <v>-2.8603834989278432E-2</v>
      </c>
      <c r="F146" s="36">
        <f>Prices!F146/Prices!F145-1</f>
        <v>-6.5572051194348058E-3</v>
      </c>
      <c r="G146" s="36">
        <f>Prices!G146/Prices!G145-1</f>
        <v>-8.7345436957089184E-3</v>
      </c>
    </row>
    <row r="147" spans="1:7" x14ac:dyDescent="0.3">
      <c r="A147" s="26">
        <f>Prices!A147</f>
        <v>46153</v>
      </c>
      <c r="B147" s="36">
        <f>Prices!B147/Prices!B146-1</f>
        <v>-1.4849421959735709E-2</v>
      </c>
      <c r="C147" s="36">
        <f>Prices!C147/Prices!C146-1</f>
        <v>-3.6690765620746135E-2</v>
      </c>
      <c r="D147" s="36">
        <f>Prices!D147/Prices!D146-1</f>
        <v>1.8024174541618532E-2</v>
      </c>
      <c r="E147" s="36">
        <f>Prices!E147/Prices!E146-1</f>
        <v>0</v>
      </c>
      <c r="F147" s="36">
        <f>Prices!F147/Prices!F146-1</f>
        <v>2.8287796539003818E-3</v>
      </c>
      <c r="G147" s="36">
        <f>Prices!G147/Prices!G146-1</f>
        <v>4.9742531657437361E-4</v>
      </c>
    </row>
    <row r="148" spans="1:7" x14ac:dyDescent="0.3">
      <c r="A148" s="26">
        <f>Prices!A148</f>
        <v>46154</v>
      </c>
      <c r="B148" s="36">
        <f>Prices!B148/Prices!B147-1</f>
        <v>-1.5503921563501777E-2</v>
      </c>
      <c r="C148" s="36">
        <f>Prices!C148/Prices!C147-1</f>
        <v>-4.4807510136456452E-3</v>
      </c>
      <c r="D148" s="36">
        <f>Prices!D148/Prices!D147-1</f>
        <v>-1.8413544009658445E-2</v>
      </c>
      <c r="E148" s="36">
        <f>Prices!E148/Prices!E147-1</f>
        <v>-1.7319151503536467E-3</v>
      </c>
      <c r="F148" s="36">
        <f>Prices!F148/Prices!F147-1</f>
        <v>-3.7610669754633008E-3</v>
      </c>
      <c r="G148" s="36">
        <f>Prices!G148/Prices!G147-1</f>
        <v>-2.2316036468704725E-3</v>
      </c>
    </row>
    <row r="149" spans="1:7" x14ac:dyDescent="0.3">
      <c r="A149" s="26">
        <f>Prices!A149</f>
        <v>46155</v>
      </c>
      <c r="B149" s="36">
        <f>Prices!B149/Prices!B148-1</f>
        <v>1.1811224856699276E-2</v>
      </c>
      <c r="C149" s="36">
        <f>Prices!C149/Prices!C148-1</f>
        <v>-3.7506402524660754E-3</v>
      </c>
      <c r="D149" s="36">
        <f>Prices!D149/Prices!D148-1</f>
        <v>1.8037913081770274E-2</v>
      </c>
      <c r="E149" s="36">
        <f>Prices!E149/Prices!E148-1</f>
        <v>5.7830662812869971E-3</v>
      </c>
      <c r="F149" s="36">
        <f>Prices!F149/Prices!F148-1</f>
        <v>0</v>
      </c>
      <c r="G149" s="36">
        <f>Prices!G149/Prices!G148-1</f>
        <v>1.5382358483977399E-3</v>
      </c>
    </row>
    <row r="150" spans="1:7" x14ac:dyDescent="0.3">
      <c r="A150" s="26">
        <f>Prices!A150</f>
        <v>46156</v>
      </c>
      <c r="B150" s="36">
        <f>Prices!B150/Prices!B149-1</f>
        <v>-5.1881548066317063E-3</v>
      </c>
      <c r="C150" s="36">
        <f>Prices!C150/Prices!C149-1</f>
        <v>3.8402969592434832E-2</v>
      </c>
      <c r="D150" s="36">
        <f>Prices!D150/Prices!D149-1</f>
        <v>1.3048285819048377E-3</v>
      </c>
      <c r="E150" s="36">
        <f>Prices!E150/Prices!E149-1</f>
        <v>8.6259003231914377E-3</v>
      </c>
      <c r="F150" s="36">
        <f>Prices!F150/Prices!F149-1</f>
        <v>-4.7190825046927731E-4</v>
      </c>
      <c r="G150" s="36">
        <f>Prices!G150/Prices!G149-1</f>
        <v>2.2722071155500956E-5</v>
      </c>
    </row>
    <row r="151" spans="1:7" x14ac:dyDescent="0.3">
      <c r="A151" s="26">
        <f>Prices!A151</f>
        <v>46157</v>
      </c>
      <c r="B151" s="36">
        <f>Prices!B151/Prices!B150-1</f>
        <v>3.2974280061552896E-3</v>
      </c>
      <c r="C151" s="36">
        <f>Prices!C151/Prices!C150-1</f>
        <v>-4.0608978593840384E-2</v>
      </c>
      <c r="D151" s="36">
        <f>Prices!D151/Prices!D150-1</f>
        <v>-7.8287823976127546E-3</v>
      </c>
      <c r="E151" s="36">
        <f>Prices!E151/Prices!E150-1</f>
        <v>-1.1401283111616145E-3</v>
      </c>
      <c r="F151" s="36">
        <f>Prices!F151/Prices!F150-1</f>
        <v>-1.6997198448815087E-2</v>
      </c>
      <c r="G151" s="36">
        <f>Prices!G151/Prices!G150-1</f>
        <v>-1.6154760254229905E-2</v>
      </c>
    </row>
    <row r="152" spans="1:7" x14ac:dyDescent="0.3">
      <c r="A152" s="26">
        <f>Prices!A152</f>
        <v>46160</v>
      </c>
      <c r="B152" s="36">
        <f>Prices!B152/Prices!B151-1</f>
        <v>-1.5775635407537236E-2</v>
      </c>
      <c r="C152" s="36">
        <f>Prices!C152/Prices!C151-1</f>
        <v>-4.5349397699764316E-3</v>
      </c>
      <c r="D152" s="36">
        <f>Prices!D152/Prices!D151-1</f>
        <v>-9.3257921552909462E-3</v>
      </c>
      <c r="E152" s="36">
        <f>Prices!E152/Prices!E151-1</f>
        <v>-1.0844751528533481E-2</v>
      </c>
      <c r="F152" s="36">
        <f>Prices!F152/Prices!F151-1</f>
        <v>-1.5369919814002597E-2</v>
      </c>
      <c r="G152" s="36">
        <f>Prices!G152/Prices!G151-1</f>
        <v>-1.107552227605646E-2</v>
      </c>
    </row>
    <row r="153" spans="1:7" x14ac:dyDescent="0.3">
      <c r="A153" s="26">
        <f>Prices!A153</f>
        <v>46161</v>
      </c>
      <c r="B153" s="36">
        <f>Prices!B153/Prices!B152-1</f>
        <v>2.4042742653606508E-2</v>
      </c>
      <c r="C153" s="36">
        <f>Prices!C153/Prices!C152-1</f>
        <v>1.2148771136064385E-2</v>
      </c>
      <c r="D153" s="36">
        <f>Prices!D153/Prices!D152-1</f>
        <v>1.5930396109703038E-2</v>
      </c>
      <c r="E153" s="36">
        <f>Prices!E153/Prices!E152-1</f>
        <v>-8.0787897776648521E-3</v>
      </c>
      <c r="F153" s="36">
        <f>Prices!F153/Prices!F152-1</f>
        <v>0</v>
      </c>
      <c r="G153" s="36">
        <f>Prices!G153/Prices!G152-1</f>
        <v>4.7777620812523569E-3</v>
      </c>
    </row>
    <row r="154" spans="1:7" x14ac:dyDescent="0.3">
      <c r="A154" s="26">
        <f>Prices!A154</f>
        <v>46162</v>
      </c>
      <c r="B154" s="36">
        <f>Prices!B154/Prices!B153-1</f>
        <v>-1.0434782608695681E-2</v>
      </c>
      <c r="C154" s="36">
        <f>Prices!C154/Prices!C153-1</f>
        <v>-1.0502393530333443E-2</v>
      </c>
      <c r="D154" s="36">
        <f>Prices!D154/Prices!D153-1</f>
        <v>-1.1403941027830267E-2</v>
      </c>
      <c r="E154" s="36">
        <f>Prices!E154/Prices!E153-1</f>
        <v>-1.9778011399801065E-2</v>
      </c>
      <c r="F154" s="36">
        <f>Prices!F154/Prices!F153-1</f>
        <v>2.9267522532765433E-3</v>
      </c>
      <c r="G154" s="36">
        <f>Prices!G154/Prices!G153-1</f>
        <v>-5.687702745580836E-3</v>
      </c>
    </row>
    <row r="155" spans="1:7" x14ac:dyDescent="0.3">
      <c r="A155" s="26">
        <f>Prices!A155</f>
        <v>46163</v>
      </c>
      <c r="B155" s="36">
        <f>Prices!B155/Prices!B154-1</f>
        <v>-3.5588752196836548E-2</v>
      </c>
      <c r="C155" s="36">
        <f>Prices!C155/Prices!C154-1</f>
        <v>-4.4730941874215224E-2</v>
      </c>
      <c r="D155" s="36">
        <f>Prices!D155/Prices!D154-1</f>
        <v>2.162922691489011E-2</v>
      </c>
      <c r="E155" s="36">
        <f>Prices!E155/Prices!E154-1</f>
        <v>8.9011137336159063E-3</v>
      </c>
      <c r="F155" s="36">
        <f>Prices!F155/Prices!F154-1</f>
        <v>-9.2412501924434842E-3</v>
      </c>
      <c r="G155" s="36">
        <f>Prices!G155/Prices!G154-1</f>
        <v>-1.0315323825384359E-2</v>
      </c>
    </row>
    <row r="156" spans="1:7" x14ac:dyDescent="0.3">
      <c r="A156" s="26">
        <f>Prices!A156</f>
        <v>46164</v>
      </c>
      <c r="B156" s="36">
        <f>Prices!B156/Prices!B155-1</f>
        <v>5.4669703872436415E-3</v>
      </c>
      <c r="C156" s="36">
        <f>Prices!C156/Prices!C155-1</f>
        <v>7.936671889450686E-3</v>
      </c>
      <c r="D156" s="36">
        <f>Prices!D156/Prices!D155-1</f>
        <v>1.5525673065194701E-2</v>
      </c>
      <c r="E156" s="36">
        <f>Prices!E156/Prices!E155-1</f>
        <v>1.2354026629254999E-2</v>
      </c>
      <c r="F156" s="36">
        <f>Prices!F156/Prices!F155-1</f>
        <v>4.4183960767560926E-3</v>
      </c>
      <c r="G156" s="36">
        <f>Prices!G156/Prices!G155-1</f>
        <v>8.6467071628311132E-3</v>
      </c>
    </row>
    <row r="157" spans="1:7" x14ac:dyDescent="0.3">
      <c r="A157" s="26">
        <f>Prices!A157</f>
        <v>46168</v>
      </c>
      <c r="B157" s="36">
        <f>Prices!B157/Prices!B156-1</f>
        <v>-5.4372451291345714E-3</v>
      </c>
      <c r="C157" s="36">
        <f>Prices!C157/Prices!C156-1</f>
        <v>4.7241909635757917E-3</v>
      </c>
      <c r="D157" s="36">
        <f>Prices!D157/Prices!D156-1</f>
        <v>1.1119343523679159E-2</v>
      </c>
      <c r="E157" s="36">
        <f>Prices!E157/Prices!E156-1</f>
        <v>-2.0337191153167011E-2</v>
      </c>
      <c r="F157" s="36">
        <f>Prices!F157/Prices!F156-1</f>
        <v>-8.7976707351531402E-3</v>
      </c>
      <c r="G157" s="36">
        <f>Prices!G157/Prices!G156-1</f>
        <v>-2.5697463370466522E-4</v>
      </c>
    </row>
    <row r="158" spans="1:7" x14ac:dyDescent="0.3">
      <c r="A158" s="26">
        <f>Prices!A158</f>
        <v>46169</v>
      </c>
      <c r="B158" s="36">
        <f>Prices!B158/Prices!B157-1</f>
        <v>-1.0478359908883905E-2</v>
      </c>
      <c r="C158" s="36">
        <f>Prices!C158/Prices!C157-1</f>
        <v>-2.5862055438304554E-2</v>
      </c>
      <c r="D158" s="36">
        <f>Prices!D158/Prices!D157-1</f>
        <v>7.559747280949658E-3</v>
      </c>
      <c r="E158" s="36">
        <f>Prices!E158/Prices!E157-1</f>
        <v>2.9652782925830845E-3</v>
      </c>
      <c r="F158" s="36">
        <f>Prices!F158/Prices!F157-1</f>
        <v>-8.3826730654621429E-3</v>
      </c>
      <c r="G158" s="36">
        <f>Prices!G158/Prices!G157-1</f>
        <v>-1.0594708420523236E-2</v>
      </c>
    </row>
    <row r="159" spans="1:7" x14ac:dyDescent="0.3">
      <c r="A159" s="26">
        <f>Prices!A159</f>
        <v>46170</v>
      </c>
      <c r="B159" s="36">
        <f>Prices!B159/Prices!B158-1</f>
        <v>-2.1639042357274318E-2</v>
      </c>
      <c r="C159" s="36">
        <f>Prices!C159/Prices!C158-1</f>
        <v>-2.0112644339150831E-2</v>
      </c>
      <c r="D159" s="36">
        <f>Prices!D159/Prices!D158-1</f>
        <v>-8.8677737274810431E-3</v>
      </c>
      <c r="E159" s="36">
        <f>Prices!E159/Prices!E158-1</f>
        <v>-1.1541299677570671E-2</v>
      </c>
      <c r="F159" s="36">
        <f>Prices!F159/Prices!F158-1</f>
        <v>-1.4917811716875673E-2</v>
      </c>
      <c r="G159" s="36">
        <f>Prices!G159/Prices!G158-1</f>
        <v>-1.2715862641885067E-2</v>
      </c>
    </row>
    <row r="160" spans="1:7" x14ac:dyDescent="0.3">
      <c r="A160" s="26">
        <f>Prices!A160</f>
        <v>46171</v>
      </c>
      <c r="B160" s="36">
        <f>Prices!B160/Prices!B159-1</f>
        <v>5.1764705882353379E-3</v>
      </c>
      <c r="C160" s="36">
        <f>Prices!C160/Prices!C159-1</f>
        <v>-7.3892334184040287E-3</v>
      </c>
      <c r="D160" s="36">
        <f>Prices!D160/Prices!D159-1</f>
        <v>-1.3762663898456706E-3</v>
      </c>
      <c r="E160" s="36">
        <f>Prices!E160/Prices!E159-1</f>
        <v>1.2172518792015197E-3</v>
      </c>
      <c r="F160" s="36">
        <f>Prices!F160/Prices!F159-1</f>
        <v>9.0860796225207263E-3</v>
      </c>
      <c r="G160" s="36">
        <f>Prices!G160/Prices!G159-1</f>
        <v>7.0474794446850897E-3</v>
      </c>
    </row>
    <row r="161" spans="1:7" x14ac:dyDescent="0.3">
      <c r="A161" s="26">
        <f>Prices!A161</f>
        <v>46174</v>
      </c>
      <c r="B161" s="36">
        <f>Prices!B161/Prices!B160-1</f>
        <v>2.0599250936329527E-2</v>
      </c>
      <c r="C161" s="36">
        <f>Prices!C161/Prices!C160-1</f>
        <v>1.5715711156838452E-2</v>
      </c>
      <c r="D161" s="36">
        <f>Prices!D161/Prices!D160-1</f>
        <v>8.270363745030096E-3</v>
      </c>
      <c r="E161" s="36">
        <f>Prices!E161/Prices!E160-1</f>
        <v>-3.0400421173777392E-3</v>
      </c>
      <c r="F161" s="36">
        <f>Prices!F161/Prices!F160-1</f>
        <v>1.000728589474198E-3</v>
      </c>
      <c r="G161" s="36">
        <f>Prices!G161/Prices!G160-1</f>
        <v>8.5690474517539084E-3</v>
      </c>
    </row>
    <row r="162" spans="1:7" x14ac:dyDescent="0.3">
      <c r="A162" s="26">
        <f>Prices!A162</f>
        <v>46175</v>
      </c>
      <c r="B162" s="36">
        <f>Prices!B162/Prices!B161-1</f>
        <v>0.1045871559633027</v>
      </c>
      <c r="C162" s="36">
        <f>Prices!C162/Prices!C161-1</f>
        <v>6.5960718198893709E-2</v>
      </c>
      <c r="D162" s="36">
        <f>Prices!D162/Prices!D161-1</f>
        <v>6.1515509724958672E-3</v>
      </c>
      <c r="E162" s="36">
        <f>Prices!E162/Prices!E161-1</f>
        <v>1.2194792467474791E-3</v>
      </c>
      <c r="F162" s="36">
        <f>Prices!F162/Prices!F161-1</f>
        <v>2.5487090892860609E-2</v>
      </c>
      <c r="G162" s="36">
        <f>Prices!G162/Prices!G161-1</f>
        <v>2.5204192094128608E-2</v>
      </c>
    </row>
    <row r="163" spans="1:7" x14ac:dyDescent="0.3">
      <c r="A163" s="26">
        <f>Prices!A163</f>
        <v>46176</v>
      </c>
      <c r="B163" s="36">
        <f>Prices!B163/Prices!B162-1</f>
        <v>-3.1561461794019974E-2</v>
      </c>
      <c r="C163" s="36">
        <f>Prices!C163/Prices!C162-1</f>
        <v>-3.2849648918994778E-2</v>
      </c>
      <c r="D163" s="36">
        <f>Prices!D163/Prices!D162-1</f>
        <v>-2.0377526966944837E-3</v>
      </c>
      <c r="E163" s="36">
        <f>Prices!E163/Prices!E162-1</f>
        <v>1.827604182637721E-3</v>
      </c>
      <c r="F163" s="36">
        <f>Prices!F163/Prices!F162-1</f>
        <v>-2.4365831193520204E-3</v>
      </c>
      <c r="G163" s="36">
        <f>Prices!G163/Prices!G162-1</f>
        <v>-1.5558200196193139E-2</v>
      </c>
    </row>
    <row r="164" spans="1:7" x14ac:dyDescent="0.3">
      <c r="A164" s="26">
        <f>Prices!A164</f>
        <v>46177</v>
      </c>
      <c r="B164" s="36">
        <f>Prices!B164/Prices!B163-1</f>
        <v>-1.5866209262435649E-2</v>
      </c>
      <c r="C164" s="36">
        <f>Prices!C164/Prices!C163-1</f>
        <v>-2.4486371375182836E-2</v>
      </c>
      <c r="D164" s="36">
        <f>Prices!D164/Prices!D163-1</f>
        <v>-3.403873410932956E-3</v>
      </c>
      <c r="E164" s="36">
        <f>Prices!E164/Prices!E163-1</f>
        <v>-6.7477181318984059E-2</v>
      </c>
      <c r="F164" s="36">
        <f>Prices!F164/Prices!F163-1</f>
        <v>-2.1006294405340409E-2</v>
      </c>
      <c r="G164" s="36">
        <f>Prices!G164/Prices!G163-1</f>
        <v>-1.4817125387908359E-2</v>
      </c>
    </row>
    <row r="165" spans="1:7" x14ac:dyDescent="0.3">
      <c r="A165" s="26">
        <f>Prices!A165</f>
        <v>46178</v>
      </c>
      <c r="B165" s="36">
        <f>Prices!B165/Prices!B164-1</f>
        <v>-1.263616557734204E-2</v>
      </c>
      <c r="C165" s="36">
        <f>Prices!C165/Prices!C164-1</f>
        <v>-8.9071477672144628E-3</v>
      </c>
      <c r="D165" s="36">
        <f>Prices!D165/Prices!D164-1</f>
        <v>-3.14210838444684E-2</v>
      </c>
      <c r="E165" s="36">
        <f>Prices!E165/Prices!E164-1</f>
        <v>-3.5202428405623598E-2</v>
      </c>
      <c r="F165" s="36">
        <f>Prices!F165/Prices!F164-1</f>
        <v>-1.097800792490744E-2</v>
      </c>
      <c r="G165" s="36">
        <f>Prices!G165/Prices!G164-1</f>
        <v>-1.1541067554609374E-2</v>
      </c>
    </row>
    <row r="166" spans="1:7" x14ac:dyDescent="0.3">
      <c r="A166" s="26">
        <f>Prices!A166</f>
        <v>46181</v>
      </c>
      <c r="B166" s="36">
        <f>Prices!B166/Prices!B165-1</f>
        <v>-1.5004413062665534E-2</v>
      </c>
      <c r="C166" s="36">
        <f>Prices!C166/Prices!C165-1</f>
        <v>-2.9412053380096004E-2</v>
      </c>
      <c r="D166" s="36">
        <f>Prices!D166/Prices!D165-1</f>
        <v>3.5262994902598432E-3</v>
      </c>
      <c r="E166" s="36">
        <f>Prices!E166/Prices!E165-1</f>
        <v>-1.8243427140602009E-2</v>
      </c>
      <c r="F166" s="36">
        <f>Prices!F166/Prices!F165-1</f>
        <v>-2.4218091458387492E-2</v>
      </c>
      <c r="G166" s="36">
        <f>Prices!G166/Prices!G165-1</f>
        <v>-1.2214138309359246E-2</v>
      </c>
    </row>
    <row r="167" spans="1:7" x14ac:dyDescent="0.3">
      <c r="A167" s="26">
        <f>Prices!A167</f>
        <v>46182</v>
      </c>
      <c r="B167" s="36">
        <f>Prices!B167/Prices!B166-1</f>
        <v>1.5232974910394326E-2</v>
      </c>
      <c r="C167" s="36">
        <f>Prices!C167/Prices!C166-1</f>
        <v>-1.4309815382229862E-2</v>
      </c>
      <c r="D167" s="36">
        <f>Prices!D167/Prices!D166-1</f>
        <v>-1.4052808902278446E-3</v>
      </c>
      <c r="E167" s="36">
        <f>Prices!E167/Prices!E166-1</f>
        <v>-2.2711710288120468E-2</v>
      </c>
      <c r="F167" s="36">
        <f>Prices!F167/Prices!F166-1</f>
        <v>-7.2389557968746132E-3</v>
      </c>
      <c r="G167" s="36">
        <f>Prices!G167/Prices!G166-1</f>
        <v>-3.6971195329630335E-3</v>
      </c>
    </row>
    <row r="168" spans="1:7" x14ac:dyDescent="0.3">
      <c r="A168" s="26">
        <f>Prices!A168</f>
        <v>46183</v>
      </c>
      <c r="B168" s="36">
        <f>Prices!B168/Prices!B167-1</f>
        <v>2.7360988526037078E-2</v>
      </c>
      <c r="C168" s="36">
        <f>Prices!C168/Prices!C167-1</f>
        <v>-2.9654941877613417E-2</v>
      </c>
      <c r="D168" s="36">
        <f>Prices!D168/Prices!D167-1</f>
        <v>-4.7853860095877443E-2</v>
      </c>
      <c r="E168" s="36">
        <f>Prices!E168/Prices!E167-1</f>
        <v>-1.0562386444062932E-2</v>
      </c>
      <c r="F168" s="36">
        <f>Prices!F168/Prices!F167-1</f>
        <v>-2.6040983339337131E-3</v>
      </c>
      <c r="G168" s="36">
        <f>Prices!G168/Prices!G167-1</f>
        <v>-6.4292168179596043E-3</v>
      </c>
    </row>
    <row r="169" spans="1:7" x14ac:dyDescent="0.3">
      <c r="A169" s="26">
        <f>Prices!A169</f>
        <v>46184</v>
      </c>
      <c r="B169" s="36">
        <f>Prices!B169/Prices!B168-1</f>
        <v>-1.8041237113402109E-2</v>
      </c>
      <c r="C169" s="36">
        <f>Prices!C169/Prices!C168-1</f>
        <v>-5.3744493392070436E-2</v>
      </c>
      <c r="D169" s="36">
        <f>Prices!D169/Prices!D168-1</f>
        <v>2.3651486489798756E-2</v>
      </c>
      <c r="E169" s="36">
        <f>Prices!E169/Prices!E168-1</f>
        <v>4.9822104867818684E-2</v>
      </c>
      <c r="F169" s="36">
        <f>Prices!F169/Prices!F168-1</f>
        <v>-2.3498607787144188E-2</v>
      </c>
      <c r="G169" s="36">
        <f>Prices!G169/Prices!G168-1</f>
        <v>-6.5008216233252147E-3</v>
      </c>
    </row>
    <row r="170" spans="1:7" x14ac:dyDescent="0.3">
      <c r="A170" s="26">
        <f>Prices!A170</f>
        <v>46185</v>
      </c>
      <c r="B170" s="36">
        <f>Prices!B170/Prices!B169-1</f>
        <v>1.3998250218722808E-2</v>
      </c>
      <c r="C170" s="36">
        <f>Prices!C170/Prices!C169-1</f>
        <v>2.607076350093096E-2</v>
      </c>
      <c r="D170" s="36">
        <f>Prices!D170/Prices!D169-1</f>
        <v>3.1046847066471539E-2</v>
      </c>
      <c r="E170" s="36">
        <f>Prices!E170/Prices!E169-1</f>
        <v>1.0847153987530556E-2</v>
      </c>
      <c r="F170" s="36">
        <f>Prices!F170/Prices!F169-1</f>
        <v>1.7647137262436496E-2</v>
      </c>
      <c r="G170" s="36">
        <f>Prices!G170/Prices!G169-1</f>
        <v>1.9332958507224829E-2</v>
      </c>
    </row>
    <row r="171" spans="1:7" x14ac:dyDescent="0.3">
      <c r="A171" s="26">
        <f>Prices!A171</f>
        <v>46188</v>
      </c>
      <c r="B171" s="36">
        <f>Prices!B171/Prices!B170-1</f>
        <v>-8.6281276962899556E-3</v>
      </c>
      <c r="C171" s="36">
        <f>Prices!C171/Prices!C170-1</f>
        <v>-8.1669691470055428E-3</v>
      </c>
      <c r="D171" s="36">
        <f>Prices!D171/Prices!D170-1</f>
        <v>2.1008217088193781E-2</v>
      </c>
      <c r="E171" s="36">
        <f>Prices!E171/Prices!E170-1</f>
        <v>2.6156892727562608E-2</v>
      </c>
      <c r="F171" s="36">
        <f>Prices!F171/Prices!F170-1</f>
        <v>1.6289904463010263E-2</v>
      </c>
      <c r="G171" s="36">
        <f>Prices!G171/Prices!G170-1</f>
        <v>5.0396390505684785E-3</v>
      </c>
    </row>
    <row r="172" spans="1:7" x14ac:dyDescent="0.3">
      <c r="A172" s="26">
        <f>Prices!A172</f>
        <v>46189</v>
      </c>
      <c r="B172" s="36">
        <f>Prices!B172/Prices!B171-1</f>
        <v>-2.6544821583986189E-2</v>
      </c>
      <c r="C172" s="36">
        <f>Prices!C172/Prices!C171-1</f>
        <v>-2.1043000914913068E-2</v>
      </c>
      <c r="D172" s="36">
        <f>Prices!D172/Prices!D171-1</f>
        <v>1.37154640823689E-3</v>
      </c>
      <c r="E172" s="36">
        <f>Prices!E172/Prices!E171-1</f>
        <v>-1.6994310657578393E-2</v>
      </c>
      <c r="F172" s="36">
        <f>Prices!F172/Prices!F171-1</f>
        <v>-2.0681979049629318E-3</v>
      </c>
      <c r="G172" s="36">
        <f>Prices!G172/Prices!G171-1</f>
        <v>-1.4037166753964825E-2</v>
      </c>
    </row>
    <row r="173" spans="1:7" x14ac:dyDescent="0.3">
      <c r="A173" s="26">
        <f>Prices!A173</f>
        <v>46190</v>
      </c>
      <c r="B173" s="36">
        <f>Prices!B173/Prices!B172-1</f>
        <v>-4.4702726866339138E-3</v>
      </c>
      <c r="C173" s="36">
        <f>Prices!C173/Prices!C172-1</f>
        <v>-9.3457943925223663E-4</v>
      </c>
      <c r="D173" s="36">
        <f>Prices!D173/Prices!D172-1</f>
        <v>1.3698743278131476E-2</v>
      </c>
      <c r="E173" s="36">
        <f>Prices!E173/Prices!E172-1</f>
        <v>-1.9939578657552914E-3</v>
      </c>
      <c r="F173" s="36">
        <f>Prices!F173/Prices!F172-1</f>
        <v>-6.735837365360986E-3</v>
      </c>
      <c r="G173" s="36">
        <f>Prices!G173/Prices!G172-1</f>
        <v>-7.4217921542844012E-3</v>
      </c>
    </row>
    <row r="174" spans="1:7" x14ac:dyDescent="0.3">
      <c r="A174" s="26">
        <f>Prices!A174</f>
        <v>46191</v>
      </c>
      <c r="B174" s="36">
        <f>Prices!B174/Prices!B173-1</f>
        <v>-1.1674898967220404E-2</v>
      </c>
      <c r="C174" s="36">
        <f>Prices!C174/Prices!C173-1</f>
        <v>-1.8709073900841866E-2</v>
      </c>
      <c r="D174" s="36">
        <f>Prices!D174/Prices!D173-1</f>
        <v>6.7571512958222169E-3</v>
      </c>
      <c r="E174" s="36">
        <f>Prices!E174/Prices!E173-1</f>
        <v>-1.7988184100463434E-2</v>
      </c>
      <c r="F174" s="36">
        <f>Prices!F174/Prices!F173-1</f>
        <v>-2.2430823009479184E-2</v>
      </c>
      <c r="G174" s="36">
        <f>Prices!G174/Prices!G173-1</f>
        <v>-1.5932344012770994E-2</v>
      </c>
    </row>
    <row r="175" spans="1:7" x14ac:dyDescent="0.3">
      <c r="A175" s="26">
        <f>Prices!A175</f>
        <v>46195</v>
      </c>
      <c r="B175" s="36">
        <f>Prices!B175/Prices!B174-1</f>
        <v>-1.6356201726487885E-2</v>
      </c>
      <c r="C175" s="36">
        <f>Prices!C175/Prices!C174-1</f>
        <v>-1.9065776930409895E-2</v>
      </c>
      <c r="D175" s="36">
        <f>Prices!D175/Prices!D174-1</f>
        <v>-7.382843639100467E-3</v>
      </c>
      <c r="E175" s="36">
        <f>Prices!E175/Prices!E174-1</f>
        <v>7.4631658197390482E-3</v>
      </c>
      <c r="F175" s="36">
        <f>Prices!F175/Prices!F174-1</f>
        <v>7.4707257854500497E-3</v>
      </c>
      <c r="G175" s="36">
        <f>Prices!G175/Prices!G174-1</f>
        <v>-6.5325909268958426E-3</v>
      </c>
    </row>
    <row r="176" spans="1:7" x14ac:dyDescent="0.3">
      <c r="A176" s="26">
        <f>Prices!A176</f>
        <v>46196</v>
      </c>
      <c r="B176" s="36">
        <f>Prices!B176/Prices!B175-1</f>
        <v>-4.2032332563510355E-2</v>
      </c>
      <c r="C176" s="36">
        <f>Prices!C176/Prices!C175-1</f>
        <v>-3.8386783284742543E-2</v>
      </c>
      <c r="D176" s="36">
        <f>Prices!D176/Prices!D175-1</f>
        <v>5.4089678390285556E-3</v>
      </c>
      <c r="E176" s="36">
        <f>Prices!E176/Prices!E175-1</f>
        <v>-1.7509286974636606E-2</v>
      </c>
      <c r="F176" s="36">
        <f>Prices!F176/Prices!F175-1</f>
        <v>-1.7478890937995373E-2</v>
      </c>
      <c r="G176" s="36">
        <f>Prices!G176/Prices!G175-1</f>
        <v>-1.8185406962347828E-2</v>
      </c>
    </row>
    <row r="177" spans="1:7" x14ac:dyDescent="0.3">
      <c r="A177" s="26">
        <f>Prices!A177</f>
        <v>46197</v>
      </c>
      <c r="B177" s="36">
        <f>Prices!B177/Prices!B176-1</f>
        <v>3.3751205400192941E-2</v>
      </c>
      <c r="C177" s="36">
        <f>Prices!C177/Prices!C176-1</f>
        <v>4.5477513895906263E-3</v>
      </c>
      <c r="D177" s="36">
        <f>Prices!D177/Prices!D176-1</f>
        <v>-3.3626711069784099E-3</v>
      </c>
      <c r="E177" s="36">
        <f>Prices!E177/Prices!E176-1</f>
        <v>9.5967355638288954E-3</v>
      </c>
      <c r="F177" s="36">
        <f>Prices!F177/Prices!F176-1</f>
        <v>5.3906936053205179E-4</v>
      </c>
      <c r="G177" s="36">
        <f>Prices!G177/Prices!G176-1</f>
        <v>3.2524636435937726E-3</v>
      </c>
    </row>
    <row r="178" spans="1:7" x14ac:dyDescent="0.3">
      <c r="A178" s="26">
        <f>Prices!A178</f>
        <v>46198</v>
      </c>
      <c r="B178" s="36">
        <f>Prices!B178/Prices!B177-1</f>
        <v>-1.7257462686567249E-2</v>
      </c>
      <c r="C178" s="36">
        <f>Prices!C178/Prices!C177-1</f>
        <v>-4.4265593561368277E-2</v>
      </c>
      <c r="D178" s="36">
        <f>Prices!D178/Prices!D177-1</f>
        <v>6.753458096013798E-4</v>
      </c>
      <c r="E178" s="36">
        <f>Prices!E178/Prices!E177-1</f>
        <v>-1.9687843963000606E-2</v>
      </c>
      <c r="F178" s="36">
        <f>Prices!F178/Prices!F177-1</f>
        <v>-1.239218937818598E-2</v>
      </c>
      <c r="G178" s="36">
        <f>Prices!G178/Prices!G177-1</f>
        <v>-1.43203026927049E-2</v>
      </c>
    </row>
    <row r="179" spans="1:7" x14ac:dyDescent="0.3">
      <c r="A179" s="26">
        <f>Prices!A179</f>
        <v>46199</v>
      </c>
      <c r="B179" s="36">
        <f>Prices!B179/Prices!B178-1</f>
        <v>-2.2781205505457924E-2</v>
      </c>
      <c r="C179" s="36">
        <f>Prices!C179/Prices!C178-1</f>
        <v>-5.7894736842105221E-2</v>
      </c>
      <c r="D179" s="36">
        <f>Prices!D179/Prices!D178-1</f>
        <v>-4.0459521505683549E-3</v>
      </c>
      <c r="E179" s="36">
        <f>Prices!E179/Prices!E178-1</f>
        <v>-1.9391435577140514E-2</v>
      </c>
      <c r="F179" s="36">
        <f>Prices!F179/Prices!F178-1</f>
        <v>-1.2002143289449596E-2</v>
      </c>
      <c r="G179" s="36">
        <f>Prices!G179/Prices!G178-1</f>
        <v>-1.7552211127467077E-2</v>
      </c>
    </row>
    <row r="180" spans="1:7" x14ac:dyDescent="0.3">
      <c r="A180" s="26">
        <f>Prices!A180</f>
        <v>46202</v>
      </c>
      <c r="B180" s="36">
        <f>Prices!B180/Prices!B179-1</f>
        <v>2.0398251578436E-2</v>
      </c>
      <c r="C180" s="36">
        <f>Prices!C180/Prices!C179-1</f>
        <v>3.9106145251396551E-2</v>
      </c>
      <c r="D180" s="36">
        <f>Prices!D180/Prices!D179-1</f>
        <v>-6.7695133774414717E-4</v>
      </c>
      <c r="E180" s="36">
        <f>Prices!E180/Prices!E179-1</f>
        <v>1.9774899262228418E-2</v>
      </c>
      <c r="F180" s="36">
        <f>Prices!F180/Prices!F179-1</f>
        <v>1.3252277722061612E-2</v>
      </c>
      <c r="G180" s="36">
        <f>Prices!G180/Prices!G179-1</f>
        <v>1.5650251430193718E-2</v>
      </c>
    </row>
    <row r="181" spans="1:7" x14ac:dyDescent="0.3">
      <c r="A181" s="26">
        <f>Prices!A181</f>
        <v>46203</v>
      </c>
      <c r="B181" s="36">
        <f>Prices!B181/Prices!B180-1</f>
        <v>2.2846263683960144E-2</v>
      </c>
      <c r="C181" s="36">
        <f>Prices!C181/Prices!C180-1</f>
        <v>-1.612903225806539E-3</v>
      </c>
      <c r="D181" s="36">
        <f>Prices!D181/Prices!D180-1</f>
        <v>2.0322297338697393E-3</v>
      </c>
      <c r="E181" s="36">
        <f>Prices!E181/Prices!E180-1</f>
        <v>-1.0388219246100894E-2</v>
      </c>
      <c r="F181" s="36">
        <f>Prices!F181/Prices!F180-1</f>
        <v>-1.0899172737785845E-2</v>
      </c>
      <c r="G181" s="36">
        <f>Prices!G181/Prices!G180-1</f>
        <v>-6.3257144276863686E-3</v>
      </c>
    </row>
    <row r="182" spans="1:7" x14ac:dyDescent="0.3">
      <c r="A182" s="26">
        <f>Prices!A182</f>
        <v>46205</v>
      </c>
      <c r="B182" s="36">
        <f>Prices!B182/Prices!B181-1</f>
        <v>9.3066542577946443E-4</v>
      </c>
      <c r="C182" s="36">
        <f>Prices!C182/Prices!C181-1</f>
        <v>1.7770597738287597E-2</v>
      </c>
      <c r="D182" s="36">
        <f>Prices!D182/Prices!D181-1</f>
        <v>1.0817935678057333E-2</v>
      </c>
      <c r="E182" s="36">
        <f>Prices!E182/Prices!E181-1</f>
        <v>1.8894517122891807E-2</v>
      </c>
      <c r="F182" s="36">
        <f>Prices!F182/Prices!F181-1</f>
        <v>1.2672122703920596E-2</v>
      </c>
      <c r="G182" s="36">
        <f>Prices!G182/Prices!G181-1</f>
        <v>7.6049845593637588E-3</v>
      </c>
    </row>
    <row r="183" spans="1:7" x14ac:dyDescent="0.3">
      <c r="A183" s="26">
        <f>Prices!A183</f>
        <v>46206</v>
      </c>
      <c r="B183" s="36">
        <f>Prices!B183/Prices!B182-1</f>
        <v>2.3245002324501218E-3</v>
      </c>
      <c r="C183" s="36">
        <f>Prices!C183/Prices!C182-1</f>
        <v>-4.2328042328042548E-3</v>
      </c>
      <c r="D183" s="36">
        <f>Prices!D183/Prices!D182-1</f>
        <v>1.672271375921941E-2</v>
      </c>
      <c r="E183" s="36">
        <f>Prices!E183/Prices!E182-1</f>
        <v>6.1804560368723394E-3</v>
      </c>
      <c r="F183" s="36">
        <f>Prices!F183/Prices!F182-1</f>
        <v>2.0130600966563605E-2</v>
      </c>
      <c r="G183" s="36">
        <f>Prices!G183/Prices!G182-1</f>
        <v>1.2795472786495177E-2</v>
      </c>
    </row>
    <row r="184" spans="1:7" x14ac:dyDescent="0.3">
      <c r="A184" s="26">
        <f>Prices!A184</f>
        <v>46209</v>
      </c>
      <c r="B184" s="36">
        <f>Prices!B184/Prices!B183-1</f>
        <v>4.8237476808905333E-2</v>
      </c>
      <c r="C184" s="36">
        <f>Prices!C184/Prices!C183-1</f>
        <v>1.965993623804474E-2</v>
      </c>
      <c r="D184" s="36">
        <f>Prices!D184/Prices!D183-1</f>
        <v>0</v>
      </c>
      <c r="E184" s="36">
        <f>Prices!E184/Prices!E183-1</f>
        <v>1.0239320751396663E-2</v>
      </c>
      <c r="F184" s="36">
        <f>Prices!F184/Prices!F183-1</f>
        <v>3.733235046975425E-3</v>
      </c>
      <c r="G184" s="36">
        <f>Prices!G184/Prices!G183-1</f>
        <v>1.1404311171463899E-2</v>
      </c>
    </row>
    <row r="185" spans="1:7" x14ac:dyDescent="0.3">
      <c r="A185" s="26">
        <f>Prices!A185</f>
        <v>46210</v>
      </c>
      <c r="B185" s="36">
        <f>Prices!B185/Prices!B184-1</f>
        <v>2.0353982300884921E-2</v>
      </c>
      <c r="C185" s="36">
        <f>Prices!C185/Prices!C184-1</f>
        <v>-1.5633142261595179E-3</v>
      </c>
      <c r="D185" s="36">
        <f>Prices!D185/Prices!D184-1</f>
        <v>8.5527324846490504E-3</v>
      </c>
      <c r="E185" s="36">
        <f>Prices!E185/Prices!E184-1</f>
        <v>-1.8918404006314171E-2</v>
      </c>
      <c r="F185" s="36">
        <f>Prices!F185/Prices!F184-1</f>
        <v>-1.594007074200654E-3</v>
      </c>
      <c r="G185" s="36">
        <f>Prices!G185/Prices!G184-1</f>
        <v>-5.0570833424884443E-3</v>
      </c>
    </row>
    <row r="186" spans="1:7" x14ac:dyDescent="0.3">
      <c r="A186" s="26">
        <f>Prices!A186</f>
        <v>46211</v>
      </c>
      <c r="B186" s="36">
        <f>Prices!B186/Prices!B185-1</f>
        <v>3.8161318300086844E-2</v>
      </c>
      <c r="C186" s="36">
        <f>Prices!C186/Prices!C185-1</f>
        <v>0.12212943632567863</v>
      </c>
      <c r="D186" s="36">
        <f>Prices!D186/Prices!D185-1</f>
        <v>-9.1324260776254329E-3</v>
      </c>
      <c r="E186" s="36">
        <f>Prices!E186/Prices!E185-1</f>
        <v>1.5151094823687927E-2</v>
      </c>
      <c r="F186" s="36">
        <f>Prices!F186/Prices!F185-1</f>
        <v>1.3304870742934183E-2</v>
      </c>
      <c r="G186" s="36">
        <f>Prices!G186/Prices!G185-1</f>
        <v>2.9900564800688922E-2</v>
      </c>
    </row>
    <row r="187" spans="1:7" x14ac:dyDescent="0.3">
      <c r="A187" s="26">
        <f>Prices!A187</f>
        <v>46212</v>
      </c>
      <c r="B187" s="36">
        <f>Prices!B187/Prices!B186-1</f>
        <v>-1.9214703425229684E-2</v>
      </c>
      <c r="C187" s="36">
        <f>Prices!C187/Prices!C186-1</f>
        <v>4.6511627906977715E-3</v>
      </c>
      <c r="D187" s="36">
        <f>Prices!D187/Prices!D186-1</f>
        <v>2.6329351074112495E-3</v>
      </c>
      <c r="E187" s="36">
        <f>Prices!E187/Prices!E186-1</f>
        <v>-1.8995410330650109E-2</v>
      </c>
      <c r="F187" s="36">
        <f>Prices!F187/Prices!F186-1</f>
        <v>-1.0503926544145337E-3</v>
      </c>
      <c r="G187" s="36">
        <f>Prices!G187/Prices!G186-1</f>
        <v>-6.9952467412196517E-3</v>
      </c>
    </row>
    <row r="188" spans="1:7" x14ac:dyDescent="0.3">
      <c r="A188" s="26">
        <f>Prices!A188</f>
        <v>46213</v>
      </c>
      <c r="B188" s="36">
        <f>Prices!B188/Prices!B187-1</f>
        <v>-2.0017035775127812E-2</v>
      </c>
      <c r="C188" s="36">
        <f>Prices!C188/Prices!C187-1</f>
        <v>2.0370370370370372E-2</v>
      </c>
      <c r="D188" s="36">
        <f>Prices!D188/Prices!D187-1</f>
        <v>7.8793825023868447E-3</v>
      </c>
      <c r="E188" s="36">
        <f>Prices!E188/Prices!E187-1</f>
        <v>4.8401092541494606E-3</v>
      </c>
      <c r="F188" s="36">
        <f>Prices!F188/Prices!F187-1</f>
        <v>1.2092752214832858E-2</v>
      </c>
      <c r="G188" s="36">
        <f>Prices!G188/Prices!G187-1</f>
        <v>6.0315570590592227E-3</v>
      </c>
    </row>
    <row r="189" spans="1:7" x14ac:dyDescent="0.3">
      <c r="A189" s="26">
        <f>Prices!A189</f>
        <v>46216</v>
      </c>
      <c r="B189" s="36">
        <f>Prices!B189/Prices!B188-1</f>
        <v>-5.6497175141242417E-3</v>
      </c>
      <c r="C189" s="36">
        <f>Prices!C189/Prices!C188-1</f>
        <v>4.5372050816696596E-3</v>
      </c>
      <c r="D189" s="36">
        <f>Prices!D189/Prices!D188-1</f>
        <v>1.9541184765339281E-3</v>
      </c>
      <c r="E189" s="36">
        <f>Prices!E189/Prices!E188-1</f>
        <v>-3.4403701516700913E-3</v>
      </c>
      <c r="F189" s="36">
        <f>Prices!F189/Prices!F188-1</f>
        <v>6.7530682246264018E-3</v>
      </c>
      <c r="G189" s="36">
        <f>Prices!G189/Prices!G188-1</f>
        <v>1.5967491138442202E-3</v>
      </c>
    </row>
    <row r="190" spans="1:7" x14ac:dyDescent="0.3">
      <c r="A190" s="26">
        <f>Prices!A190</f>
        <v>46217</v>
      </c>
      <c r="B190" s="36">
        <f>Prices!B190/Prices!B189-1</f>
        <v>-3.0594405594406293E-3</v>
      </c>
      <c r="C190" s="36">
        <f>Prices!C190/Prices!C189-1</f>
        <v>9.0334236675704283E-4</v>
      </c>
      <c r="D190" s="36">
        <f>Prices!D190/Prices!D189-1</f>
        <v>-7.8018827489597653E-3</v>
      </c>
      <c r="E190" s="36">
        <f>Prices!E190/Prices!E189-1</f>
        <v>2.3480009792030465E-2</v>
      </c>
      <c r="F190" s="36">
        <f>Prices!F190/Prices!F189-1</f>
        <v>3.6121388451975101E-3</v>
      </c>
      <c r="G190" s="36">
        <f>Prices!G190/Prices!G189-1</f>
        <v>5.2453648728176816E-3</v>
      </c>
    </row>
    <row r="191" spans="1:7" x14ac:dyDescent="0.3">
      <c r="A191" s="26">
        <f>Prices!A191</f>
        <v>46218</v>
      </c>
      <c r="B191" s="36">
        <f>Prices!B191/Prices!B190-1</f>
        <v>3.9017974572555847E-2</v>
      </c>
      <c r="C191" s="36">
        <f>Prices!C191/Prices!C190-1</f>
        <v>2.3465703971119245E-2</v>
      </c>
      <c r="D191" s="36">
        <f>Prices!D191/Prices!D190-1</f>
        <v>1.7692763075148221E-2</v>
      </c>
      <c r="E191" s="36">
        <f>Prices!E191/Prices!E190-1</f>
        <v>2.8340669689997711E-2</v>
      </c>
      <c r="F191" s="36">
        <f>Prices!F191/Prices!F190-1</f>
        <v>1.1311016722544309E-2</v>
      </c>
      <c r="G191" s="36">
        <f>Prices!G191/Prices!G190-1</f>
        <v>1.3983520338471278E-2</v>
      </c>
    </row>
    <row r="192" spans="1:7" x14ac:dyDescent="0.3">
      <c r="A192" s="26">
        <f>Prices!A192</f>
        <v>46219</v>
      </c>
      <c r="B192" s="36">
        <f>Prices!B192/Prices!B191-1</f>
        <v>2.1097046413502074E-2</v>
      </c>
      <c r="C192" s="36">
        <f>Prices!C192/Prices!C191-1</f>
        <v>3.0864197530864113E-2</v>
      </c>
      <c r="D192" s="36">
        <f>Prices!D192/Prices!D191-1</f>
        <v>1.0303114616730946E-2</v>
      </c>
      <c r="E192" s="36">
        <f>Prices!E192/Prices!E191-1</f>
        <v>-1.3122995373252566E-3</v>
      </c>
      <c r="F192" s="36">
        <f>Prices!F192/Prices!F191-1</f>
        <v>7.1175086158565826E-3</v>
      </c>
      <c r="G192" s="36">
        <f>Prices!G192/Prices!G191-1</f>
        <v>1.3269262930246439E-2</v>
      </c>
    </row>
    <row r="193" spans="1:7" x14ac:dyDescent="0.3">
      <c r="A193" s="26">
        <f>Prices!A193</f>
        <v>46220</v>
      </c>
      <c r="B193" s="36">
        <f>Prices!B193/Prices!B192-1</f>
        <v>-4.6280991735537125E-2</v>
      </c>
      <c r="C193" s="36">
        <f>Prices!C193/Prices!C192-1</f>
        <v>-3.6783575705731542E-2</v>
      </c>
      <c r="D193" s="36">
        <f>Prices!D193/Prices!D192-1</f>
        <v>0</v>
      </c>
      <c r="E193" s="36">
        <f>Prices!E193/Prices!E192-1</f>
        <v>-7.2277932602349271E-3</v>
      </c>
      <c r="F193" s="36">
        <f>Prices!F193/Prices!F192-1</f>
        <v>-1.3124851005762439E-2</v>
      </c>
      <c r="G193" s="36">
        <f>Prices!G193/Prices!G192-1</f>
        <v>-1.7848236492218561E-2</v>
      </c>
    </row>
    <row r="194" spans="1:7" x14ac:dyDescent="0.3">
      <c r="A194" s="26">
        <f>Prices!A194</f>
        <v>46223</v>
      </c>
      <c r="B194" s="36">
        <f>Prices!B194/Prices!B193-1</f>
        <v>3.5095320623916848E-2</v>
      </c>
      <c r="C194" s="36">
        <f>Prices!C194/Prices!C193-1</f>
        <v>3.7300177619893349E-2</v>
      </c>
      <c r="D194" s="36">
        <f>Prices!D194/Prices!D193-1</f>
        <v>5.7359588773506776E-3</v>
      </c>
      <c r="E194" s="36">
        <f>Prices!E194/Prices!E193-1</f>
        <v>2.6471811386343802E-3</v>
      </c>
      <c r="F194" s="36">
        <f>Prices!F194/Prices!F193-1</f>
        <v>1.6368376718911337E-2</v>
      </c>
      <c r="G194" s="36">
        <f>Prices!G194/Prices!G193-1</f>
        <v>2.3646483190079781E-2</v>
      </c>
    </row>
    <row r="195" spans="1:7" x14ac:dyDescent="0.3">
      <c r="A195" s="26">
        <f>Prices!A195</f>
        <v>46224</v>
      </c>
      <c r="B195" s="36">
        <f>Prices!B195/Prices!B194-1</f>
        <v>-7.9531184596065563E-3</v>
      </c>
      <c r="C195" s="36">
        <f>Prices!C195/Prices!C194-1</f>
        <v>1.712328767123239E-3</v>
      </c>
      <c r="D195" s="36">
        <f>Prices!D195/Prices!D194-1</f>
        <v>-8.2383747661325391E-3</v>
      </c>
      <c r="E195" s="36">
        <f>Prices!E195/Prices!E194-1</f>
        <v>1.5841152431874672E-2</v>
      </c>
      <c r="F195" s="36">
        <f>Prices!F195/Prices!F194-1</f>
        <v>5.5358378592402779E-3</v>
      </c>
      <c r="G195" s="36">
        <f>Prices!G195/Prices!G194-1</f>
        <v>-4.2801886237286979E-4</v>
      </c>
    </row>
    <row r="196" spans="1:7" x14ac:dyDescent="0.3">
      <c r="A196" s="26">
        <f>Prices!A196</f>
        <v>46225</v>
      </c>
      <c r="B196" s="36">
        <f>Prices!B196/Prices!B195-1</f>
        <v>-7.0464135021097052E-2</v>
      </c>
      <c r="C196" s="36">
        <f>Prices!C196/Prices!C195-1</f>
        <v>-2.9059829059829068E-2</v>
      </c>
      <c r="D196" s="36">
        <f>Prices!D196/Prices!D195-1</f>
        <v>1.5335845645008783E-2</v>
      </c>
      <c r="E196" s="36">
        <f>Prices!E196/Prices!E195-1</f>
        <v>-6.491008121611852E-4</v>
      </c>
      <c r="F196" s="36">
        <f>Prices!F196/Prices!F195-1</f>
        <v>2.5026915523080895E-3</v>
      </c>
      <c r="G196" s="36">
        <f>Prices!G196/Prices!G195-1</f>
        <v>-9.5347025114398409E-3</v>
      </c>
    </row>
    <row r="197" spans="1:7" x14ac:dyDescent="0.3">
      <c r="A197" s="26">
        <f>Prices!A197</f>
        <v>46226</v>
      </c>
      <c r="B197" s="36">
        <f>Prices!B197/Prices!B196-1</f>
        <v>1.0440308669995346E-2</v>
      </c>
      <c r="C197" s="36">
        <f>Prices!C197/Prices!C196-1</f>
        <v>1.1443661971830998E-2</v>
      </c>
      <c r="D197" s="36">
        <f>Prices!D197/Prices!D196-1</f>
        <v>1.6362050767700254E-2</v>
      </c>
      <c r="E197" s="36">
        <f>Prices!E197/Prices!E196-1</f>
        <v>2.2106024058520024E-2</v>
      </c>
      <c r="F197" s="36">
        <f>Prices!F197/Prices!F196-1</f>
        <v>1.397891615317981E-2</v>
      </c>
      <c r="G197" s="36">
        <f>Prices!G197/Prices!G196-1</f>
        <v>1.2780887918118156E-2</v>
      </c>
    </row>
    <row r="198" spans="1:7" x14ac:dyDescent="0.3">
      <c r="A198" s="26">
        <f>Prices!A198</f>
        <v>46227</v>
      </c>
      <c r="B198" s="36">
        <f>Prices!B198/Prices!B197-1</f>
        <v>-2.3809523809523725E-2</v>
      </c>
      <c r="C198" s="36">
        <f>Prices!C198/Prices!C197-1</f>
        <v>-4.2645778938207202E-2</v>
      </c>
      <c r="D198" s="36">
        <f>Prices!D198/Prices!D197-1</f>
        <v>-6.1910681863708295E-4</v>
      </c>
      <c r="E198" s="36">
        <f>Prices!E198/Prices!E197-1</f>
        <v>-6.3611520027058166E-3</v>
      </c>
      <c r="F198" s="36">
        <f>Prices!F198/Prices!F197-1</f>
        <v>-1.7725293283421206E-2</v>
      </c>
      <c r="G198" s="36">
        <f>Prices!G198/Prices!G197-1</f>
        <v>-9.8203903440549078E-3</v>
      </c>
    </row>
    <row r="199" spans="1:7" x14ac:dyDescent="0.3">
      <c r="A199" s="26">
        <f>Prices!A199</f>
        <v>46230</v>
      </c>
      <c r="B199" s="36">
        <f>Prices!B199/Prices!B198-1</f>
        <v>1.9328117809479961E-2</v>
      </c>
      <c r="C199" s="36">
        <f>Prices!C199/Prices!C198-1</f>
        <v>9.0909090909090384E-3</v>
      </c>
      <c r="D199" s="36">
        <f>Prices!D199/Prices!D198-1</f>
        <v>8.6741100974434548E-3</v>
      </c>
      <c r="E199" s="36">
        <f>Prices!E199/Prices!E198-1</f>
        <v>-1.9199178909529158E-3</v>
      </c>
      <c r="F199" s="36">
        <f>Prices!F199/Prices!F198-1</f>
        <v>3.5089348255403774E-3</v>
      </c>
      <c r="G199" s="36">
        <f>Prices!G199/Prices!G198-1</f>
        <v>9.7723409636425451E-3</v>
      </c>
    </row>
    <row r="200" spans="1:7" x14ac:dyDescent="0.3">
      <c r="A200" s="26">
        <f>Prices!A200</f>
        <v>46231</v>
      </c>
      <c r="B200" s="36">
        <f>Prices!B200/Prices!B199-1</f>
        <v>9.4808126410834692E-3</v>
      </c>
      <c r="C200" s="36">
        <f>Prices!C200/Prices!C199-1</f>
        <v>9.009009009008917E-3</v>
      </c>
      <c r="D200" s="36">
        <f>Prices!D200/Prices!D199-1</f>
        <v>-4.9139215019402549E-3</v>
      </c>
      <c r="E200" s="36">
        <f>Prices!E200/Prices!E199-1</f>
        <v>-6.4206494286633831E-4</v>
      </c>
      <c r="F200" s="36">
        <f>Prices!F200/Prices!F199-1</f>
        <v>8.9910254969836068E-3</v>
      </c>
      <c r="G200" s="36">
        <f>Prices!G200/Prices!G199-1</f>
        <v>4.1127131727474175E-3</v>
      </c>
    </row>
    <row r="201" spans="1:7" x14ac:dyDescent="0.3">
      <c r="A201" s="26">
        <f>Prices!A201</f>
        <v>46232</v>
      </c>
      <c r="B201" s="36">
        <f>Prices!B201/Prices!B200-1</f>
        <v>4.29338103756709E-2</v>
      </c>
      <c r="C201" s="36">
        <f>Prices!C201/Prices!C200-1</f>
        <v>1.4285714285714235E-2</v>
      </c>
      <c r="D201" s="36">
        <f>Prices!D201/Prices!D200-1</f>
        <v>1.6666770049561741E-2</v>
      </c>
      <c r="E201" s="36">
        <f>Prices!E201/Prices!E200-1</f>
        <v>3.2098018532304984E-3</v>
      </c>
      <c r="F201" s="36">
        <f>Prices!F201/Prices!F200-1</f>
        <v>9.405691785040915E-3</v>
      </c>
      <c r="G201" s="36">
        <f>Prices!G201/Prices!G200-1</f>
        <v>1.9638625642973251E-2</v>
      </c>
    </row>
    <row r="202" spans="1:7" x14ac:dyDescent="0.3">
      <c r="A202" s="26">
        <f>Prices!A202</f>
        <v>46233</v>
      </c>
      <c r="B202" s="36">
        <f>Prices!B202/Prices!B201-1</f>
        <v>1.1578044596912695E-2</v>
      </c>
      <c r="C202" s="36">
        <f>Prices!C202/Prices!C201-1</f>
        <v>-1.5845070422535135E-2</v>
      </c>
      <c r="D202" s="36">
        <f>Prices!D202/Prices!D201-1</f>
        <v>-1.2141557133348302E-3</v>
      </c>
      <c r="E202" s="36">
        <f>Prices!E202/Prices!E201-1</f>
        <v>1.9193326211808248E-2</v>
      </c>
      <c r="F202" s="36">
        <f>Prices!F202/Prices!F201-1</f>
        <v>-1.4710213290604068E-3</v>
      </c>
      <c r="G202" s="36">
        <f>Prices!G202/Prices!G201-1</f>
        <v>1.9746264014093295E-3</v>
      </c>
    </row>
    <row r="203" spans="1:7" x14ac:dyDescent="0.3">
      <c r="A203" s="26">
        <f>Prices!A203</f>
        <v>46234</v>
      </c>
      <c r="B203" s="36">
        <f>Prices!B203/Prices!B202-1</f>
        <v>7.2064434082237394E-3</v>
      </c>
      <c r="C203" s="36">
        <f>Prices!C203/Prices!C202-1</f>
        <v>4.6511627906976827E-2</v>
      </c>
      <c r="D203" s="36">
        <f>Prices!D203/Prices!D202-1</f>
        <v>2.2492240421402743E-2</v>
      </c>
      <c r="E203" s="36">
        <f>Prices!E203/Prices!E202-1</f>
        <v>-5.0218346132352432E-3</v>
      </c>
      <c r="F203" s="36">
        <f>Prices!F203/Prices!F202-1</f>
        <v>3.4380228581654126E-3</v>
      </c>
      <c r="G203" s="36">
        <f>Prices!G203/Prices!G202-1</f>
        <v>9.880087270133231E-4</v>
      </c>
    </row>
    <row r="204" spans="1:7" x14ac:dyDescent="0.3">
      <c r="A204" s="26">
        <f>Prices!A204</f>
        <v>46237</v>
      </c>
      <c r="B204" s="36">
        <f>Prices!B204/Prices!B203-1</f>
        <v>3.1986531986532007E-2</v>
      </c>
      <c r="C204" s="36">
        <f>Prices!C204/Prices!C203-1</f>
        <v>7.0085470085470059E-2</v>
      </c>
      <c r="D204" s="36">
        <f>Prices!D204/Prices!D203-1</f>
        <v>0</v>
      </c>
      <c r="E204" s="36">
        <f>Prices!E204/Prices!E203-1</f>
        <v>-8.8325662601305144E-3</v>
      </c>
      <c r="F204" s="36">
        <f>Prices!F204/Prices!F203-1</f>
        <v>9.78926672912106E-4</v>
      </c>
      <c r="G204" s="36">
        <f>Prices!G204/Prices!G203-1</f>
        <v>4.8280260159643262E-3</v>
      </c>
    </row>
    <row r="205" spans="1:7" x14ac:dyDescent="0.3">
      <c r="A205" s="26">
        <f>Prices!A205</f>
        <v>46238</v>
      </c>
      <c r="B205" s="36">
        <f>Prices!B205/Prices!B204-1</f>
        <v>-5.7096247960847224E-3</v>
      </c>
      <c r="C205" s="36">
        <f>Prices!C205/Prices!C204-1</f>
        <v>4.7923322683705027E-3</v>
      </c>
      <c r="D205" s="36">
        <f>Prices!D205/Prices!D204-1</f>
        <v>-1.0107364611319336E-2</v>
      </c>
      <c r="E205" s="36">
        <f>Prices!E205/Prices!E204-1</f>
        <v>-6.3651969236806494E-3</v>
      </c>
      <c r="F205" s="36">
        <f>Prices!F205/Prices!F204-1</f>
        <v>-2.4449232816667887E-3</v>
      </c>
      <c r="G205" s="36">
        <f>Prices!G205/Prices!G204-1</f>
        <v>-6.0163055508191121E-3</v>
      </c>
    </row>
    <row r="206" spans="1:7" x14ac:dyDescent="0.3">
      <c r="A206" s="26">
        <f>Prices!A206</f>
        <v>46239</v>
      </c>
      <c r="B206" s="36">
        <f>Prices!B206/Prices!B205-1</f>
        <v>9.4339622641508303E-3</v>
      </c>
      <c r="C206" s="36">
        <f>Prices!C206/Prices!C205-1</f>
        <v>1.8282988871224148E-2</v>
      </c>
      <c r="D206" s="36">
        <f>Prices!D206/Prices!D205-1</f>
        <v>-2.6426283608473877E-2</v>
      </c>
      <c r="E206" s="36">
        <f>Prices!E206/Prices!E205-1</f>
        <v>-3.8435833189257584E-3</v>
      </c>
      <c r="F206" s="36">
        <f>Prices!F206/Prices!F205-1</f>
        <v>1.6176292299809436E-2</v>
      </c>
      <c r="G206" s="36">
        <f>Prices!G206/Prices!G205-1</f>
        <v>2.4330095108522354E-3</v>
      </c>
    </row>
    <row r="207" spans="1:7" x14ac:dyDescent="0.3">
      <c r="A207" s="26">
        <f>Prices!A207</f>
        <v>46240</v>
      </c>
      <c r="B207" s="36">
        <f>Prices!B207/Prices!B206-1</f>
        <v>-2.6412027631044332E-2</v>
      </c>
      <c r="C207" s="36">
        <f>Prices!C207/Prices!C206-1</f>
        <v>-2.888368462138946E-2</v>
      </c>
      <c r="D207" s="36">
        <f>Prices!D207/Prices!D206-1</f>
        <v>-1.2338163502518373E-2</v>
      </c>
      <c r="E207" s="36">
        <f>Prices!E207/Prices!E206-1</f>
        <v>-5.9164930013638428E-2</v>
      </c>
      <c r="F207" s="36">
        <f>Prices!F207/Prices!F206-1</f>
        <v>-1.1094985408311997E-2</v>
      </c>
      <c r="G207" s="36">
        <f>Prices!G207/Prices!G206-1</f>
        <v>-1.4876665895078856E-2</v>
      </c>
    </row>
    <row r="208" spans="1:7" x14ac:dyDescent="0.3">
      <c r="A208" s="26">
        <f>Prices!A208</f>
        <v>46241</v>
      </c>
      <c r="B208" s="36">
        <f>Prices!B208/Prices!B207-1</f>
        <v>-8.3472454090149917E-4</v>
      </c>
      <c r="C208" s="36">
        <f>Prices!C208/Prices!C207-1</f>
        <v>-4.8231511254019921E-3</v>
      </c>
      <c r="D208" s="36">
        <f>Prices!D208/Prices!D207-1</f>
        <v>6.8709821983377051E-3</v>
      </c>
      <c r="E208" s="36">
        <f>Prices!E208/Prices!E207-1</f>
        <v>1.3671549657970239E-2</v>
      </c>
      <c r="F208" s="36">
        <f>Prices!F208/Prices!F207-1</f>
        <v>3.9025845779270263E-3</v>
      </c>
      <c r="G208" s="36">
        <f>Prices!G208/Prices!G207-1</f>
        <v>5.3955539765677685E-3</v>
      </c>
    </row>
    <row r="209" spans="1:7" x14ac:dyDescent="0.3">
      <c r="A209" s="26">
        <f>Prices!A209</f>
        <v>46244</v>
      </c>
      <c r="B209" s="36">
        <f>Prices!B209/Prices!B208-1</f>
        <v>5.430242272347563E-3</v>
      </c>
      <c r="C209" s="36">
        <f>Prices!C209/Prices!C208-1</f>
        <v>2.342487883683364E-2</v>
      </c>
      <c r="D209" s="36">
        <f>Prices!D209/Prices!D208-1</f>
        <v>8.0646116462792516E-3</v>
      </c>
      <c r="E209" s="36">
        <f>Prices!E209/Prices!E208-1</f>
        <v>4.7193513777792351E-3</v>
      </c>
      <c r="F209" s="36">
        <f>Prices!F209/Prices!F208-1</f>
        <v>1.2633537887631663E-2</v>
      </c>
      <c r="G209" s="36">
        <f>Prices!G209/Prices!G208-1</f>
        <v>1.0497919292931535E-2</v>
      </c>
    </row>
    <row r="210" spans="1:7" x14ac:dyDescent="0.3">
      <c r="A210" s="26">
        <f>Prices!A210</f>
        <v>46245</v>
      </c>
      <c r="B210" s="36">
        <f>Prices!B210/Prices!B209-1</f>
        <v>-2.2019110926464358E-2</v>
      </c>
      <c r="C210" s="36">
        <f>Prices!C210/Prices!C209-1</f>
        <v>-2.3677979479084232E-3</v>
      </c>
      <c r="D210" s="36">
        <f>Prices!D210/Prices!D209-1</f>
        <v>-4.9229920611264522E-3</v>
      </c>
      <c r="E210" s="36">
        <f>Prices!E210/Prices!E209-1</f>
        <v>-2.2147728117544618E-2</v>
      </c>
      <c r="F210" s="36">
        <f>Prices!F210/Prices!F209-1</f>
        <v>-2.7351258849453886E-2</v>
      </c>
      <c r="G210" s="36">
        <f>Prices!G210/Prices!G209-1</f>
        <v>-1.0975229207026427E-2</v>
      </c>
    </row>
    <row r="211" spans="1:7" x14ac:dyDescent="0.3">
      <c r="A211" s="26">
        <f>Prices!A211</f>
        <v>46246</v>
      </c>
      <c r="B211" s="36">
        <f>Prices!B211/Prices!B210-1</f>
        <v>-1.9541206457094229E-2</v>
      </c>
      <c r="C211" s="36">
        <f>Prices!C211/Prices!C210-1</f>
        <v>-3.0063291139240556E-2</v>
      </c>
      <c r="D211" s="36">
        <f>Prices!D211/Prices!D210-1</f>
        <v>-1.8556438357015814E-3</v>
      </c>
      <c r="E211" s="36">
        <f>Prices!E211/Prices!E210-1</f>
        <v>-2.7452931906776223E-3</v>
      </c>
      <c r="F211" s="36">
        <f>Prices!F211/Prices!F210-1</f>
        <v>2.9599614376525363E-3</v>
      </c>
      <c r="G211" s="36">
        <f>Prices!G211/Prices!G210-1</f>
        <v>-8.2895524746648963E-3</v>
      </c>
    </row>
    <row r="212" spans="1:7" x14ac:dyDescent="0.3">
      <c r="A212" s="26">
        <f>Prices!A212</f>
        <v>46247</v>
      </c>
      <c r="B212" s="36">
        <f>Prices!B212/Prices!B211-1</f>
        <v>-4.4627383015597988E-2</v>
      </c>
      <c r="C212" s="36">
        <f>Prices!C212/Prices!C211-1</f>
        <v>-5.7096247960847224E-3</v>
      </c>
      <c r="D212" s="36">
        <f>Prices!D212/Prices!D211-1</f>
        <v>1.4843486852796017E-2</v>
      </c>
      <c r="E212" s="36">
        <f>Prices!E212/Prices!E211-1</f>
        <v>-1.3764252863047721E-3</v>
      </c>
      <c r="F212" s="36">
        <f>Prices!F212/Prices!F211-1</f>
        <v>3.9352182129939184E-3</v>
      </c>
      <c r="G212" s="36">
        <f>Prices!G212/Prices!G211-1</f>
        <v>-1.7161874378834874E-3</v>
      </c>
    </row>
    <row r="213" spans="1:7" x14ac:dyDescent="0.3">
      <c r="A213" s="26">
        <f>Prices!A213</f>
        <v>46248</v>
      </c>
      <c r="B213" s="36">
        <f>Prices!B213/Prices!B212-1</f>
        <v>-2.2675736961451642E-3</v>
      </c>
      <c r="C213" s="36">
        <f>Prices!C213/Prices!C212-1</f>
        <v>-1.6406890894175574E-2</v>
      </c>
      <c r="D213" s="36">
        <f>Prices!D213/Prices!D212-1</f>
        <v>-1.3496932515337345E-2</v>
      </c>
      <c r="E213" s="36">
        <f>Prices!E213/Prices!E212-1</f>
        <v>-2.9634626569004285E-2</v>
      </c>
      <c r="F213" s="36">
        <f>Prices!F213/Prices!F212-1</f>
        <v>-4.4097359269807956E-3</v>
      </c>
      <c r="G213" s="36">
        <f>Prices!G213/Prices!G212-1</f>
        <v>-1.1011757213977402E-2</v>
      </c>
    </row>
    <row r="214" spans="1:7" x14ac:dyDescent="0.3">
      <c r="A214" s="26">
        <f>Prices!A214</f>
        <v>46251</v>
      </c>
      <c r="B214" s="36">
        <f>Prices!B214/Prices!B213-1</f>
        <v>1.4545454545454417E-2</v>
      </c>
      <c r="C214" s="36">
        <f>Prices!C214/Prices!C213-1</f>
        <v>1.9182652210175011E-2</v>
      </c>
      <c r="D214" s="36">
        <f>Prices!D214/Prices!D213-1</f>
        <v>1.6791044776119257E-2</v>
      </c>
      <c r="E214" s="36">
        <f>Prices!E214/Prices!E213-1</f>
        <v>4.2613908632781694E-2</v>
      </c>
      <c r="F214" s="36">
        <f>Prices!F214/Prices!F213-1</f>
        <v>-4.9211304324958682E-4</v>
      </c>
      <c r="G214" s="36">
        <f>Prices!G214/Prices!G213-1</f>
        <v>1.3392639019505159E-2</v>
      </c>
    </row>
    <row r="215" spans="1:7" x14ac:dyDescent="0.3">
      <c r="A215" s="26">
        <f>Prices!A215</f>
        <v>46252</v>
      </c>
      <c r="B215" s="36">
        <f>Prices!B215/Prices!B214-1</f>
        <v>-8.960573476702538E-3</v>
      </c>
      <c r="C215" s="36">
        <f>Prices!C215/Prices!C214-1</f>
        <v>3.6824877250409171E-2</v>
      </c>
      <c r="D215" s="36">
        <f>Prices!D215/Prices!D214-1</f>
        <v>-8.5626911314985454E-3</v>
      </c>
      <c r="E215" s="36">
        <f>Prices!E215/Prices!E214-1</f>
        <v>-1.1580749696109893E-2</v>
      </c>
      <c r="F215" s="36">
        <f>Prices!F215/Prices!F214-1</f>
        <v>-2.9541320263991588E-3</v>
      </c>
      <c r="G215" s="36">
        <f>Prices!G215/Prices!G214-1</f>
        <v>7.0403244098993234E-4</v>
      </c>
    </row>
    <row r="216" spans="1:7" x14ac:dyDescent="0.3">
      <c r="A216" s="26">
        <f>Prices!A216</f>
        <v>46253</v>
      </c>
      <c r="B216" s="36">
        <f>Prices!B216/Prices!B215-1</f>
        <v>1.0849909584086825E-2</v>
      </c>
      <c r="C216" s="36">
        <f>Prices!C216/Prices!C215-1</f>
        <v>-1.9731649565903675E-2</v>
      </c>
      <c r="D216" s="36">
        <f>Prices!D216/Prices!D215-1</f>
        <v>-5.5521283158544987E-3</v>
      </c>
      <c r="E216" s="36">
        <f>Prices!E216/Prices!E215-1</f>
        <v>6.2031450181208037E-3</v>
      </c>
      <c r="F216" s="36">
        <f>Prices!F216/Prices!F215-1</f>
        <v>2.3703580843530192E-2</v>
      </c>
      <c r="G216" s="36">
        <f>Prices!G216/Prices!G215-1</f>
        <v>9.3909774880063246E-4</v>
      </c>
    </row>
    <row r="217" spans="1:7" x14ac:dyDescent="0.3">
      <c r="A217" s="26">
        <f>Prices!A217</f>
        <v>46254</v>
      </c>
      <c r="B217" s="36">
        <f>Prices!B217/Prices!B216-1</f>
        <v>9.3917710196780302E-3</v>
      </c>
      <c r="C217" s="36">
        <f>Prices!C217/Prices!C216-1</f>
        <v>1.6103059581320522E-2</v>
      </c>
      <c r="D217" s="36">
        <f>Prices!D217/Prices!D216-1</f>
        <v>-5.5831265508683448E-3</v>
      </c>
      <c r="E217" s="36">
        <f>Prices!E217/Prices!E216-1</f>
        <v>-3.4252527900014984E-3</v>
      </c>
      <c r="F217" s="36">
        <f>Prices!F217/Prices!F216-1</f>
        <v>7.7183254319570516E-3</v>
      </c>
      <c r="G217" s="36">
        <f>Prices!G217/Prices!G216-1</f>
        <v>7.9787934532582483E-3</v>
      </c>
    </row>
    <row r="218" spans="1:7" x14ac:dyDescent="0.3">
      <c r="A218" s="26">
        <f>Prices!A218</f>
        <v>46255</v>
      </c>
      <c r="B218" s="36">
        <f>Prices!B218/Prices!B217-1</f>
        <v>1.2405848471422232E-2</v>
      </c>
      <c r="C218" s="36">
        <f>Prices!C218/Prices!C217-1</f>
        <v>-2.535657686212367E-2</v>
      </c>
      <c r="D218" s="36">
        <f>Prices!D218/Prices!D217-1</f>
        <v>1.6219588271989993E-2</v>
      </c>
      <c r="E218" s="36">
        <f>Prices!E218/Prices!E217-1</f>
        <v>3.2990184475386597E-2</v>
      </c>
      <c r="F218" s="36">
        <f>Prices!F218/Prices!F217-1</f>
        <v>7.6592091630849346E-3</v>
      </c>
      <c r="G218" s="36">
        <f>Prices!G218/Prices!G217-1</f>
        <v>1.2100738120405241E-2</v>
      </c>
    </row>
    <row r="219" spans="1:7" x14ac:dyDescent="0.3">
      <c r="A219" s="26">
        <f>Prices!A219</f>
        <v>46258</v>
      </c>
      <c r="B219" s="36">
        <f>Prices!B219/Prices!B218-1</f>
        <v>-3.7199124726477018E-2</v>
      </c>
      <c r="C219" s="36">
        <f>Prices!C219/Prices!C218-1</f>
        <v>-8.536585365853655E-2</v>
      </c>
      <c r="D219" s="36">
        <f>Prices!D219/Prices!D218-1</f>
        <v>-8.5942295887048159E-3</v>
      </c>
      <c r="E219" s="36">
        <f>Prices!E219/Prices!E218-1</f>
        <v>-7.3191649023128802E-3</v>
      </c>
      <c r="F219" s="36">
        <f>Prices!F219/Prices!F218-1</f>
        <v>-7.6009915787366156E-3</v>
      </c>
      <c r="G219" s="36">
        <f>Prices!G219/Prices!G218-1</f>
        <v>-1.8921222623264677E-2</v>
      </c>
    </row>
    <row r="220" spans="1:7" x14ac:dyDescent="0.3">
      <c r="A220" s="26">
        <f>Prices!A220</f>
        <v>46259</v>
      </c>
      <c r="B220" s="36">
        <f>Prices!B220/Prices!B219-1</f>
        <v>4.5454545454546302E-3</v>
      </c>
      <c r="C220" s="36">
        <f>Prices!C220/Prices!C219-1</f>
        <v>1.5111111111111075E-2</v>
      </c>
      <c r="D220" s="36">
        <f>Prices!D220/Prices!D219-1</f>
        <v>1.0526315789473717E-2</v>
      </c>
      <c r="E220" s="36">
        <f>Prices!E220/Prices!E219-1</f>
        <v>-3.3504410109099769E-3</v>
      </c>
      <c r="F220" s="36">
        <f>Prices!F220/Prices!F219-1</f>
        <v>0</v>
      </c>
      <c r="G220" s="36">
        <f>Prices!G220/Prices!G219-1</f>
        <v>-2.4416739429955481E-4</v>
      </c>
    </row>
    <row r="221" spans="1:7" x14ac:dyDescent="0.3">
      <c r="A221" s="26">
        <f>Prices!A221</f>
        <v>46260</v>
      </c>
      <c r="B221" s="36">
        <f>Prices!B221/Prices!B220-1</f>
        <v>7.692307692307665E-3</v>
      </c>
      <c r="C221" s="36">
        <f>Prices!C221/Prices!C220-1</f>
        <v>2.1015761821365997E-2</v>
      </c>
      <c r="D221" s="36">
        <f>Prices!D221/Prices!D220-1</f>
        <v>-9.1911764705882026E-3</v>
      </c>
      <c r="E221" s="36">
        <f>Prices!E221/Prices!E220-1</f>
        <v>-2.0181060684043572E-3</v>
      </c>
      <c r="F221" s="36">
        <f>Prices!F221/Prices!F220-1</f>
        <v>7.1805238157531814E-3</v>
      </c>
      <c r="G221" s="36">
        <f>Prices!G221/Prices!G220-1</f>
        <v>5.5611518995442033E-3</v>
      </c>
    </row>
    <row r="222" spans="1:7" x14ac:dyDescent="0.3">
      <c r="A222" s="26">
        <f>Prices!A222</f>
        <v>46261</v>
      </c>
      <c r="B222" s="36">
        <f>Prices!B222/Prices!B221-1</f>
        <v>5.3884149079479471E-3</v>
      </c>
      <c r="C222" s="36">
        <f>Prices!C222/Prices!C221-1</f>
        <v>-9.4339622641509413E-3</v>
      </c>
      <c r="D222" s="36">
        <f>Prices!D222/Prices!D221-1</f>
        <v>6.1842918985788309E-4</v>
      </c>
      <c r="E222" s="36">
        <f>Prices!E222/Prices!E221-1</f>
        <v>6.065203996601598E-3</v>
      </c>
      <c r="F222" s="36">
        <f>Prices!F222/Prices!F221-1</f>
        <v>3.3269084857088238E-3</v>
      </c>
      <c r="G222" s="36">
        <f>Prices!G222/Prices!G221-1</f>
        <v>-3.4004053963232472E-3</v>
      </c>
    </row>
    <row r="223" spans="1:7" x14ac:dyDescent="0.3">
      <c r="A223" s="26">
        <f>Prices!A223</f>
        <v>46262</v>
      </c>
      <c r="B223" s="36">
        <f>Prices!B223/Prices!B222-1</f>
        <v>1.6525234479678463E-2</v>
      </c>
      <c r="C223" s="36">
        <f>Prices!C223/Prices!C222-1</f>
        <v>-1.3852813852813783E-2</v>
      </c>
      <c r="D223" s="36">
        <f>Prices!D223/Prices!D222-1</f>
        <v>-2.4721878862793423E-3</v>
      </c>
      <c r="E223" s="36">
        <f>Prices!E223/Prices!E222-1</f>
        <v>1.1385480813981053E-2</v>
      </c>
      <c r="F223" s="36">
        <f>Prices!F223/Prices!F222-1</f>
        <v>4.2635113243643108E-3</v>
      </c>
      <c r="G223" s="36">
        <f>Prices!G223/Prices!G222-1</f>
        <v>7.4509479682505209E-4</v>
      </c>
    </row>
    <row r="224" spans="1:7" x14ac:dyDescent="0.3">
      <c r="A224" s="26">
        <f>Prices!A224</f>
        <v>46265</v>
      </c>
      <c r="B224" s="36">
        <f>Prices!B224/Prices!B223-1</f>
        <v>-4.833040421792556E-3</v>
      </c>
      <c r="C224" s="36">
        <f>Prices!C224/Prices!C223-1</f>
        <v>2.6338893766462146E-3</v>
      </c>
      <c r="D224" s="36">
        <f>Prices!D224/Prices!D223-1</f>
        <v>-2.4783147459728205E-3</v>
      </c>
      <c r="E224" s="36">
        <f>Prices!E224/Prices!E223-1</f>
        <v>9.9341767424490079E-3</v>
      </c>
      <c r="F224" s="36">
        <f>Prices!F224/Prices!F223-1</f>
        <v>2.830113948693036E-3</v>
      </c>
      <c r="G224" s="36">
        <f>Prices!G224/Prices!G223-1</f>
        <v>-6.9568288917420951E-4</v>
      </c>
    </row>
    <row r="225" spans="1:7" x14ac:dyDescent="0.3">
      <c r="A225" s="26">
        <f>Prices!A225</f>
        <v>46266</v>
      </c>
      <c r="B225" s="36">
        <f>Prices!B225/Prices!B224-1</f>
        <v>-2.5607064017660108E-2</v>
      </c>
      <c r="C225" s="36">
        <f>Prices!C225/Prices!C224-1</f>
        <v>-3.327495621716281E-2</v>
      </c>
      <c r="D225" s="36">
        <f>Prices!D225/Prices!D224-1</f>
        <v>-2.4844720496894901E-3</v>
      </c>
      <c r="E225" s="36">
        <f>Prices!E225/Prices!E224-1</f>
        <v>-3.9343197087097215E-3</v>
      </c>
      <c r="F225" s="36">
        <f>Prices!F225/Prices!F224-1</f>
        <v>-2.913086147880406E-2</v>
      </c>
      <c r="G225" s="36">
        <f>Prices!G225/Prices!G224-1</f>
        <v>-9.279922984442579E-3</v>
      </c>
    </row>
    <row r="226" spans="1:7" x14ac:dyDescent="0.3">
      <c r="A226" s="26">
        <f>Prices!A226</f>
        <v>46267</v>
      </c>
      <c r="B226" s="36">
        <f>Prices!B226/Prices!B225-1</f>
        <v>-7.2496601721794285E-3</v>
      </c>
      <c r="C226" s="36">
        <f>Prices!C226/Prices!C225-1</f>
        <v>-4.5289855072463414E-3</v>
      </c>
      <c r="D226" s="36">
        <f>Prices!D226/Prices!D225-1</f>
        <v>1.2453300124533051E-2</v>
      </c>
      <c r="E226" s="36">
        <f>Prices!E226/Prices!E225-1</f>
        <v>6.5897290388283736E-4</v>
      </c>
      <c r="F226" s="36">
        <f>Prices!F226/Prices!F225-1</f>
        <v>-2.9585798816569309E-3</v>
      </c>
      <c r="G226" s="36">
        <f>Prices!G226/Prices!G225-1</f>
        <v>-7.3114082283676218E-4</v>
      </c>
    </row>
    <row r="227" spans="1:7" x14ac:dyDescent="0.3">
      <c r="A227" s="26">
        <f>Prices!A227</f>
        <v>46268</v>
      </c>
      <c r="B227" s="36">
        <f>Prices!B227/Prices!B226-1</f>
        <v>-1.186672752167961E-2</v>
      </c>
      <c r="C227" s="36">
        <f>Prices!C227/Prices!C226-1</f>
        <v>-2.1838034576888155E-2</v>
      </c>
      <c r="D227" s="36">
        <f>Prices!D227/Prices!D226-1</f>
        <v>5.5350553505535416E-3</v>
      </c>
      <c r="E227" s="36">
        <f>Prices!E227/Prices!E226-1</f>
        <v>1.7104787193868765E-2</v>
      </c>
      <c r="F227" s="36">
        <f>Prices!F227/Prices!F226-1</f>
        <v>-2.4727992087042461E-3</v>
      </c>
      <c r="G227" s="36">
        <f>Prices!G227/Prices!G226-1</f>
        <v>-3.8678671039005241E-3</v>
      </c>
    </row>
    <row r="228" spans="1:7" x14ac:dyDescent="0.3">
      <c r="A228" s="26">
        <f>Prices!A228</f>
        <v>46269</v>
      </c>
      <c r="B228" s="36">
        <f>Prices!B228/Prices!B227-1</f>
        <v>2.2632794457274841E-2</v>
      </c>
      <c r="C228" s="36">
        <f>Prices!C228/Prices!C227-1</f>
        <v>2.4186046511627923E-2</v>
      </c>
      <c r="D228" s="36">
        <f>Prices!D228/Prices!D227-1</f>
        <v>1.957186544342493E-2</v>
      </c>
      <c r="E228" s="36">
        <f>Prices!E228/Prices!E227-1</f>
        <v>9.6272846888394437E-3</v>
      </c>
      <c r="F228" s="36">
        <f>Prices!F228/Prices!F227-1</f>
        <v>1.3386217154189417E-2</v>
      </c>
      <c r="G228" s="36">
        <f>Prices!G228/Prices!G227-1</f>
        <v>1.7354270078893563E-2</v>
      </c>
    </row>
    <row r="229" spans="1:7" x14ac:dyDescent="0.3">
      <c r="A229" s="26">
        <f>Prices!A229</f>
        <v>46272</v>
      </c>
      <c r="B229" s="36">
        <f>Prices!B229/Prices!B228-1</f>
        <v>-9.936766034327138E-3</v>
      </c>
      <c r="C229" s="36">
        <f>Prices!C229/Prices!C228-1</f>
        <v>-4.5413260672115818E-3</v>
      </c>
      <c r="D229" s="36">
        <f>Prices!D229/Prices!D228-1</f>
        <v>5.3989202159567817E-3</v>
      </c>
      <c r="E229" s="36">
        <f>Prices!E229/Prices!E228-1</f>
        <v>-5.161290322580725E-3</v>
      </c>
      <c r="F229" s="36">
        <f>Prices!F229/Prices!F228-1</f>
        <v>-1.1741682974559686E-2</v>
      </c>
      <c r="G229" s="36">
        <f>Prices!G229/Prices!G228-1</f>
        <v>-9.2686917964897031E-3</v>
      </c>
    </row>
    <row r="230" spans="1:7" x14ac:dyDescent="0.3">
      <c r="A230" s="26">
        <f>Prices!A230</f>
        <v>46273</v>
      </c>
      <c r="B230" s="36">
        <f>Prices!B230/Prices!B229-1</f>
        <v>-6.8430656934306278E-3</v>
      </c>
      <c r="C230" s="36">
        <f>Prices!C230/Prices!C229-1</f>
        <v>-9.1240875912401709E-4</v>
      </c>
      <c r="D230" s="36">
        <f>Prices!D230/Prices!D229-1</f>
        <v>-1.610978520286388E-2</v>
      </c>
      <c r="E230" s="36">
        <f>Prices!E230/Prices!E229-1</f>
        <v>-2.5940337224382715E-3</v>
      </c>
      <c r="F230" s="36">
        <f>Prices!F230/Prices!F229-1</f>
        <v>-4.9504950495049549E-3</v>
      </c>
      <c r="G230" s="36">
        <f>Prices!G230/Prices!G229-1</f>
        <v>-3.7751918456950806E-3</v>
      </c>
    </row>
    <row r="231" spans="1:7" x14ac:dyDescent="0.3">
      <c r="A231" s="26">
        <f>Prices!A231</f>
        <v>46274</v>
      </c>
      <c r="B231" s="36">
        <f>Prices!B231/Prices!B230-1</f>
        <v>-3.215434083601254E-3</v>
      </c>
      <c r="C231" s="36">
        <f>Prices!C231/Prices!C230-1</f>
        <v>2.739726027397138E-3</v>
      </c>
      <c r="D231" s="36">
        <f>Prices!D231/Prices!D230-1</f>
        <v>6.6707095209217471E-3</v>
      </c>
      <c r="E231" s="36">
        <f>Prices!E231/Prices!E230-1</f>
        <v>6.5019505851759973E-4</v>
      </c>
      <c r="F231" s="36">
        <f>Prices!F231/Prices!F230-1</f>
        <v>-3.9800995024875663E-3</v>
      </c>
      <c r="G231" s="36">
        <f>Prices!G231/Prices!G230-1</f>
        <v>-1.6675949098706733E-3</v>
      </c>
    </row>
    <row r="232" spans="1:7" x14ac:dyDescent="0.3">
      <c r="A232" s="26">
        <f>Prices!A232</f>
        <v>46275</v>
      </c>
      <c r="B232" s="36">
        <f>Prices!B232/Prices!B231-1</f>
        <v>-1.9354838709677358E-2</v>
      </c>
      <c r="C232" s="36">
        <f>Prices!C232/Prices!C231-1</f>
        <v>-2.6411657559198498E-2</v>
      </c>
      <c r="D232" s="36">
        <f>Prices!D232/Prices!D231-1</f>
        <v>-7.8313253012048945E-3</v>
      </c>
      <c r="E232" s="36">
        <f>Prices!E232/Prices!E231-1</f>
        <v>-2.1442495126705707E-2</v>
      </c>
      <c r="F232" s="36">
        <f>Prices!F232/Prices!F231-1</f>
        <v>-8.4915084915084815E-3</v>
      </c>
      <c r="G232" s="36">
        <f>Prices!G232/Prices!G231-1</f>
        <v>-1.2680146223292388E-2</v>
      </c>
    </row>
    <row r="233" spans="1:7" x14ac:dyDescent="0.3">
      <c r="A233" s="26">
        <f>Prices!A233</f>
        <v>46276</v>
      </c>
      <c r="B233" s="36">
        <f>Prices!B233/Prices!B232-1</f>
        <v>6.5789473684210176E-3</v>
      </c>
      <c r="C233" s="36">
        <f>Prices!C233/Prices!C232-1</f>
        <v>5.6127221702524377E-3</v>
      </c>
      <c r="D233" s="36">
        <f>Prices!D233/Prices!D232-1</f>
        <v>-8.5003035822706074E-3</v>
      </c>
      <c r="E233" s="36">
        <f>Prices!E233/Prices!E232-1</f>
        <v>-3.3200531208499307E-3</v>
      </c>
      <c r="F233" s="36">
        <f>Prices!F233/Prices!F232-1</f>
        <v>-1.108312342569262E-2</v>
      </c>
      <c r="G233" s="36">
        <f>Prices!G233/Prices!G232-1</f>
        <v>-5.9644542971613035E-3</v>
      </c>
    </row>
    <row r="234" spans="1:7" x14ac:dyDescent="0.3">
      <c r="A234" s="26">
        <f>Prices!A234</f>
        <v>46279</v>
      </c>
      <c r="B234" s="36">
        <f>Prices!B234/Prices!B233-1</f>
        <v>5.1353874883288686E-3</v>
      </c>
      <c r="C234" s="36">
        <f>Prices!C234/Prices!C233-1</f>
        <v>-1.4883720930232491E-2</v>
      </c>
      <c r="D234" s="36">
        <f>Prices!D234/Prices!D233-1</f>
        <v>9.7979179424372287E-3</v>
      </c>
      <c r="E234" s="36">
        <f>Prices!E234/Prices!E233-1</f>
        <v>5.3297801465690409E-3</v>
      </c>
      <c r="F234" s="36">
        <f>Prices!F234/Prices!F233-1</f>
        <v>1.2226184411614716E-2</v>
      </c>
      <c r="G234" s="36">
        <f>Prices!G234/Prices!G233-1</f>
        <v>4.5138420567243376E-3</v>
      </c>
    </row>
    <row r="235" spans="1:7" x14ac:dyDescent="0.3">
      <c r="A235" s="26">
        <f>Prices!A235</f>
        <v>46280</v>
      </c>
      <c r="B235" s="36">
        <f>Prices!B235/Prices!B234-1</f>
        <v>1.9043195541105451E-2</v>
      </c>
      <c r="C235" s="36">
        <f>Prices!C235/Prices!C234-1</f>
        <v>1.227573182247399E-2</v>
      </c>
      <c r="D235" s="36">
        <f>Prices!D235/Prices!D234-1</f>
        <v>-3.2140691328077731E-2</v>
      </c>
      <c r="E235" s="36">
        <f>Prices!E235/Prices!E234-1</f>
        <v>7.9522862823060425E-3</v>
      </c>
      <c r="F235" s="36">
        <f>Prices!F235/Prices!F234-1</f>
        <v>-9.0588827377955372E-3</v>
      </c>
      <c r="G235" s="36">
        <f>Prices!G235/Prices!G234-1</f>
        <v>-1.0047492696688254E-2</v>
      </c>
    </row>
    <row r="236" spans="1:7" x14ac:dyDescent="0.3">
      <c r="A236" s="26">
        <f>Prices!A236</f>
        <v>46281</v>
      </c>
      <c r="B236" s="36">
        <f>Prices!B236/Prices!B235-1</f>
        <v>-1.2306289881495069E-2</v>
      </c>
      <c r="C236" s="36">
        <f>Prices!C236/Prices!C235-1</f>
        <v>-9.3283582089552786E-3</v>
      </c>
      <c r="D236" s="36">
        <f>Prices!D236/Prices!D235-1</f>
        <v>8.1453634085213444E-3</v>
      </c>
      <c r="E236" s="36">
        <f>Prices!E236/Prices!E235-1</f>
        <v>1.2491781722550943E-2</v>
      </c>
      <c r="F236" s="36">
        <f>Prices!F236/Prices!F235-1</f>
        <v>4.5708481462671813E-3</v>
      </c>
      <c r="G236" s="36">
        <f>Prices!G236/Prices!G235-1</f>
        <v>1.8866764024942917E-3</v>
      </c>
    </row>
    <row r="237" spans="1:7" x14ac:dyDescent="0.3">
      <c r="A237" s="26">
        <f>Prices!A237</f>
        <v>46282</v>
      </c>
      <c r="B237" s="36">
        <f>Prices!B237/Prices!B236-1</f>
        <v>-1.7074296262113431E-2</v>
      </c>
      <c r="C237" s="36">
        <f>Prices!C237/Prices!C236-1</f>
        <v>-1.0357815442561313E-2</v>
      </c>
      <c r="D237" s="36">
        <f>Prices!D237/Prices!D236-1</f>
        <v>-6.8365444375387829E-3</v>
      </c>
      <c r="E237" s="36">
        <f>Prices!E237/Prices!E236-1</f>
        <v>4.5454545454544082E-3</v>
      </c>
      <c r="F237" s="36">
        <f>Prices!F237/Prices!F236-1</f>
        <v>-1.7694641051567261E-2</v>
      </c>
      <c r="G237" s="36">
        <f>Prices!G237/Prices!G236-1</f>
        <v>-4.4303300871508799E-3</v>
      </c>
    </row>
    <row r="238" spans="1:7" x14ac:dyDescent="0.3">
      <c r="A238" s="26">
        <f>Prices!A238</f>
        <v>46283</v>
      </c>
      <c r="B238" s="36">
        <f>Prices!B238/Prices!B237-1</f>
        <v>-1.6431924882629123E-2</v>
      </c>
      <c r="C238" s="36">
        <f>Prices!C238/Prices!C237-1</f>
        <v>3.9961941008563207E-2</v>
      </c>
      <c r="D238" s="36">
        <f>Prices!D238/Prices!D237-1</f>
        <v>1.126408010012514E-2</v>
      </c>
      <c r="E238" s="36">
        <f>Prices!E238/Prices!E237-1</f>
        <v>-7.7569489334194941E-3</v>
      </c>
      <c r="F238" s="36">
        <f>Prices!F238/Prices!F237-1</f>
        <v>-1.5440041173443442E-3</v>
      </c>
      <c r="G238" s="36">
        <f>Prices!G238/Prices!G237-1</f>
        <v>5.9538481036625068E-3</v>
      </c>
    </row>
    <row r="239" spans="1:7" x14ac:dyDescent="0.3">
      <c r="A239" s="26">
        <f>Prices!A239</f>
        <v>46286</v>
      </c>
      <c r="B239" s="36">
        <f>Prices!B239/Prices!B238-1</f>
        <v>2.6252983293556076E-2</v>
      </c>
      <c r="C239" s="36">
        <f>Prices!C239/Prices!C238-1</f>
        <v>3.019213174748403E-2</v>
      </c>
      <c r="D239" s="36">
        <f>Prices!D239/Prices!D238-1</f>
        <v>-6.1881188118806385E-4</v>
      </c>
      <c r="E239" s="36">
        <f>Prices!E239/Prices!E238-1</f>
        <v>7.8175895765471015E-3</v>
      </c>
      <c r="F239" s="36">
        <f>Prices!F239/Prices!F238-1</f>
        <v>8.2474226804123418E-3</v>
      </c>
      <c r="G239" s="36">
        <f>Prices!G239/Prices!G238-1</f>
        <v>1.179484477888737E-2</v>
      </c>
    </row>
    <row r="240" spans="1:7" x14ac:dyDescent="0.3">
      <c r="A240" s="26">
        <f>Prices!A240</f>
        <v>46287</v>
      </c>
      <c r="B240" s="36">
        <f>Prices!B240/Prices!B239-1</f>
        <v>5.0232558139534866E-2</v>
      </c>
      <c r="C240" s="36">
        <f>Prices!C240/Prices!C239-1</f>
        <v>1.9538188277087087E-2</v>
      </c>
      <c r="D240" s="36">
        <f>Prices!D240/Prices!D239-1</f>
        <v>-1.3622291021671784E-2</v>
      </c>
      <c r="E240" s="36">
        <f>Prices!E240/Prices!E239-1</f>
        <v>-1.4221073044602406E-2</v>
      </c>
      <c r="F240" s="36">
        <f>Prices!F240/Prices!F239-1</f>
        <v>1.5848670756646088E-2</v>
      </c>
      <c r="G240" s="36">
        <f>Prices!G240/Prices!G239-1</f>
        <v>1.798491392559276E-3</v>
      </c>
    </row>
    <row r="241" spans="1:7" x14ac:dyDescent="0.3">
      <c r="A241" s="26">
        <f>Prices!A241</f>
        <v>46288</v>
      </c>
      <c r="B241" s="36">
        <f>Prices!B241/Prices!B240-1</f>
        <v>-2.347209920283444E-2</v>
      </c>
      <c r="C241" s="36">
        <f>Prices!C241/Prices!C240-1</f>
        <v>-4.355400696864109E-2</v>
      </c>
      <c r="D241" s="36">
        <f>Prices!D241/Prices!D240-1</f>
        <v>1.2554927809165228E-3</v>
      </c>
      <c r="E241" s="36">
        <f>Prices!E241/Prices!E240-1</f>
        <v>-1.180327868852471E-2</v>
      </c>
      <c r="F241" s="36">
        <f>Prices!F241/Prices!F240-1</f>
        <v>-4.0261701056868437E-3</v>
      </c>
      <c r="G241" s="36">
        <f>Prices!G241/Prices!G240-1</f>
        <v>-1.010975077478049E-2</v>
      </c>
    </row>
    <row r="242" spans="1:7" x14ac:dyDescent="0.3">
      <c r="A242" s="26">
        <f>Prices!A242</f>
        <v>46289</v>
      </c>
      <c r="B242" s="36">
        <f>Prices!B242/Prices!B241-1</f>
        <v>-5.8956916099773826E-3</v>
      </c>
      <c r="C242" s="36">
        <f>Prices!C242/Prices!C241-1</f>
        <v>1.8214936247722413E-3</v>
      </c>
      <c r="D242" s="36">
        <f>Prices!D242/Prices!D241-1</f>
        <v>-1.6300940438871425E-2</v>
      </c>
      <c r="E242" s="36">
        <f>Prices!E242/Prices!E241-1</f>
        <v>5.9721300597213034E-3</v>
      </c>
      <c r="F242" s="36">
        <f>Prices!F242/Prices!F241-1</f>
        <v>-6.0636685194543904E-3</v>
      </c>
      <c r="G242" s="36">
        <f>Prices!G242/Prices!G241-1</f>
        <v>-2.939029152034589E-3</v>
      </c>
    </row>
    <row r="243" spans="1:7" x14ac:dyDescent="0.3">
      <c r="A243" s="26">
        <f>Prices!A243</f>
        <v>46290</v>
      </c>
      <c r="B243" s="36">
        <f>Prices!B243/Prices!B242-1</f>
        <v>-4.1058394160582434E-3</v>
      </c>
      <c r="C243" s="36">
        <f>Prices!C243/Prices!C242-1</f>
        <v>-1.4545454545454528E-2</v>
      </c>
      <c r="D243" s="36">
        <f>Prices!D243/Prices!D242-1</f>
        <v>4.4614404079030834E-3</v>
      </c>
      <c r="E243" s="36">
        <f>Prices!E243/Prices!E242-1</f>
        <v>-2.70448548812664E-2</v>
      </c>
      <c r="F243" s="36">
        <f>Prices!F243/Prices!F242-1</f>
        <v>-1.2709710218607007E-2</v>
      </c>
      <c r="G243" s="36">
        <f>Prices!G243/Prices!G242-1</f>
        <v>-1.0138515119274993E-2</v>
      </c>
    </row>
    <row r="244" spans="1:7" x14ac:dyDescent="0.3">
      <c r="A244" s="26">
        <f>Prices!A244</f>
        <v>46293</v>
      </c>
      <c r="B244" s="36">
        <f>Prices!B244/Prices!B243-1</f>
        <v>7.3293632615665238E-3</v>
      </c>
      <c r="C244" s="36">
        <f>Prices!C244/Prices!C243-1</f>
        <v>-6.4575645756458355E-3</v>
      </c>
      <c r="D244" s="36">
        <f>Prices!D244/Prices!D243-1</f>
        <v>8.2487309644669882E-3</v>
      </c>
      <c r="E244" s="36">
        <f>Prices!E244/Prices!E243-1</f>
        <v>4.0677966101694274E-3</v>
      </c>
      <c r="F244" s="36">
        <f>Prices!F244/Prices!F243-1</f>
        <v>5.14933058702427E-4</v>
      </c>
      <c r="G244" s="36">
        <f>Prices!G244/Prices!G243-1</f>
        <v>5.4026729840865872E-3</v>
      </c>
    </row>
    <row r="245" spans="1:7" x14ac:dyDescent="0.3">
      <c r="A245" s="26">
        <f>Prices!A245</f>
        <v>46294</v>
      </c>
      <c r="B245" s="36">
        <f>Prices!B245/Prices!B244-1</f>
        <v>-1.7735334242837686E-2</v>
      </c>
      <c r="C245" s="36">
        <f>Prices!C245/Prices!C244-1</f>
        <v>-1.3927576601671321E-2</v>
      </c>
      <c r="D245" s="36">
        <f>Prices!D245/Prices!D244-1</f>
        <v>6.2932662051595756E-4</v>
      </c>
      <c r="E245" s="36">
        <f>Prices!E245/Prices!E244-1</f>
        <v>-2.025658338960068E-3</v>
      </c>
      <c r="F245" s="36">
        <f>Prices!F245/Prices!F244-1</f>
        <v>-4.6320123520329215E-3</v>
      </c>
      <c r="G245" s="36">
        <f>Prices!G245/Prices!G244-1</f>
        <v>-4.8265984660377237E-3</v>
      </c>
    </row>
    <row r="246" spans="1:7" x14ac:dyDescent="0.3">
      <c r="A246" s="26">
        <f>Prices!A246</f>
        <v>46295</v>
      </c>
      <c r="B246" s="36">
        <f>Prices!B246/Prices!B245-1</f>
        <v>-2.3148148148147696E-3</v>
      </c>
      <c r="C246" s="36">
        <f>Prices!C246/Prices!C245-1</f>
        <v>3.7664783427493465E-3</v>
      </c>
      <c r="D246" s="36">
        <f>Prices!D246/Prices!D245-1</f>
        <v>-6.2893081761006275E-3</v>
      </c>
      <c r="E246" s="36">
        <f>Prices!E246/Prices!E245-1</f>
        <v>-4.0595399188093628E-3</v>
      </c>
      <c r="F246" s="36">
        <f>Prices!F246/Prices!F245-1</f>
        <v>2.585315408479838E-3</v>
      </c>
      <c r="G246" s="36">
        <f>Prices!G246/Prices!G245-1</f>
        <v>3.6576729612654013E-3</v>
      </c>
    </row>
    <row r="247" spans="1:7" x14ac:dyDescent="0.3">
      <c r="A247" s="26">
        <f>Prices!A247</f>
        <v>46297</v>
      </c>
      <c r="B247" s="36">
        <f>Prices!B247/Prices!B246-1</f>
        <v>-2.2737819025522077E-2</v>
      </c>
      <c r="C247" s="36">
        <f>Prices!C247/Prices!C246-1</f>
        <v>-2.063789868667909E-2</v>
      </c>
      <c r="D247" s="36">
        <f>Prices!D247/Prices!D246-1</f>
        <v>-5.3797468354430333E-2</v>
      </c>
      <c r="E247" s="36">
        <f>Prices!E247/Prices!E246-1</f>
        <v>-5.9782608695652106E-2</v>
      </c>
      <c r="F247" s="36">
        <f>Prices!F247/Prices!F246-1</f>
        <v>-3.0943785456420847E-2</v>
      </c>
      <c r="G247" s="36">
        <f>Prices!G247/Prices!G246-1</f>
        <v>-2.6042066455250756E-2</v>
      </c>
    </row>
    <row r="248" spans="1:7" x14ac:dyDescent="0.3">
      <c r="A248" s="26">
        <f>Prices!A248</f>
        <v>46300</v>
      </c>
      <c r="B248" s="36">
        <f>Prices!B248/Prices!B247-1</f>
        <v>4.2735042735042583E-3</v>
      </c>
      <c r="C248" s="36">
        <f>Prices!C248/Prices!C247-1</f>
        <v>9.5785440613027628E-3</v>
      </c>
      <c r="D248" s="36">
        <f>Prices!D248/Prices!D247-1</f>
        <v>2.6755852842810235E-3</v>
      </c>
      <c r="E248" s="36">
        <f>Prices!E248/Prices!E247-1</f>
        <v>-3.6127167630057855E-3</v>
      </c>
      <c r="F248" s="36">
        <f>Prices!F248/Prices!F247-1</f>
        <v>5.8541777541245565E-3</v>
      </c>
      <c r="G248" s="36">
        <f>Prices!G248/Prices!G247-1</f>
        <v>2.8387234826063867E-3</v>
      </c>
    </row>
    <row r="249" spans="1:7" x14ac:dyDescent="0.3">
      <c r="A249" s="26">
        <f>Prices!A249</f>
        <v>46301</v>
      </c>
      <c r="B249" s="36">
        <f>Prices!B249/Prices!B248-1</f>
        <v>1.2293144208037843E-2</v>
      </c>
      <c r="C249" s="36">
        <f>Prices!C249/Prices!C248-1</f>
        <v>2.6565464895635715E-2</v>
      </c>
      <c r="D249" s="36">
        <f>Prices!D249/Prices!D248-1</f>
        <v>1.9346230820546984E-2</v>
      </c>
      <c r="E249" s="36">
        <f>Prices!E249/Prices!E248-1</f>
        <v>-2.175489485134241E-3</v>
      </c>
      <c r="F249" s="36">
        <f>Prices!F249/Prices!F248-1</f>
        <v>5.2910052910053462E-3</v>
      </c>
      <c r="G249" s="36">
        <f>Prices!G249/Prices!G248-1</f>
        <v>9.9924003570031061E-3</v>
      </c>
    </row>
    <row r="250" spans="1:7" x14ac:dyDescent="0.3">
      <c r="A250" s="26">
        <f>Prices!A250</f>
        <v>46302</v>
      </c>
      <c r="B250" s="36">
        <f>Prices!B250/Prices!B249-1</f>
        <v>-1.7748715553479566E-2</v>
      </c>
      <c r="C250" s="36">
        <f>Prices!C250/Prices!C249-1</f>
        <v>-2.5878003696857665E-2</v>
      </c>
      <c r="D250" s="36">
        <f>Prices!D250/Prices!D249-1</f>
        <v>-1.8979057591623105E-2</v>
      </c>
      <c r="E250" s="36">
        <f>Prices!E250/Prices!E249-1</f>
        <v>0</v>
      </c>
      <c r="F250" s="36">
        <f>Prices!F250/Prices!F249-1</f>
        <v>-2.6315789473684292E-3</v>
      </c>
      <c r="G250" s="36">
        <f>Prices!G250/Prices!G249-1</f>
        <v>-6.1802733095884799E-3</v>
      </c>
    </row>
    <row r="251" spans="1:7" x14ac:dyDescent="0.3">
      <c r="A251" s="26">
        <f>Prices!A251</f>
        <v>46303</v>
      </c>
      <c r="B251" s="36">
        <f>Prices!B251/Prices!B250-1</f>
        <v>-2.1873514027579755E-2</v>
      </c>
      <c r="C251" s="36">
        <f>Prices!C251/Prices!C250-1</f>
        <v>-1.0436432637571214E-2</v>
      </c>
      <c r="D251" s="36">
        <f>Prices!D251/Prices!D250-1</f>
        <v>-4.8699132755170238E-2</v>
      </c>
      <c r="E251" s="36">
        <f>Prices!E251/Prices!E250-1</f>
        <v>6.5406976744186718E-3</v>
      </c>
      <c r="F251" s="36">
        <f>Prices!F251/Prices!F250-1</f>
        <v>-1.0554089709762571E-2</v>
      </c>
      <c r="G251" s="36">
        <f>Prices!G251/Prices!G250-1</f>
        <v>-1.4285277967717169E-2</v>
      </c>
    </row>
    <row r="252" spans="1:7" x14ac:dyDescent="0.3">
      <c r="A252" s="26">
        <f>Prices!A252</f>
        <v>46304</v>
      </c>
      <c r="B252" s="36">
        <f>Prices!B252/Prices!B251-1</f>
        <v>3.2571706368497821E-2</v>
      </c>
      <c r="C252" s="36">
        <f>Prices!C252/Prices!C251-1</f>
        <v>2.5886864813039256E-2</v>
      </c>
      <c r="D252" s="36">
        <f>Prices!D252/Prices!D251-1</f>
        <v>1.8232819074333717E-2</v>
      </c>
      <c r="E252" s="36">
        <f>Prices!E252/Prices!E251-1</f>
        <v>2.8880866425992746E-2</v>
      </c>
      <c r="F252" s="36">
        <f>Prices!F252/Prices!F251-1</f>
        <v>7.4666666666667325E-3</v>
      </c>
      <c r="G252" s="36">
        <f>Prices!G252/Prices!G251-1</f>
        <v>1.7891376157875616E-2</v>
      </c>
    </row>
    <row r="253" spans="1:7" x14ac:dyDescent="0.3">
      <c r="A253" s="26">
        <f>Prices!A253</f>
        <v>46307</v>
      </c>
      <c r="B253" s="36">
        <f>Prices!B253/Prices!B252-1</f>
        <v>2.3540489642184248E-3</v>
      </c>
      <c r="C253" s="36">
        <f>Prices!C253/Prices!C252-1</f>
        <v>1.1214953271028172E-2</v>
      </c>
      <c r="D253" s="36">
        <f>Prices!D253/Prices!D252-1</f>
        <v>1.9972451790633672E-2</v>
      </c>
      <c r="E253" s="36">
        <f>Prices!E253/Prices!E252-1</f>
        <v>9.1228070175439768E-3</v>
      </c>
      <c r="F253" s="36">
        <f>Prices!F253/Prices!F252-1</f>
        <v>-6.3525674960297485E-3</v>
      </c>
      <c r="G253" s="36">
        <f>Prices!G253/Prices!G252-1</f>
        <v>2.4719646359572245E-3</v>
      </c>
    </row>
    <row r="254" spans="1:7" x14ac:dyDescent="0.3">
      <c r="A254" s="26">
        <f>Prices!A254</f>
        <v>46308</v>
      </c>
      <c r="B254" s="36">
        <f>Prices!B254/Prices!B253-1</f>
        <v>-1.4091122592767569E-3</v>
      </c>
      <c r="C254" s="36">
        <f>Prices!C254/Prices!C253-1</f>
        <v>-9.2421441774491742E-3</v>
      </c>
      <c r="D254" s="36">
        <f>Prices!D254/Prices!D253-1</f>
        <v>1.7555705604321403E-2</v>
      </c>
      <c r="E254" s="36">
        <f>Prices!E254/Prices!E253-1</f>
        <v>1.5994436717663207E-2</v>
      </c>
      <c r="F254" s="36">
        <f>Prices!F254/Prices!F253-1</f>
        <v>1.1188066062866486E-2</v>
      </c>
      <c r="G254" s="36">
        <f>Prices!G254/Prices!G253-1</f>
        <v>3.0497669023292762E-3</v>
      </c>
    </row>
    <row r="255" spans="1:7" x14ac:dyDescent="0.3">
      <c r="A255" s="26">
        <f>Prices!A255</f>
        <v>46309</v>
      </c>
      <c r="B255" s="36">
        <f>Prices!B255/Prices!B254-1</f>
        <v>-4.2333019755409484E-3</v>
      </c>
      <c r="C255" s="36">
        <f>Prices!C255/Prices!C254-1</f>
        <v>3.0783582089552119E-2</v>
      </c>
      <c r="D255" s="36">
        <f>Prices!D255/Prices!D254-1</f>
        <v>-1.7916390179163799E-2</v>
      </c>
      <c r="E255" s="36">
        <f>Prices!E255/Prices!E254-1</f>
        <v>-4.1067761806981018E-3</v>
      </c>
      <c r="F255" s="36">
        <f>Prices!F255/Prices!F254-1</f>
        <v>-1.5806111696522684E-2</v>
      </c>
      <c r="G255" s="36">
        <f>Prices!G255/Prices!G254-1</f>
        <v>-1.2754371949481591E-3</v>
      </c>
    </row>
    <row r="256" spans="1:7" x14ac:dyDescent="0.3">
      <c r="A256" s="26">
        <f>Prices!A256</f>
        <v>46310</v>
      </c>
      <c r="B256" s="36">
        <f>Prices!B256/Prices!B255-1</f>
        <v>-1.3226263580538467E-2</v>
      </c>
      <c r="C256" s="36">
        <f>Prices!C256/Prices!C255-1</f>
        <v>-3.7104072398190024E-2</v>
      </c>
      <c r="D256" s="36">
        <f>Prices!D256/Prices!D255-1</f>
        <v>-6.7567567567561326E-4</v>
      </c>
      <c r="E256" s="36">
        <f>Prices!E256/Prices!E255-1</f>
        <v>-4.1237113402061709E-3</v>
      </c>
      <c r="F256" s="36">
        <f>Prices!F256/Prices!F255-1</f>
        <v>-5.8886509635975859E-3</v>
      </c>
      <c r="G256" s="36">
        <f>Prices!G256/Prices!G255-1</f>
        <v>-1.0341673231459958E-2</v>
      </c>
    </row>
    <row r="257" spans="1:7" x14ac:dyDescent="0.3">
      <c r="A257" s="26">
        <f>Prices!A257</f>
        <v>46311</v>
      </c>
      <c r="B257" s="36">
        <f>Prices!B257/Prices!B256-1</f>
        <v>0</v>
      </c>
      <c r="C257" s="36">
        <f>Prices!C257/Prices!C256-1</f>
        <v>2.2556390977443552E-2</v>
      </c>
      <c r="D257" s="36">
        <f>Prices!D257/Prices!D256-1</f>
        <v>1.2170385395537497E-2</v>
      </c>
      <c r="E257" s="36">
        <f>Prices!E257/Prices!E256-1</f>
        <v>1.1732229123533333E-2</v>
      </c>
      <c r="F257" s="36">
        <f>Prices!F257/Prices!F256-1</f>
        <v>8.6160473882608279E-3</v>
      </c>
      <c r="G257" s="36">
        <f>Prices!G257/Prices!G256-1</f>
        <v>5.1577459401752623E-3</v>
      </c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1" width="12" customWidth="1"/>
  </cols>
  <sheetData>
    <row r="1" spans="1:8" x14ac:dyDescent="0.3">
      <c r="A1" s="20" t="s">
        <v>73</v>
      </c>
      <c r="B1" s="20" t="s">
        <v>26</v>
      </c>
      <c r="C1" s="20" t="s">
        <v>61</v>
      </c>
      <c r="D1" s="20" t="s">
        <v>63</v>
      </c>
      <c r="E1" s="20" t="s">
        <v>65</v>
      </c>
      <c r="F1" s="20" t="s">
        <v>67</v>
      </c>
      <c r="G1" s="20" t="s">
        <v>69</v>
      </c>
      <c r="H1" s="19" t="s">
        <v>83</v>
      </c>
    </row>
    <row r="2" spans="1:8" x14ac:dyDescent="0.3">
      <c r="A2" s="26">
        <f>Prices!A2</f>
        <v>45932</v>
      </c>
      <c r="B2" s="37">
        <f>Prices!B2/MAX(Prices!B$2:B2)-1</f>
        <v>0</v>
      </c>
      <c r="C2" s="37">
        <f>Prices!C2/MAX(Prices!C$2:C2)-1</f>
        <v>0</v>
      </c>
      <c r="D2" s="37">
        <f>Prices!D2/MAX(Prices!D$2:D2)-1</f>
        <v>0</v>
      </c>
      <c r="E2" s="37">
        <f>Prices!E2/MAX(Prices!E$2:E2)-1</f>
        <v>0</v>
      </c>
      <c r="F2" s="37">
        <f>Prices!F2/MAX(Prices!F$2:F2)-1</f>
        <v>0</v>
      </c>
      <c r="G2" s="37">
        <f>Prices!G2/MAX(Prices!G$2:G2)-1</f>
        <v>0</v>
      </c>
      <c r="H2" s="1"/>
    </row>
    <row r="3" spans="1:8" x14ac:dyDescent="0.3">
      <c r="A3" s="26">
        <f>Prices!A3</f>
        <v>45933</v>
      </c>
      <c r="B3" s="37">
        <f>Prices!B3/MAX(Prices!B$2:B3)-1</f>
        <v>-4.4345155268606939E-3</v>
      </c>
      <c r="C3" s="37">
        <f>Prices!C3/MAX(Prices!C$2:C3)-1</f>
        <v>0</v>
      </c>
      <c r="D3" s="37">
        <f>Prices!D3/MAX(Prices!D$2:D3)-1</f>
        <v>-8.1224405065202232E-3</v>
      </c>
      <c r="E3" s="37">
        <f>Prices!E3/MAX(Prices!E$2:E3)-1</f>
        <v>-4.023713524789585E-3</v>
      </c>
      <c r="F3" s="37">
        <f>Prices!F3/MAX(Prices!F$2:F3)-1</f>
        <v>-2.2164290742695547E-3</v>
      </c>
      <c r="G3" s="37">
        <f>Prices!G3/MAX(Prices!G$2:G3)-1</f>
        <v>-5.3578100152023023E-3</v>
      </c>
      <c r="H3" s="1"/>
    </row>
    <row r="4" spans="1:8" x14ac:dyDescent="0.3">
      <c r="A4" s="26">
        <f>Prices!A4</f>
        <v>45936</v>
      </c>
      <c r="B4" s="37">
        <f>Prices!B4/MAX(Prices!B$2:B4)-1</f>
        <v>0</v>
      </c>
      <c r="C4" s="37">
        <f>Prices!C4/MAX(Prices!C$2:C4)-1</f>
        <v>-2.4851197317360185E-2</v>
      </c>
      <c r="D4" s="37">
        <f>Prices!D4/MAX(Prices!D$2:D4)-1</f>
        <v>0</v>
      </c>
      <c r="E4" s="37">
        <f>Prices!E4/MAX(Prices!E$2:E4)-1</f>
        <v>0</v>
      </c>
      <c r="F4" s="37">
        <f>Prices!F4/MAX(Prices!F$2:F4)-1</f>
        <v>-6.2056347530211609E-3</v>
      </c>
      <c r="G4" s="37">
        <f>Prices!G4/MAX(Prices!G$2:G4)-1</f>
        <v>-1.2069782771608195E-2</v>
      </c>
      <c r="H4" s="1"/>
    </row>
    <row r="5" spans="1:8" x14ac:dyDescent="0.3">
      <c r="A5" s="26">
        <f>Prices!A5</f>
        <v>45938</v>
      </c>
      <c r="B5" s="37">
        <f>Prices!B5/MAX(Prices!B$2:B5)-1</f>
        <v>-3.6900247783552276E-3</v>
      </c>
      <c r="C5" s="37">
        <f>Prices!C5/MAX(Prices!C$2:C5)-1</f>
        <v>-4.051867977338186E-2</v>
      </c>
      <c r="D5" s="37">
        <f>Prices!D5/MAX(Prices!D$2:D5)-1</f>
        <v>-2.7056659662103577E-3</v>
      </c>
      <c r="E5" s="37">
        <f>Prices!E5/MAX(Prices!E$2:E5)-1</f>
        <v>-7.3130426371638135E-3</v>
      </c>
      <c r="F5" s="37">
        <f>Prices!F5/MAX(Prices!F$2:F5)-1</f>
        <v>-1.3741081118737397E-2</v>
      </c>
      <c r="G5" s="37">
        <f>Prices!G5/MAX(Prices!G$2:G5)-1</f>
        <v>-1.6771950103006694E-2</v>
      </c>
      <c r="H5" s="1"/>
    </row>
    <row r="6" spans="1:8" x14ac:dyDescent="0.3">
      <c r="A6" s="26">
        <f>Prices!A6</f>
        <v>45939</v>
      </c>
      <c r="B6" s="37">
        <f>Prices!B6/MAX(Prices!B$2:B6)-1</f>
        <v>-2.9519302299815253E-3</v>
      </c>
      <c r="C6" s="37">
        <f>Prices!C6/MAX(Prices!C$2:C6)-1</f>
        <v>-6.3748935192071143E-2</v>
      </c>
      <c r="D6" s="37">
        <f>Prices!D6/MAX(Prices!D$2:D6)-1</f>
        <v>-6.2218061593024454E-2</v>
      </c>
      <c r="E6" s="37">
        <f>Prices!E6/MAX(Prices!E$2:E6)-1</f>
        <v>-1.4627447614610101E-2</v>
      </c>
      <c r="F6" s="37">
        <f>Prices!F6/MAX(Prices!F$2:F6)-1</f>
        <v>0</v>
      </c>
      <c r="G6" s="37">
        <f>Prices!G6/MAX(Prices!G$2:G6)-1</f>
        <v>-1.9589070507630035E-2</v>
      </c>
      <c r="H6" s="1"/>
    </row>
    <row r="7" spans="1:8" x14ac:dyDescent="0.3">
      <c r="A7" s="26">
        <f>Prices!A7</f>
        <v>45940</v>
      </c>
      <c r="B7" s="37">
        <f>Prices!B7/MAX(Prices!B$2:B7)-1</f>
        <v>-3.8376436880298459E-2</v>
      </c>
      <c r="C7" s="37">
        <f>Prices!C7/MAX(Prices!C$2:C7)-1</f>
        <v>-0.10642887083034747</v>
      </c>
      <c r="D7" s="37">
        <f>Prices!D7/MAX(Prices!D$2:D7)-1</f>
        <v>-6.6727190623123378E-2</v>
      </c>
      <c r="E7" s="37">
        <f>Prices!E7/MAX(Prices!E$2:E7)-1</f>
        <v>-1.7286735846306023E-2</v>
      </c>
      <c r="F7" s="37">
        <f>Prices!F7/MAX(Prices!F$2:F7)-1</f>
        <v>-2.6707494178277003E-2</v>
      </c>
      <c r="G7" s="37">
        <f>Prices!G7/MAX(Prices!G$2:G7)-1</f>
        <v>-3.6530012433595438E-2</v>
      </c>
      <c r="H7" s="1"/>
    </row>
    <row r="8" spans="1:8" x14ac:dyDescent="0.3">
      <c r="A8" s="26">
        <f>Prices!A8</f>
        <v>45943</v>
      </c>
      <c r="B8" s="37">
        <f>Prices!B8/MAX(Prices!B$2:B8)-1</f>
        <v>-5.6826560772074042E-2</v>
      </c>
      <c r="C8" s="37">
        <f>Prices!C8/MAX(Prices!C$2:C8)-1</f>
        <v>-0.12155549846532454</v>
      </c>
      <c r="D8" s="37">
        <f>Prices!D8/MAX(Prices!D$2:D8)-1</f>
        <v>-7.484230304024464E-2</v>
      </c>
      <c r="E8" s="37">
        <f>Prices!E8/MAX(Prices!E$2:E8)-1</f>
        <v>-4.5878171357885411E-2</v>
      </c>
      <c r="F8" s="37">
        <f>Prices!F8/MAX(Prices!F$2:F8)-1</f>
        <v>-5.2539466393356604E-2</v>
      </c>
      <c r="G8" s="37">
        <f>Prices!G8/MAX(Prices!G$2:G8)-1</f>
        <v>-5.1219720003347624E-2</v>
      </c>
      <c r="H8" s="1"/>
    </row>
    <row r="9" spans="1:8" x14ac:dyDescent="0.3">
      <c r="A9" s="26">
        <f>Prices!A9</f>
        <v>45944</v>
      </c>
      <c r="B9" s="37">
        <f>Prices!B9/MAX(Prices!B$2:B9)-1</f>
        <v>-8.339482876893356E-2</v>
      </c>
      <c r="C9" s="37">
        <f>Prices!C9/MAX(Prices!C$2:C9)-1</f>
        <v>-0.15937314926240931</v>
      </c>
      <c r="D9" s="37">
        <f>Prices!D9/MAX(Prices!D$2:D9)-1</f>
        <v>-8.115489513423213E-2</v>
      </c>
      <c r="E9" s="37">
        <f>Prices!E9/MAX(Prices!E$2:E9)-1</f>
        <v>-6.7818661609659547E-2</v>
      </c>
      <c r="F9" s="37">
        <f>Prices!F9/MAX(Prices!F$2:F9)-1</f>
        <v>-8.0560469866471696E-2</v>
      </c>
      <c r="G9" s="37">
        <f>Prices!G9/MAX(Prices!G$2:G9)-1</f>
        <v>-6.7642520019638108E-2</v>
      </c>
      <c r="H9" s="1"/>
    </row>
    <row r="10" spans="1:8" x14ac:dyDescent="0.3">
      <c r="A10" s="26">
        <f>Prices!A10</f>
        <v>45945</v>
      </c>
      <c r="B10" s="37">
        <f>Prices!B10/MAX(Prices!B$2:B10)-1</f>
        <v>-7.4538739436647128E-2</v>
      </c>
      <c r="C10" s="37">
        <f>Prices!C10/MAX(Prices!C$2:C10)-1</f>
        <v>-0.12695809727273955</v>
      </c>
      <c r="D10" s="37">
        <f>Prices!D10/MAX(Prices!D$2:D10)-1</f>
        <v>-6.6727190623123378E-2</v>
      </c>
      <c r="E10" s="37">
        <f>Prices!E10/MAX(Prices!E$2:E10)-1</f>
        <v>-5.5850502226745147E-2</v>
      </c>
      <c r="F10" s="37">
        <f>Prices!F10/MAX(Prices!F$2:F10)-1</f>
        <v>-6.3485301733660293E-2</v>
      </c>
      <c r="G10" s="37">
        <f>Prices!G10/MAX(Prices!G$2:G10)-1</f>
        <v>-5.0445761421549218E-2</v>
      </c>
      <c r="H10" s="1"/>
    </row>
    <row r="11" spans="1:8" x14ac:dyDescent="0.3">
      <c r="A11" s="26">
        <f>Prices!A11</f>
        <v>45946</v>
      </c>
      <c r="B11" s="37">
        <f>Prices!B11/MAX(Prices!B$2:B11)-1</f>
        <v>-8.487086854450987E-2</v>
      </c>
      <c r="C11" s="37">
        <f>Prices!C11/MAX(Prices!C$2:C11)-1</f>
        <v>-0.12911935313763412</v>
      </c>
      <c r="D11" s="37">
        <f>Prices!D11/MAX(Prices!D$2:D11)-1</f>
        <v>-7.2137579814789077E-2</v>
      </c>
      <c r="E11" s="37">
        <f>Prices!E11/MAX(Prices!E$2:E11)-1</f>
        <v>-6.1170441030419687E-2</v>
      </c>
      <c r="F11" s="37">
        <f>Prices!F11/MAX(Prices!F$2:F11)-1</f>
        <v>-7.0928143821005984E-2</v>
      </c>
      <c r="G11" s="37">
        <f>Prices!G11/MAX(Prices!G$2:G11)-1</f>
        <v>-5.125529356450087E-2</v>
      </c>
      <c r="H11" s="1"/>
    </row>
    <row r="12" spans="1:8" x14ac:dyDescent="0.3">
      <c r="A12" s="26">
        <f>Prices!A12</f>
        <v>45947</v>
      </c>
      <c r="B12" s="37">
        <f>Prices!B12/MAX(Prices!B$2:B12)-1</f>
        <v>-0.10258304720908284</v>
      </c>
      <c r="C12" s="37">
        <f>Prices!C12/MAX(Prices!C$2:C12)-1</f>
        <v>-0.16585637600227165</v>
      </c>
      <c r="D12" s="37">
        <f>Prices!D12/MAX(Prices!D$2:D12)-1</f>
        <v>-9.0171267712920389E-2</v>
      </c>
      <c r="E12" s="37">
        <f>Prices!E12/MAX(Prices!E$2:E12)-1</f>
        <v>-8.1781287166345806E-2</v>
      </c>
      <c r="F12" s="37">
        <f>Prices!F12/MAX(Prices!F$2:F12)-1</f>
        <v>-9.3695336464810763E-2</v>
      </c>
      <c r="G12" s="37">
        <f>Prices!G12/MAX(Prices!G$2:G12)-1</f>
        <v>-7.4761263456353588E-2</v>
      </c>
      <c r="H12" s="1"/>
    </row>
    <row r="13" spans="1:8" x14ac:dyDescent="0.3">
      <c r="A13" s="26">
        <f>Prices!A13</f>
        <v>45950</v>
      </c>
      <c r="B13" s="37">
        <f>Prices!B13/MAX(Prices!B$2:B13)-1</f>
        <v>-7.3800644888273537E-2</v>
      </c>
      <c r="C13" s="37">
        <f>Prices!C13/MAX(Prices!C$2:C13)-1</f>
        <v>-0.12533769622888979</v>
      </c>
      <c r="D13" s="37">
        <f>Prices!D13/MAX(Prices!D$2:D13)-1</f>
        <v>-7.9351432070343564E-2</v>
      </c>
      <c r="E13" s="37">
        <f>Prices!E13/MAX(Prices!E$2:E13)-1</f>
        <v>-4.1223054612134824E-2</v>
      </c>
      <c r="F13" s="37">
        <f>Prices!F13/MAX(Prices!F$2:F13)-1</f>
        <v>-6.961486087621005E-2</v>
      </c>
      <c r="G13" s="37">
        <f>Prices!G13/MAX(Prices!G$2:G13)-1</f>
        <v>-5.2342975261173708E-2</v>
      </c>
      <c r="H13" s="1"/>
    </row>
    <row r="14" spans="1:8" x14ac:dyDescent="0.3">
      <c r="A14" s="26">
        <f>Prices!A14</f>
        <v>45951</v>
      </c>
      <c r="B14" s="37">
        <f>Prices!B14/MAX(Prices!B$2:B14)-1</f>
        <v>-6.9372674882715701E-2</v>
      </c>
      <c r="C14" s="37">
        <f>Prices!C14/MAX(Prices!C$2:C14)-1</f>
        <v>-0.10804981272901837</v>
      </c>
      <c r="D14" s="37">
        <f>Prices!D14/MAX(Prices!D$2:D14)-1</f>
        <v>-7.6645766104133206E-2</v>
      </c>
      <c r="E14" s="37">
        <f>Prices!E14/MAX(Prices!E$2:E14)-1</f>
        <v>-3.058453934506844E-2</v>
      </c>
      <c r="F14" s="37">
        <f>Prices!F14/MAX(Prices!F$2:F14)-1</f>
        <v>-6.0420295812343205E-2</v>
      </c>
      <c r="G14" s="37">
        <f>Prices!G14/MAX(Prices!G$2:G14)-1</f>
        <v>-4.6159812451582627E-2</v>
      </c>
      <c r="H14" s="1"/>
    </row>
    <row r="15" spans="1:8" x14ac:dyDescent="0.3">
      <c r="A15" s="26">
        <f>Prices!A15</f>
        <v>45952</v>
      </c>
      <c r="B15" s="37">
        <f>Prices!B15/MAX(Prices!B$2:B15)-1</f>
        <v>-7.9704803990578443E-2</v>
      </c>
      <c r="C15" s="37">
        <f>Prices!C15/MAX(Prices!C$2:C15)-1</f>
        <v>-0.12533769622888979</v>
      </c>
      <c r="D15" s="37">
        <f>Prices!D15/MAX(Prices!D$2:D15)-1</f>
        <v>-7.5744505942566431E-2</v>
      </c>
      <c r="E15" s="37">
        <f>Prices!E15/MAX(Prices!E$2:E15)-1</f>
        <v>-6.1835263088343639E-2</v>
      </c>
      <c r="F15" s="37">
        <f>Prices!F15/MAX(Prices!F$2:F15)-1</f>
        <v>-7.5306432687119118E-2</v>
      </c>
      <c r="G15" s="37">
        <f>Prices!G15/MAX(Prices!G$2:G15)-1</f>
        <v>-5.5167040334426543E-2</v>
      </c>
      <c r="H15" s="1"/>
    </row>
    <row r="16" spans="1:8" x14ac:dyDescent="0.3">
      <c r="A16" s="26">
        <f>Prices!A16</f>
        <v>45953</v>
      </c>
      <c r="B16" s="37">
        <f>Prices!B16/MAX(Prices!B$2:B16)-1</f>
        <v>-6.5682650104360696E-2</v>
      </c>
      <c r="C16" s="37">
        <f>Prices!C16/MAX(Prices!C$2:C16)-1</f>
        <v>-0.11075084170531524</v>
      </c>
      <c r="D16" s="37">
        <f>Prices!D16/MAX(Prices!D$2:D16)-1</f>
        <v>-7.3941042878677754E-2</v>
      </c>
      <c r="E16" s="37">
        <f>Prices!E16/MAX(Prices!E$2:E16)-1</f>
        <v>-5.7180146342593052E-2</v>
      </c>
      <c r="F16" s="37">
        <f>Prices!F16/MAX(Prices!F$2:F16)-1</f>
        <v>-7.6619941981957207E-2</v>
      </c>
      <c r="G16" s="37">
        <f>Prices!G16/MAX(Prices!G$2:G16)-1</f>
        <v>-4.8342904766373707E-2</v>
      </c>
      <c r="H16" s="1"/>
    </row>
    <row r="17" spans="1:8" x14ac:dyDescent="0.3">
      <c r="A17" s="26">
        <f>Prices!A17</f>
        <v>45954</v>
      </c>
      <c r="B17" s="37">
        <f>Prices!B17/MAX(Prices!B$2:B17)-1</f>
        <v>-5.9040545774852959E-2</v>
      </c>
      <c r="C17" s="37">
        <f>Prices!C17/MAX(Prices!C$2:C17)-1</f>
        <v>-9.076138837432568E-2</v>
      </c>
      <c r="D17" s="37">
        <f>Prices!D17/MAX(Prices!D$2:D17)-1</f>
        <v>-7.0334116750900511E-2</v>
      </c>
      <c r="E17" s="37">
        <f>Prices!E17/MAX(Prices!E$2:E17)-1</f>
        <v>-5.5185680168821194E-2</v>
      </c>
      <c r="F17" s="37">
        <f>Prices!F17/MAX(Prices!F$2:F17)-1</f>
        <v>-6.961486087621005E-2</v>
      </c>
      <c r="G17" s="37">
        <f>Prices!G17/MAX(Prices!G$2:G17)-1</f>
        <v>-4.1300391436339012E-2</v>
      </c>
      <c r="H17" s="1"/>
    </row>
    <row r="18" spans="1:8" x14ac:dyDescent="0.3">
      <c r="A18" s="26">
        <f>Prices!A18</f>
        <v>45957</v>
      </c>
      <c r="B18" s="37">
        <f>Prices!B18/MAX(Prices!B$2:B18)-1</f>
        <v>-3.1734332550790834E-2</v>
      </c>
      <c r="C18" s="37">
        <f>Prices!C18/MAX(Prices!C$2:C18)-1</f>
        <v>-6.2128534148221393E-2</v>
      </c>
      <c r="D18" s="37">
        <f>Prices!D18/MAX(Prices!D$2:D18)-1</f>
        <v>-8.025269223191045E-2</v>
      </c>
      <c r="E18" s="37">
        <f>Prices!E18/MAX(Prices!E$2:E18)-1</f>
        <v>-4.0558232554210871E-2</v>
      </c>
      <c r="F18" s="37">
        <f>Prices!F18/MAX(Prices!F$2:F18)-1</f>
        <v>-4.9474460472039516E-2</v>
      </c>
      <c r="G18" s="37">
        <f>Prices!G18/MAX(Prices!G$2:G18)-1</f>
        <v>-3.1275558877155385E-2</v>
      </c>
      <c r="H18" s="1"/>
    </row>
    <row r="19" spans="1:8" x14ac:dyDescent="0.3">
      <c r="A19" s="26">
        <f>Prices!A19</f>
        <v>45958</v>
      </c>
      <c r="B19" s="37">
        <f>Prices!B19/MAX(Prices!B$2:B19)-1</f>
        <v>-4.797047143978761E-2</v>
      </c>
      <c r="C19" s="37">
        <f>Prices!C19/MAX(Prices!C$2:C19)-1</f>
        <v>-7.6175074705572166E-2</v>
      </c>
      <c r="D19" s="37">
        <f>Prices!D19/MAX(Prices!D$2:D19)-1</f>
        <v>-3.967524466479444E-2</v>
      </c>
      <c r="E19" s="37">
        <f>Prices!E19/MAX(Prices!E$2:E19)-1</f>
        <v>-7.9778646950877663E-3</v>
      </c>
      <c r="F19" s="37">
        <f>Prices!F19/MAX(Prices!F$2:F19)-1</f>
        <v>-5.3414988356553894E-2</v>
      </c>
      <c r="G19" s="37">
        <f>Prices!G19/MAX(Prices!G$2:G19)-1</f>
        <v>-3.4484347598277676E-2</v>
      </c>
      <c r="H19" s="1"/>
    </row>
    <row r="20" spans="1:8" x14ac:dyDescent="0.3">
      <c r="A20" s="26">
        <f>Prices!A20</f>
        <v>45960</v>
      </c>
      <c r="B20" s="37">
        <f>Prices!B20/MAX(Prices!B$2:B20)-1</f>
        <v>-3.9114382107501067E-2</v>
      </c>
      <c r="C20" s="37">
        <f>Prices!C20/MAX(Prices!C$2:C20)-1</f>
        <v>-7.0232161931933379E-2</v>
      </c>
      <c r="D20" s="37">
        <f>Prices!D20/MAX(Prices!D$2:D20)-1</f>
        <v>-2.6149743056007368E-2</v>
      </c>
      <c r="E20" s="37">
        <f>Prices!E20/MAX(Prices!E$2:E20)-1</f>
        <v>-2.6595606997524501E-2</v>
      </c>
      <c r="F20" s="37">
        <f>Prices!F20/MAX(Prices!F$2:F20)-1</f>
        <v>-5.3414988356553894E-2</v>
      </c>
      <c r="G20" s="37">
        <f>Prices!G20/MAX(Prices!G$2:G20)-1</f>
        <v>-3.6809660863026061E-2</v>
      </c>
      <c r="H20" s="1"/>
    </row>
    <row r="21" spans="1:8" x14ac:dyDescent="0.3">
      <c r="A21" s="26">
        <f>Prices!A21</f>
        <v>45961</v>
      </c>
      <c r="B21" s="37">
        <f>Prices!B21/MAX(Prices!B$2:B21)-1</f>
        <v>-7.1586659885494619E-2</v>
      </c>
      <c r="C21" s="37">
        <f>Prices!C21/MAX(Prices!C$2:C21)-1</f>
        <v>-0.10804981272901837</v>
      </c>
      <c r="D21" s="37">
        <f>Prices!D21/MAX(Prices!D$2:D21)-1</f>
        <v>-2.5248482894440372E-2</v>
      </c>
      <c r="E21" s="37">
        <f>Prices!E21/MAX(Prices!E$2:E21)-1</f>
        <v>0</v>
      </c>
      <c r="F21" s="37">
        <f>Prices!F21/MAX(Prices!F$2:F21)-1</f>
        <v>-7.2679414097442829E-2</v>
      </c>
      <c r="G21" s="37">
        <f>Prices!G21/MAX(Prices!G$2:G21)-1</f>
        <v>-5.0590489048732201E-2</v>
      </c>
      <c r="H21" s="1"/>
    </row>
    <row r="22" spans="1:8" x14ac:dyDescent="0.3">
      <c r="A22" s="26">
        <f>Prices!A22</f>
        <v>45964</v>
      </c>
      <c r="B22" s="37">
        <f>Prices!B22/MAX(Prices!B$2:B22)-1</f>
        <v>-7.3062699661070818E-2</v>
      </c>
      <c r="C22" s="37">
        <f>Prices!C22/MAX(Prices!C$2:C22)-1</f>
        <v>-0.11831415552280389</v>
      </c>
      <c r="D22" s="37">
        <f>Prices!D22/MAX(Prices!D$2:D22)-1</f>
        <v>-2.3445019830551805E-2</v>
      </c>
      <c r="E22" s="37">
        <f>Prices!E22/MAX(Prices!E$2:E22)-1</f>
        <v>0</v>
      </c>
      <c r="F22" s="37">
        <f>Prices!F22/MAX(Prices!F$2:F22)-1</f>
        <v>-6.129604412558276E-2</v>
      </c>
      <c r="G22" s="37">
        <f>Prices!G22/MAX(Prices!G$2:G22)-1</f>
        <v>-4.1366026800535249E-2</v>
      </c>
      <c r="H22" s="1"/>
    </row>
    <row r="23" spans="1:8" x14ac:dyDescent="0.3">
      <c r="A23" s="26">
        <f>Prices!A23</f>
        <v>45965</v>
      </c>
      <c r="B23" s="37">
        <f>Prices!B23/MAX(Prices!B$2:B23)-1</f>
        <v>-7.1586659885494619E-2</v>
      </c>
      <c r="C23" s="37">
        <f>Prices!C23/MAX(Prices!C$2:C23)-1</f>
        <v>-0.14100463783009054</v>
      </c>
      <c r="D23" s="37">
        <f>Prices!D23/MAX(Prices!D$2:D23)-1</f>
        <v>-2.6149743056007368E-2</v>
      </c>
      <c r="E23" s="37">
        <f>Prices!E23/MAX(Prices!E$2:E23)-1</f>
        <v>-3.7519413220979958E-3</v>
      </c>
      <c r="F23" s="37">
        <f>Prices!F23/MAX(Prices!F$2:F23)-1</f>
        <v>-6.8301125231329807E-2</v>
      </c>
      <c r="G23" s="37">
        <f>Prices!G23/MAX(Prices!G$2:G23)-1</f>
        <v>-4.8913873799158236E-2</v>
      </c>
      <c r="H23" s="1"/>
    </row>
    <row r="24" spans="1:8" x14ac:dyDescent="0.3">
      <c r="A24" s="26">
        <f>Prices!A24</f>
        <v>45966</v>
      </c>
      <c r="B24" s="37">
        <f>Prices!B24/MAX(Prices!B$2:B24)-1</f>
        <v>-7.1586659885494619E-2</v>
      </c>
      <c r="C24" s="37">
        <f>Prices!C24/MAX(Prices!C$2:C24)-1</f>
        <v>-0.14370620766120856</v>
      </c>
      <c r="D24" s="37">
        <f>Prices!D24/MAX(Prices!D$2:D24)-1</f>
        <v>-2.4346279992118691E-2</v>
      </c>
      <c r="E24" s="37">
        <f>Prices!E24/MAX(Prices!E$2:E24)-1</f>
        <v>-4.3772648757810506E-3</v>
      </c>
      <c r="F24" s="37">
        <f>Prices!F24/MAX(Prices!F$2:F24)-1</f>
        <v>-7.2679414097442829E-2</v>
      </c>
      <c r="G24" s="37">
        <f>Prices!G24/MAX(Prices!G$2:G24)-1</f>
        <v>-4.953651922895741E-2</v>
      </c>
      <c r="H24" s="1"/>
    </row>
    <row r="25" spans="1:8" x14ac:dyDescent="0.3">
      <c r="A25" s="26">
        <f>Prices!A25</f>
        <v>45967</v>
      </c>
      <c r="B25" s="37">
        <f>Prices!B25/MAX(Prices!B$2:B25)-1</f>
        <v>-4.9446511215363809E-2</v>
      </c>
      <c r="C25" s="37">
        <f>Prices!C25/MAX(Prices!C$2:C25)-1</f>
        <v>-0.10858958584042089</v>
      </c>
      <c r="D25" s="37">
        <f>Prices!D25/MAX(Prices!D$2:D25)-1</f>
        <v>0</v>
      </c>
      <c r="E25" s="37">
        <f>Prices!E25/MAX(Prices!E$2:E25)-1</f>
        <v>0</v>
      </c>
      <c r="F25" s="37">
        <f>Prices!F25/MAX(Prices!F$2:F25)-1</f>
        <v>-5.2101479061715694E-2</v>
      </c>
      <c r="G25" s="37">
        <f>Prices!G25/MAX(Prices!G$2:G25)-1</f>
        <v>-2.9362524386093991E-2</v>
      </c>
      <c r="H25" s="1"/>
    </row>
    <row r="26" spans="1:8" x14ac:dyDescent="0.3">
      <c r="A26" s="26">
        <f>Prices!A26</f>
        <v>45968</v>
      </c>
      <c r="B26" s="37">
        <f>Prices!B26/MAX(Prices!B$2:B26)-1</f>
        <v>-6.4206610328784386E-2</v>
      </c>
      <c r="C26" s="37">
        <f>Prices!C26/MAX(Prices!C$2:C26)-1</f>
        <v>-0.13506172505645175</v>
      </c>
      <c r="D26" s="37">
        <f>Prices!D26/MAX(Prices!D$2:D26)-1</f>
        <v>-6.3226156106627185E-3</v>
      </c>
      <c r="E26" s="37">
        <f>Prices!E26/MAX(Prices!E$2:E26)-1</f>
        <v>0</v>
      </c>
      <c r="F26" s="37">
        <f>Prices!F26/MAX(Prices!F$2:F26)-1</f>
        <v>-6.1733805107181405E-2</v>
      </c>
      <c r="G26" s="37">
        <f>Prices!G26/MAX(Prices!G$2:G26)-1</f>
        <v>-3.8307048690970125E-2</v>
      </c>
      <c r="H26" s="1"/>
    </row>
    <row r="27" spans="1:8" x14ac:dyDescent="0.3">
      <c r="A27" s="26">
        <f>Prices!A27</f>
        <v>45971</v>
      </c>
      <c r="B27" s="37">
        <f>Prices!B27/MAX(Prices!B$2:B27)-1</f>
        <v>-4.1328367110279984E-2</v>
      </c>
      <c r="C27" s="37">
        <f>Prices!C27/MAX(Prices!C$2:C27)-1</f>
        <v>-0.11723406844517759</v>
      </c>
      <c r="D27" s="37">
        <f>Prices!D27/MAX(Prices!D$2:D27)-1</f>
        <v>-1.805925799515995E-3</v>
      </c>
      <c r="E27" s="37">
        <f>Prices!E27/MAX(Prices!E$2:E27)-1</f>
        <v>-2.4537224427610971E-3</v>
      </c>
      <c r="F27" s="37">
        <f>Prices!F27/MAX(Prices!F$2:F27)-1</f>
        <v>-4.5534158937567293E-2</v>
      </c>
      <c r="G27" s="37">
        <f>Prices!G27/MAX(Prices!G$2:G27)-1</f>
        <v>-2.3383142707798732E-2</v>
      </c>
      <c r="H27" s="1"/>
    </row>
    <row r="28" spans="1:8" x14ac:dyDescent="0.3">
      <c r="A28" s="26">
        <f>Prices!A28</f>
        <v>45972</v>
      </c>
      <c r="B28" s="37">
        <f>Prices!B28/MAX(Prices!B$2:B28)-1</f>
        <v>-4.0590421883077377E-2</v>
      </c>
      <c r="C28" s="37">
        <f>Prices!C28/MAX(Prices!C$2:C28)-1</f>
        <v>-0.13344132401260189</v>
      </c>
      <c r="D28" s="37">
        <f>Prices!D28/MAX(Prices!D$2:D28)-1</f>
        <v>0</v>
      </c>
      <c r="E28" s="37">
        <f>Prices!E28/MAX(Prices!E$2:E28)-1</f>
        <v>0</v>
      </c>
      <c r="F28" s="37">
        <f>Prices!F28/MAX(Prices!F$2:F28)-1</f>
        <v>-4.6847668232405382E-2</v>
      </c>
      <c r="G28" s="37">
        <f>Prices!G28/MAX(Prices!G$2:G28)-1</f>
        <v>-2.164790272784789E-2</v>
      </c>
      <c r="H28" s="1"/>
    </row>
    <row r="29" spans="1:8" x14ac:dyDescent="0.3">
      <c r="A29" s="26">
        <f>Prices!A29</f>
        <v>45973</v>
      </c>
      <c r="B29" s="37">
        <f>Prices!B29/MAX(Prices!B$2:B29)-1</f>
        <v>-3.0258292775214635E-2</v>
      </c>
      <c r="C29" s="37">
        <f>Prices!C29/MAX(Prices!C$2:C29)-1</f>
        <v>-0.15288992252254696</v>
      </c>
      <c r="D29" s="37">
        <f>Prices!D29/MAX(Prices!D$2:D29)-1</f>
        <v>0</v>
      </c>
      <c r="E29" s="37">
        <f>Prices!E29/MAX(Prices!E$2:E29)-1</f>
        <v>0</v>
      </c>
      <c r="F29" s="37">
        <f>Prices!F29/MAX(Prices!F$2:F29)-1</f>
        <v>-4.246937936629247E-2</v>
      </c>
      <c r="G29" s="37">
        <f>Prices!G29/MAX(Prices!G$2:G29)-1</f>
        <v>-1.3353868492478549E-2</v>
      </c>
      <c r="H29" s="1"/>
    </row>
    <row r="30" spans="1:8" x14ac:dyDescent="0.3">
      <c r="A30" s="26">
        <f>Prices!A30</f>
        <v>45974</v>
      </c>
      <c r="B30" s="37">
        <f>Prices!B30/MAX(Prices!B$2:B30)-1</f>
        <v>-3.1734332550790834E-2</v>
      </c>
      <c r="C30" s="37">
        <f>Prices!C30/MAX(Prices!C$2:C30)-1</f>
        <v>-0.12479738226266623</v>
      </c>
      <c r="D30" s="37">
        <f>Prices!D30/MAX(Prices!D$2:D30)-1</f>
        <v>0</v>
      </c>
      <c r="E30" s="37">
        <f>Prices!E30/MAX(Prices!E$2:E30)-1</f>
        <v>0</v>
      </c>
      <c r="F30" s="37">
        <f>Prices!F30/MAX(Prices!F$2:F30)-1</f>
        <v>-4.4220649642729093E-2</v>
      </c>
      <c r="G30" s="37">
        <f>Prices!G30/MAX(Prices!G$2:G30)-1</f>
        <v>-7.8458190919832305E-3</v>
      </c>
      <c r="H30" s="1"/>
    </row>
    <row r="31" spans="1:8" x14ac:dyDescent="0.3">
      <c r="A31" s="26">
        <f>Prices!A31</f>
        <v>45975</v>
      </c>
      <c r="B31" s="37">
        <f>Prices!B31/MAX(Prices!B$2:B31)-1</f>
        <v>-5.3874630542092627E-2</v>
      </c>
      <c r="C31" s="37">
        <f>Prices!C31/MAX(Prices!C$2:C31)-1</f>
        <v>-0.16315480617115352</v>
      </c>
      <c r="D31" s="37">
        <f>Prices!D31/MAX(Prices!D$2:D31)-1</f>
        <v>-1.2248767676620864E-2</v>
      </c>
      <c r="E31" s="37">
        <f>Prices!E31/MAX(Prices!E$2:E31)-1</f>
        <v>-2.1390491518676225E-2</v>
      </c>
      <c r="F31" s="37">
        <f>Prices!F31/MAX(Prices!F$2:F31)-1</f>
        <v>-6.9176873544569362E-2</v>
      </c>
      <c r="G31" s="37">
        <f>Prices!G31/MAX(Prices!G$2:G31)-1</f>
        <v>-2.6190313362908335E-2</v>
      </c>
      <c r="H31" s="1"/>
    </row>
    <row r="32" spans="1:8" x14ac:dyDescent="0.3">
      <c r="A32" s="26">
        <f>Prices!A32</f>
        <v>45978</v>
      </c>
      <c r="B32" s="37">
        <f>Prices!B32/MAX(Prices!B$2:B32)-1</f>
        <v>-6.0516585550429269E-2</v>
      </c>
      <c r="C32" s="37">
        <f>Prices!C32/MAX(Prices!C$2:C32)-1</f>
        <v>-0.16315480617115352</v>
      </c>
      <c r="D32" s="37">
        <f>Prices!D32/MAX(Prices!D$2:D32)-1</f>
        <v>-1.9247674296113626E-2</v>
      </c>
      <c r="E32" s="37">
        <f>Prices!E32/MAX(Prices!E$2:E32)-1</f>
        <v>-3.3868075330566572E-2</v>
      </c>
      <c r="F32" s="37">
        <f>Prices!F32/MAX(Prices!F$2:F32)-1</f>
        <v>-7.5744193668717652E-2</v>
      </c>
      <c r="G32" s="37">
        <f>Prices!G32/MAX(Prices!G$2:G32)-1</f>
        <v>-3.3086666155241029E-2</v>
      </c>
      <c r="H32" s="1"/>
    </row>
    <row r="33" spans="1:8" x14ac:dyDescent="0.3">
      <c r="A33" s="26">
        <f>Prices!A33</f>
        <v>45979</v>
      </c>
      <c r="B33" s="37">
        <f>Prices!B33/MAX(Prices!B$2:B33)-1</f>
        <v>-7.9704803990578443E-2</v>
      </c>
      <c r="C33" s="37">
        <f>Prices!C33/MAX(Prices!C$2:C33)-1</f>
        <v>-0.16477574806982431</v>
      </c>
      <c r="D33" s="37">
        <f>Prices!D33/MAX(Prices!D$2:D33)-1</f>
        <v>-4.1119825059118709E-2</v>
      </c>
      <c r="E33" s="37">
        <f>Prices!E33/MAX(Prices!E$2:E33)-1</f>
        <v>-6.6547925292764876E-2</v>
      </c>
      <c r="F33" s="37">
        <f>Prices!F33/MAX(Prices!F$2:F33)-1</f>
        <v>-8.7565777322261007E-2</v>
      </c>
      <c r="G33" s="37">
        <f>Prices!G33/MAX(Prices!G$2:G33)-1</f>
        <v>-4.9733714835436871E-2</v>
      </c>
      <c r="H33" s="1"/>
    </row>
    <row r="34" spans="1:8" x14ac:dyDescent="0.3">
      <c r="A34" s="26">
        <f>Prices!A34</f>
        <v>45980</v>
      </c>
      <c r="B34" s="37">
        <f>Prices!B34/MAX(Prices!B$2:B34)-1</f>
        <v>-8.1180843766154753E-2</v>
      </c>
      <c r="C34" s="37">
        <f>Prices!C34/MAX(Prices!C$2:C34)-1</f>
        <v>-0.15505117838744131</v>
      </c>
      <c r="D34" s="37">
        <f>Prices!D34/MAX(Prices!D$2:D34)-1</f>
        <v>-5.6867591983813637E-2</v>
      </c>
      <c r="E34" s="37">
        <f>Prices!E34/MAX(Prices!E$2:E34)-1</f>
        <v>-7.3678494946998629E-2</v>
      </c>
      <c r="F34" s="37">
        <f>Prices!F34/MAX(Prices!F$2:F34)-1</f>
        <v>-8.8441299285458297E-2</v>
      </c>
      <c r="G34" s="37">
        <f>Prices!G34/MAX(Prices!G$2:G34)-1</f>
        <v>-5.337568596605724E-2</v>
      </c>
      <c r="H34" s="1"/>
    </row>
    <row r="35" spans="1:8" x14ac:dyDescent="0.3">
      <c r="A35" s="26">
        <f>Prices!A35</f>
        <v>45981</v>
      </c>
      <c r="B35" s="37">
        <f>Prices!B35/MAX(Prices!B$2:B35)-1</f>
        <v>-8.339482876893356E-2</v>
      </c>
      <c r="C35" s="37">
        <f>Prices!C35/MAX(Prices!C$2:C35)-1</f>
        <v>-0.16369512013737719</v>
      </c>
      <c r="D35" s="37">
        <f>Prices!D35/MAX(Prices!D$2:D35)-1</f>
        <v>-5.861754566952293E-2</v>
      </c>
      <c r="E35" s="37">
        <f>Prices!E35/MAX(Prices!E$2:E35)-1</f>
        <v>-6.1795023819292361E-2</v>
      </c>
      <c r="F35" s="37">
        <f>Prices!F35/MAX(Prices!F$2:F35)-1</f>
        <v>-8.5814280695782008E-2</v>
      </c>
      <c r="G35" s="37">
        <f>Prices!G35/MAX(Prices!G$2:G35)-1</f>
        <v>-5.3195384777721011E-2</v>
      </c>
      <c r="H35" s="1"/>
    </row>
    <row r="36" spans="1:8" x14ac:dyDescent="0.3">
      <c r="A36" s="26">
        <f>Prices!A36</f>
        <v>45982</v>
      </c>
      <c r="B36" s="37">
        <f>Prices!B36/MAX(Prices!B$2:B36)-1</f>
        <v>-9.9630967657930336E-2</v>
      </c>
      <c r="C36" s="37">
        <f>Prices!C36/MAX(Prices!C$2:C36)-1</f>
        <v>-0.20259285801208826</v>
      </c>
      <c r="D36" s="37">
        <f>Prices!D36/MAX(Prices!D$2:D36)-1</f>
        <v>-8.0489696432528235E-2</v>
      </c>
      <c r="E36" s="37">
        <f>Prices!E36/MAX(Prices!E$2:E36)-1</f>
        <v>-8.7344304127257022E-2</v>
      </c>
      <c r="F36" s="37">
        <f>Prices!F36/MAX(Prices!F$2:F36)-1</f>
        <v>-0.10420318447347365</v>
      </c>
      <c r="G36" s="37">
        <f>Prices!G36/MAX(Prices!G$2:G36)-1</f>
        <v>-7.5753676759522826E-2</v>
      </c>
      <c r="H36" s="1"/>
    </row>
    <row r="37" spans="1:8" x14ac:dyDescent="0.3">
      <c r="A37" s="26">
        <f>Prices!A37</f>
        <v>45985</v>
      </c>
      <c r="B37" s="37">
        <f>Prices!B37/MAX(Prices!B$2:B37)-1</f>
        <v>-7.8228764215002133E-2</v>
      </c>
      <c r="C37" s="37">
        <f>Prices!C37/MAX(Prices!C$2:C37)-1</f>
        <v>-0.16531606203604809</v>
      </c>
      <c r="D37" s="37">
        <f>Prices!D37/MAX(Prices!D$2:D37)-1</f>
        <v>-6.1242022136414609E-2</v>
      </c>
      <c r="E37" s="37">
        <f>Prices!E37/MAX(Prices!E$2:E37)-1</f>
        <v>-6.1200911135108282E-2</v>
      </c>
      <c r="F37" s="37">
        <f>Prices!F37/MAX(Prices!F$2:F37)-1</f>
        <v>-9.1068317875134475E-2</v>
      </c>
      <c r="G37" s="37">
        <f>Prices!G37/MAX(Prices!G$2:G37)-1</f>
        <v>-5.7558993100154665E-2</v>
      </c>
      <c r="H37" s="1"/>
    </row>
    <row r="38" spans="1:8" x14ac:dyDescent="0.3">
      <c r="A38" s="26">
        <f>Prices!A38</f>
        <v>45986</v>
      </c>
      <c r="B38" s="37">
        <f>Prices!B38/MAX(Prices!B$2:B38)-1</f>
        <v>-7.7490818987799526E-2</v>
      </c>
      <c r="C38" s="37">
        <f>Prices!C38/MAX(Prices!C$2:C38)-1</f>
        <v>-0.14748786456995289</v>
      </c>
      <c r="D38" s="37">
        <f>Prices!D38/MAX(Prices!D$2:D38)-1</f>
        <v>-6.5616452289015692E-2</v>
      </c>
      <c r="E38" s="37">
        <f>Prices!E38/MAX(Prices!E$2:E38)-1</f>
        <v>-5.8230347714188002E-2</v>
      </c>
      <c r="F38" s="37">
        <f>Prices!F38/MAX(Prices!F$2:F38)-1</f>
        <v>-9.063055689353583E-2</v>
      </c>
      <c r="G38" s="37">
        <f>Prices!G38/MAX(Prices!G$2:G38)-1</f>
        <v>-5.1033907056901362E-2</v>
      </c>
      <c r="H38" s="1"/>
    </row>
    <row r="39" spans="1:8" x14ac:dyDescent="0.3">
      <c r="A39" s="26">
        <f>Prices!A39</f>
        <v>45987</v>
      </c>
      <c r="B39" s="37">
        <f>Prices!B39/MAX(Prices!B$2:B39)-1</f>
        <v>-8.5608813771712367E-2</v>
      </c>
      <c r="C39" s="37">
        <f>Prices!C39/MAX(Prices!C$2:C39)-1</f>
        <v>-0.16369512013737719</v>
      </c>
      <c r="D39" s="37">
        <f>Prices!D39/MAX(Prices!D$2:D39)-1</f>
        <v>-5.861754566952293E-2</v>
      </c>
      <c r="E39" s="37">
        <f>Prices!E39/MAX(Prices!E$2:E39)-1</f>
        <v>-4.0998644984800325E-2</v>
      </c>
      <c r="F39" s="37">
        <f>Prices!F39/MAX(Prices!F$2:F39)-1</f>
        <v>-9.5446606741247497E-2</v>
      </c>
      <c r="G39" s="37">
        <f>Prices!G39/MAX(Prices!G$2:G39)-1</f>
        <v>-4.9805147806900596E-2</v>
      </c>
      <c r="H39" s="1"/>
    </row>
    <row r="40" spans="1:8" x14ac:dyDescent="0.3">
      <c r="A40" s="26">
        <f>Prices!A40</f>
        <v>45988</v>
      </c>
      <c r="B40" s="37">
        <f>Prices!B40/MAX(Prices!B$2:B40)-1</f>
        <v>-9.7416982655151418E-2</v>
      </c>
      <c r="C40" s="37">
        <f>Prices!C40/MAX(Prices!C$2:C40)-1</f>
        <v>-0.18638560244466396</v>
      </c>
      <c r="D40" s="37">
        <f>Prices!D40/MAX(Prices!D$2:D40)-1</f>
        <v>-4.6368777992902066E-2</v>
      </c>
      <c r="E40" s="37">
        <f>Prices!E40/MAX(Prices!E$2:E40)-1</f>
        <v>-2.495638506780562E-2</v>
      </c>
      <c r="F40" s="37">
        <f>Prices!F40/MAX(Prices!F$2:F40)-1</f>
        <v>-9.8511386312522431E-2</v>
      </c>
      <c r="G40" s="37">
        <f>Prices!G40/MAX(Prices!G$2:G40)-1</f>
        <v>-4.915100766353897E-2</v>
      </c>
      <c r="H40" s="1"/>
    </row>
    <row r="41" spans="1:8" x14ac:dyDescent="0.3">
      <c r="A41" s="26">
        <f>Prices!A41</f>
        <v>45989</v>
      </c>
      <c r="B41" s="37">
        <f>Prices!B41/MAX(Prices!B$2:B41)-1</f>
        <v>-9.7416982655151418E-2</v>
      </c>
      <c r="C41" s="37">
        <f>Prices!C41/MAX(Prices!C$2:C41)-1</f>
        <v>-0.1815233176034724</v>
      </c>
      <c r="D41" s="37">
        <f>Prices!D41/MAX(Prices!D$2:D41)-1</f>
        <v>-4.3744301526010387E-2</v>
      </c>
      <c r="E41" s="37">
        <f>Prices!E41/MAX(Prices!E$2:E41)-1</f>
        <v>-4.2186870353168482E-2</v>
      </c>
      <c r="F41" s="37">
        <f>Prices!F41/MAX(Prices!F$2:F41)-1</f>
        <v>-0.10026265658895928</v>
      </c>
      <c r="G41" s="37">
        <f>Prices!G41/MAX(Prices!G$2:G41)-1</f>
        <v>-5.2340758097838225E-2</v>
      </c>
      <c r="H41" s="1"/>
    </row>
    <row r="42" spans="1:8" x14ac:dyDescent="0.3">
      <c r="A42" s="26">
        <f>Prices!A42</f>
        <v>45992</v>
      </c>
      <c r="B42" s="37">
        <f>Prices!B42/MAX(Prices!B$2:B42)-1</f>
        <v>-8.5608813771712367E-2</v>
      </c>
      <c r="C42" s="37">
        <f>Prices!C42/MAX(Prices!C$2:C42)-1</f>
        <v>-0.16315480617115352</v>
      </c>
      <c r="D42" s="37">
        <f>Prices!D42/MAX(Prices!D$2:D42)-1</f>
        <v>-3.3245487535098928E-2</v>
      </c>
      <c r="E42" s="37">
        <f>Prices!E42/MAX(Prices!E$2:E42)-1</f>
        <v>-4.3375095721536527E-2</v>
      </c>
      <c r="F42" s="37">
        <f>Prices!F42/MAX(Prices!F$2:F42)-1</f>
        <v>-9.6760116036085697E-2</v>
      </c>
      <c r="G42" s="37">
        <f>Prices!G42/MAX(Prices!G$2:G42)-1</f>
        <v>-4.5950592856832562E-2</v>
      </c>
      <c r="H42" s="1"/>
    </row>
    <row r="43" spans="1:8" x14ac:dyDescent="0.3">
      <c r="A43" s="26">
        <f>Prices!A43</f>
        <v>45993</v>
      </c>
      <c r="B43" s="37">
        <f>Prices!B43/MAX(Prices!B$2:B43)-1</f>
        <v>-8.9298838550067594E-2</v>
      </c>
      <c r="C43" s="37">
        <f>Prices!C43/MAX(Prices!C$2:C43)-1</f>
        <v>-0.15180983544492066</v>
      </c>
      <c r="D43" s="37">
        <f>Prices!D43/MAX(Prices!D$2:D43)-1</f>
        <v>-2.8871057382497844E-2</v>
      </c>
      <c r="E43" s="37">
        <f>Prices!E43/MAX(Prices!E$2:E43)-1</f>
        <v>-3.9810419616432169E-2</v>
      </c>
      <c r="F43" s="37">
        <f>Prices!F43/MAX(Prices!F$2:F43)-1</f>
        <v>-0.10201392686539612</v>
      </c>
      <c r="G43" s="37">
        <f>Prices!G43/MAX(Prices!G$2:G43)-1</f>
        <v>-4.3686117821063797E-2</v>
      </c>
      <c r="H43" s="1"/>
    </row>
    <row r="44" spans="1:8" x14ac:dyDescent="0.3">
      <c r="A44" s="26">
        <f>Prices!A44</f>
        <v>45994</v>
      </c>
      <c r="B44" s="37">
        <f>Prices!B44/MAX(Prices!B$2:B44)-1</f>
        <v>-9.8154927882354026E-2</v>
      </c>
      <c r="C44" s="37">
        <f>Prices!C44/MAX(Prices!C$2:C44)-1</f>
        <v>-0.17017834687723954</v>
      </c>
      <c r="D44" s="37">
        <f>Prices!D44/MAX(Prices!D$2:D44)-1</f>
        <v>-2.7122011820133407E-2</v>
      </c>
      <c r="E44" s="37">
        <f>Prices!E44/MAX(Prices!E$2:E44)-1</f>
        <v>-5.4664454165058718E-2</v>
      </c>
      <c r="F44" s="37">
        <f>Prices!F44/MAX(Prices!F$2:F44)-1</f>
        <v>-0.11514879346373508</v>
      </c>
      <c r="G44" s="37">
        <f>Prices!G44/MAX(Prices!G$2:G44)-1</f>
        <v>-5.593806346526331E-2</v>
      </c>
      <c r="H44" s="1"/>
    </row>
    <row r="45" spans="1:8" x14ac:dyDescent="0.3">
      <c r="A45" s="26">
        <f>Prices!A45</f>
        <v>45995</v>
      </c>
      <c r="B45" s="37">
        <f>Prices!B45/MAX(Prices!B$2:B45)-1</f>
        <v>-9.6679037427948922E-2</v>
      </c>
      <c r="C45" s="37">
        <f>Prices!C45/MAX(Prices!C$2:C45)-1</f>
        <v>-0.16585637600227165</v>
      </c>
      <c r="D45" s="37">
        <f>Prices!D45/MAX(Prices!D$2:D45)-1</f>
        <v>-2.4496627229896761E-2</v>
      </c>
      <c r="E45" s="37">
        <f>Prices!E45/MAX(Prices!E$2:E45)-1</f>
        <v>-6.1200911135108282E-2</v>
      </c>
      <c r="F45" s="37">
        <f>Prices!F45/MAX(Prices!F$2:F45)-1</f>
        <v>-0.11033274361602341</v>
      </c>
      <c r="G45" s="37">
        <f>Prices!G45/MAX(Prices!G$2:G45)-1</f>
        <v>-4.9518554708840701E-2</v>
      </c>
      <c r="H45" s="1"/>
    </row>
    <row r="46" spans="1:8" x14ac:dyDescent="0.3">
      <c r="A46" s="26">
        <f>Prices!A46</f>
        <v>45996</v>
      </c>
      <c r="B46" s="37">
        <f>Prices!B46/MAX(Prices!B$2:B46)-1</f>
        <v>-9.9630967657930336E-2</v>
      </c>
      <c r="C46" s="37">
        <f>Prices!C46/MAX(Prices!C$2:C46)-1</f>
        <v>-0.16261449220492996</v>
      </c>
      <c r="D46" s="37">
        <f>Prices!D46/MAX(Prices!D$2:D46)-1</f>
        <v>-2.8871057382497844E-2</v>
      </c>
      <c r="E46" s="37">
        <f>Prices!E46/MAX(Prices!E$2:E46)-1</f>
        <v>-6.9519706157710193E-2</v>
      </c>
      <c r="F46" s="37">
        <f>Prices!F46/MAX(Prices!F$2:F46)-1</f>
        <v>-0.10814371235798814</v>
      </c>
      <c r="G46" s="37">
        <f>Prices!G46/MAX(Prices!G$2:G46)-1</f>
        <v>-4.4051517332952872E-2</v>
      </c>
      <c r="H46" s="1"/>
    </row>
    <row r="47" spans="1:8" x14ac:dyDescent="0.3">
      <c r="A47" s="26">
        <f>Prices!A47</f>
        <v>45999</v>
      </c>
      <c r="B47" s="37">
        <f>Prices!B47/MAX(Prices!B$2:B47)-1</f>
        <v>-0.10701116653581166</v>
      </c>
      <c r="C47" s="37">
        <f>Prices!C47/MAX(Prices!C$2:C47)-1</f>
        <v>-0.17125843395486562</v>
      </c>
      <c r="D47" s="37">
        <f>Prices!D47/MAX(Prices!D$2:D47)-1</f>
        <v>-4.5494255211719792E-2</v>
      </c>
      <c r="E47" s="37">
        <f>Prices!E47/MAX(Prices!E$2:E47)-1</f>
        <v>-7.4272607631182708E-2</v>
      </c>
      <c r="F47" s="37">
        <f>Prices!F47/MAX(Prices!F$2:F47)-1</f>
        <v>-0.1142732715005379</v>
      </c>
      <c r="G47" s="37">
        <f>Prices!G47/MAX(Prices!G$2:G47)-1</f>
        <v>-5.5768426649334235E-2</v>
      </c>
      <c r="H47" s="1"/>
    </row>
    <row r="48" spans="1:8" x14ac:dyDescent="0.3">
      <c r="A48" s="26">
        <f>Prices!A48</f>
        <v>46000</v>
      </c>
      <c r="B48" s="37">
        <f>Prices!B48/MAX(Prices!B$2:B48)-1</f>
        <v>-0.11070104199299569</v>
      </c>
      <c r="C48" s="37">
        <f>Prices!C48/MAX(Prices!C$2:C48)-1</f>
        <v>-0.18476466054599305</v>
      </c>
      <c r="D48" s="37">
        <f>Prices!D48/MAX(Prices!D$2:D48)-1</f>
        <v>-4.1994347840300983E-2</v>
      </c>
      <c r="E48" s="37">
        <f>Prices!E48/MAX(Prices!E$2:E48)-1</f>
        <v>-8.199728996960054E-2</v>
      </c>
      <c r="F48" s="37">
        <f>Prices!F48/MAX(Prices!F$2:F48)-1</f>
        <v>-0.12171633993792574</v>
      </c>
      <c r="G48" s="37">
        <f>Prices!G48/MAX(Prices!G$2:G48)-1</f>
        <v>-6.7903416011402928E-2</v>
      </c>
      <c r="H48" s="1"/>
    </row>
    <row r="49" spans="1:8" x14ac:dyDescent="0.3">
      <c r="A49" s="26">
        <f>Prices!A49</f>
        <v>46001</v>
      </c>
      <c r="B49" s="37">
        <f>Prices!B49/MAX(Prices!B$2:B49)-1</f>
        <v>-0.10996309676579308</v>
      </c>
      <c r="C49" s="37">
        <f>Prices!C49/MAX(Prices!C$2:C49)-1</f>
        <v>-0.17233906188731296</v>
      </c>
      <c r="D49" s="37">
        <f>Prices!D49/MAX(Prices!D$2:D49)-1</f>
        <v>-2.2747581667532324E-2</v>
      </c>
      <c r="E49" s="37">
        <f>Prices!E49/MAX(Prices!E$2:E49)-1</f>
        <v>-7.9026726548680148E-2</v>
      </c>
      <c r="F49" s="37">
        <f>Prices!F49/MAX(Prices!F$2:F49)-1</f>
        <v>-0.11821379938505228</v>
      </c>
      <c r="G49" s="37">
        <f>Prices!G49/MAX(Prices!G$2:G49)-1</f>
        <v>-6.3998687204762539E-2</v>
      </c>
      <c r="H49" s="1"/>
    </row>
    <row r="50" spans="1:8" x14ac:dyDescent="0.3">
      <c r="A50" s="26">
        <f>Prices!A50</f>
        <v>46002</v>
      </c>
      <c r="B50" s="37">
        <f>Prices!B50/MAX(Prices!B$2:B50)-1</f>
        <v>-0.11217708176857188</v>
      </c>
      <c r="C50" s="37">
        <f>Prices!C50/MAX(Prices!C$2:C50)-1</f>
        <v>-0.18638560244466396</v>
      </c>
      <c r="D50" s="37">
        <f>Prices!D50/MAX(Prices!D$2:D50)-1</f>
        <v>-2.6244764668916787E-3</v>
      </c>
      <c r="E50" s="37">
        <f>Prices!E50/MAX(Prices!E$2:E50)-1</f>
        <v>-8.1403177285416461E-2</v>
      </c>
      <c r="F50" s="37">
        <f>Prices!F50/MAX(Prices!F$2:F50)-1</f>
        <v>-0.1225920882511653</v>
      </c>
      <c r="G50" s="37">
        <f>Prices!G50/MAX(Prices!G$2:G50)-1</f>
        <v>-6.4375036938216001E-2</v>
      </c>
      <c r="H50" s="1"/>
    </row>
    <row r="51" spans="1:8" x14ac:dyDescent="0.3">
      <c r="A51" s="26">
        <f>Prices!A51</f>
        <v>46003</v>
      </c>
      <c r="B51" s="37">
        <f>Prices!B51/MAX(Prices!B$2:B51)-1</f>
        <v>-9.0774878325643793E-2</v>
      </c>
      <c r="C51" s="37">
        <f>Prices!C51/MAX(Prices!C$2:C51)-1</f>
        <v>-0.16747677704612141</v>
      </c>
      <c r="D51" s="37">
        <f>Prices!D51/MAX(Prices!D$2:D51)-1</f>
        <v>0</v>
      </c>
      <c r="E51" s="37">
        <f>Prices!E51/MAX(Prices!E$2:E51)-1</f>
        <v>-6.1200911135108282E-2</v>
      </c>
      <c r="F51" s="37">
        <f>Prices!F51/MAX(Prices!F$2:F51)-1</f>
        <v>-0.12040283064308777</v>
      </c>
      <c r="G51" s="37">
        <f>Prices!G51/MAX(Prices!G$2:G51)-1</f>
        <v>-4.8020093114190199E-2</v>
      </c>
      <c r="H51" s="1"/>
    </row>
    <row r="52" spans="1:8" x14ac:dyDescent="0.3">
      <c r="A52" s="26">
        <f>Prices!A52</f>
        <v>46006</v>
      </c>
      <c r="B52" s="37">
        <f>Prices!B52/MAX(Prices!B$2:B52)-1</f>
        <v>-0.10996309676579308</v>
      </c>
      <c r="C52" s="37">
        <f>Prices!C52/MAX(Prices!C$2:C52)-1</f>
        <v>-0.19719080005949408</v>
      </c>
      <c r="D52" s="37">
        <f>Prices!D52/MAX(Prices!D$2:D52)-1</f>
        <v>-9.3772620200093248E-3</v>
      </c>
      <c r="E52" s="37">
        <f>Prices!E52/MAX(Prices!E$2:E52)-1</f>
        <v>-4.1592757668984404E-2</v>
      </c>
      <c r="F52" s="37">
        <f>Prices!F52/MAX(Prices!F$2:F52)-1</f>
        <v>-0.11602454177697463</v>
      </c>
      <c r="G52" s="37">
        <f>Prices!G52/MAX(Prices!G$2:G52)-1</f>
        <v>-6.0769998984612439E-2</v>
      </c>
      <c r="H52" s="1"/>
    </row>
    <row r="53" spans="1:8" x14ac:dyDescent="0.3">
      <c r="A53" s="26">
        <f>Prices!A53</f>
        <v>46007</v>
      </c>
      <c r="B53" s="37">
        <f>Prices!B53/MAX(Prices!B$2:B53)-1</f>
        <v>-0.11955728064645321</v>
      </c>
      <c r="C53" s="37">
        <f>Prices!C53/MAX(Prices!C$2:C53)-1</f>
        <v>-0.22096136944440692</v>
      </c>
      <c r="D53" s="37">
        <f>Prices!D53/MAX(Prices!D$2:D53)-1</f>
        <v>-9.3772620200093248E-3</v>
      </c>
      <c r="E53" s="37">
        <f>Prices!E53/MAX(Prices!E$2:E53)-1</f>
        <v>-5.1693890744138438E-2</v>
      </c>
      <c r="F53" s="37">
        <f>Prices!F53/MAX(Prices!F$2:F53)-1</f>
        <v>-0.13309970990978603</v>
      </c>
      <c r="G53" s="37">
        <f>Prices!G53/MAX(Prices!G$2:G53)-1</f>
        <v>-7.518964873063505E-2</v>
      </c>
      <c r="H53" s="1"/>
    </row>
    <row r="54" spans="1:8" x14ac:dyDescent="0.3">
      <c r="A54" s="26">
        <f>Prices!A54</f>
        <v>46008</v>
      </c>
      <c r="B54" s="37">
        <f>Prices!B54/MAX(Prices!B$2:B54)-1</f>
        <v>-0.10701116653581166</v>
      </c>
      <c r="C54" s="37">
        <f>Prices!C54/MAX(Prices!C$2:C54)-1</f>
        <v>-0.21123734061684496</v>
      </c>
      <c r="D54" s="37">
        <f>Prices!D54/MAX(Prices!D$2:D54)-1</f>
        <v>0</v>
      </c>
      <c r="E54" s="37">
        <f>Prices!E54/MAX(Prices!E$2:E54)-1</f>
        <v>-3.8028081563880045E-2</v>
      </c>
      <c r="F54" s="37">
        <f>Prices!F54/MAX(Prices!F$2:F54)-1</f>
        <v>-0.12784589908047572</v>
      </c>
      <c r="G54" s="37">
        <f>Prices!G54/MAX(Prices!G$2:G54)-1</f>
        <v>-6.6637294810649395E-2</v>
      </c>
      <c r="H54" s="1"/>
    </row>
    <row r="55" spans="1:8" x14ac:dyDescent="0.3">
      <c r="A55" s="26">
        <f>Prices!A55</f>
        <v>46009</v>
      </c>
      <c r="B55" s="37">
        <f>Prices!B55/MAX(Prices!B$2:B55)-1</f>
        <v>-0.10701116653581166</v>
      </c>
      <c r="C55" s="37">
        <f>Prices!C55/MAX(Prices!C$2:C55)-1</f>
        <v>-0.22150168341063048</v>
      </c>
      <c r="D55" s="37">
        <f>Prices!D55/MAX(Prices!D$2:D55)-1</f>
        <v>0</v>
      </c>
      <c r="E55" s="37">
        <f>Prices!E55/MAX(Prices!E$2:E55)-1</f>
        <v>-3.3273962646382493E-2</v>
      </c>
      <c r="F55" s="37">
        <f>Prices!F55/MAX(Prices!F$2:F55)-1</f>
        <v>-0.12040283064308777</v>
      </c>
      <c r="G55" s="37">
        <f>Prices!G55/MAX(Prices!G$2:G55)-1</f>
        <v>-6.5561637102247272E-2</v>
      </c>
      <c r="H55" s="1"/>
    </row>
    <row r="56" spans="1:8" x14ac:dyDescent="0.3">
      <c r="A56" s="26">
        <f>Prices!A56</f>
        <v>46010</v>
      </c>
      <c r="B56" s="37">
        <f>Prices!B56/MAX(Prices!B$2:B56)-1</f>
        <v>-9.3726957876796191E-2</v>
      </c>
      <c r="C56" s="37">
        <f>Prices!C56/MAX(Prices!C$2:C56)-1</f>
        <v>-0.21501899752558917</v>
      </c>
      <c r="D56" s="37">
        <f>Prices!D56/MAX(Prices!D$2:D56)-1</f>
        <v>0</v>
      </c>
      <c r="E56" s="37">
        <f>Prices!E56/MAX(Prices!E$2:E56)-1</f>
        <v>-1.9608153466124101E-2</v>
      </c>
      <c r="F56" s="37">
        <f>Prices!F56/MAX(Prices!F$2:F56)-1</f>
        <v>-0.10901923432118532</v>
      </c>
      <c r="G56" s="37">
        <f>Prices!G56/MAX(Prices!G$2:G56)-1</f>
        <v>-5.8510749857796474E-2</v>
      </c>
      <c r="H56" s="1"/>
    </row>
    <row r="57" spans="1:8" x14ac:dyDescent="0.3">
      <c r="A57" s="26">
        <f>Prices!A57</f>
        <v>46013</v>
      </c>
      <c r="B57" s="37">
        <f>Prices!B57/MAX(Prices!B$2:B57)-1</f>
        <v>-9.2988863328422711E-2</v>
      </c>
      <c r="C57" s="37">
        <f>Prices!C57/MAX(Prices!C$2:C57)-1</f>
        <v>-0.20907608475195061</v>
      </c>
      <c r="D57" s="37">
        <f>Prices!D57/MAX(Prices!D$2:D57)-1</f>
        <v>0</v>
      </c>
      <c r="E57" s="37">
        <f>Prices!E57/MAX(Prices!E$2:E57)-1</f>
        <v>-1.7825815413571866E-2</v>
      </c>
      <c r="F57" s="37">
        <f>Prices!F57/MAX(Prices!F$2:F57)-1</f>
        <v>-0.10901923432118532</v>
      </c>
      <c r="G57" s="37">
        <f>Prices!G57/MAX(Prices!G$2:G57)-1</f>
        <v>-5.4434093777235737E-2</v>
      </c>
      <c r="H57" s="1"/>
    </row>
    <row r="58" spans="1:8" x14ac:dyDescent="0.3">
      <c r="A58" s="26">
        <f>Prices!A58</f>
        <v>46014</v>
      </c>
      <c r="B58" s="37">
        <f>Prices!B58/MAX(Prices!B$2:B58)-1</f>
        <v>-0.11143913654136928</v>
      </c>
      <c r="C58" s="37">
        <f>Prices!C58/MAX(Prices!C$2:C58)-1</f>
        <v>-0.20475411387698261</v>
      </c>
      <c r="D58" s="37">
        <f>Prices!D58/MAX(Prices!D$2:D58)-1</f>
        <v>0</v>
      </c>
      <c r="E58" s="37">
        <f>Prices!E58/MAX(Prices!E$2:E58)-1</f>
        <v>-1.7825815413571866E-2</v>
      </c>
      <c r="F58" s="37">
        <f>Prices!F58/MAX(Prices!F$2:F58)-1</f>
        <v>-0.10770572502634723</v>
      </c>
      <c r="G58" s="37">
        <f>Prices!G58/MAX(Prices!G$2:G58)-1</f>
        <v>-5.5446619133934227E-2</v>
      </c>
      <c r="H58" s="1"/>
    </row>
    <row r="59" spans="1:8" x14ac:dyDescent="0.3">
      <c r="A59" s="26">
        <f>Prices!A59</f>
        <v>46015</v>
      </c>
      <c r="B59" s="37">
        <f>Prices!B59/MAX(Prices!B$2:B59)-1</f>
        <v>-0.11070104199299569</v>
      </c>
      <c r="C59" s="37">
        <f>Prices!C59/MAX(Prices!C$2:C59)-1</f>
        <v>-0.21069702665062129</v>
      </c>
      <c r="D59" s="37">
        <f>Prices!D59/MAX(Prices!D$2:D59)-1</f>
        <v>0</v>
      </c>
      <c r="E59" s="37">
        <f>Prices!E59/MAX(Prices!E$2:E59)-1</f>
        <v>-9.5070203909699558E-3</v>
      </c>
      <c r="F59" s="37">
        <f>Prices!F59/MAX(Prices!F$2:F59)-1</f>
        <v>-0.10070064392060007</v>
      </c>
      <c r="G59" s="37">
        <f>Prices!G59/MAX(Prices!G$2:G59)-1</f>
        <v>-5.3805218301700375E-2</v>
      </c>
      <c r="H59" s="1"/>
    </row>
    <row r="60" spans="1:8" x14ac:dyDescent="0.3">
      <c r="A60" s="26">
        <f>Prices!A60</f>
        <v>46020</v>
      </c>
      <c r="B60" s="37">
        <f>Prices!B60/MAX(Prices!B$2:B60)-1</f>
        <v>-0.11955728064645321</v>
      </c>
      <c r="C60" s="37">
        <f>Prices!C60/MAX(Prices!C$2:C60)-1</f>
        <v>-0.22582365428559847</v>
      </c>
      <c r="D60" s="37">
        <f>Prices!D60/MAX(Prices!D$2:D60)-1</f>
        <v>-1.6141963492086076E-2</v>
      </c>
      <c r="E60" s="37">
        <f>Prices!E60/MAX(Prices!E$2:E60)-1</f>
        <v>-2.3174047015253496E-2</v>
      </c>
      <c r="F60" s="37">
        <f>Prices!F60/MAX(Prices!F$2:F60)-1</f>
        <v>-0.10639221573150903</v>
      </c>
      <c r="G60" s="37">
        <f>Prices!G60/MAX(Prices!G$2:G60)-1</f>
        <v>-6.0537303111635521E-2</v>
      </c>
      <c r="H60" s="1"/>
    </row>
    <row r="61" spans="1:8" x14ac:dyDescent="0.3">
      <c r="A61" s="26">
        <f>Prices!A61</f>
        <v>46021</v>
      </c>
      <c r="B61" s="37">
        <f>Prices!B61/MAX(Prices!B$2:B61)-1</f>
        <v>-0.11439106677135069</v>
      </c>
      <c r="C61" s="37">
        <f>Prices!C61/MAX(Prices!C$2:C61)-1</f>
        <v>-0.21934096840055717</v>
      </c>
      <c r="D61" s="37">
        <f>Prices!D61/MAX(Prices!D$2:D61)-1</f>
        <v>-7.2642186755178528E-3</v>
      </c>
      <c r="E61" s="37">
        <f>Prices!E61/MAX(Prices!E$2:E61)-1</f>
        <v>-2.9709286541278135E-2</v>
      </c>
      <c r="F61" s="37">
        <f>Prices!F61/MAX(Prices!F$2:F61)-1</f>
        <v>-0.10551669376831174</v>
      </c>
      <c r="G61" s="37">
        <f>Prices!G61/MAX(Prices!G$2:G61)-1</f>
        <v>-5.2498011781683451E-2</v>
      </c>
      <c r="H61" s="1"/>
    </row>
    <row r="62" spans="1:8" x14ac:dyDescent="0.3">
      <c r="A62" s="26">
        <f>Prices!A62</f>
        <v>46022</v>
      </c>
      <c r="B62" s="37">
        <f>Prices!B62/MAX(Prices!B$2:B62)-1</f>
        <v>-0.1158672558680981</v>
      </c>
      <c r="C62" s="37">
        <f>Prices!C62/MAX(Prices!C$2:C62)-1</f>
        <v>-0.2285252241167165</v>
      </c>
      <c r="D62" s="37">
        <f>Prices!D62/MAX(Prices!D$2:D62)-1</f>
        <v>-1.3720836520312751E-2</v>
      </c>
      <c r="E62" s="37">
        <f>Prices!E62/MAX(Prices!E$2:E62)-1</f>
        <v>-4.8129214639033968E-2</v>
      </c>
      <c r="F62" s="37">
        <f>Prices!F62/MAX(Prices!F$2:F62)-1</f>
        <v>-0.10726796404474859</v>
      </c>
      <c r="G62" s="37">
        <f>Prices!G62/MAX(Prices!G$2:G62)-1</f>
        <v>-6.0709230385555757E-2</v>
      </c>
      <c r="H62" s="1"/>
    </row>
    <row r="63" spans="1:8" x14ac:dyDescent="0.3">
      <c r="A63" s="26">
        <f>Prices!A63</f>
        <v>46024</v>
      </c>
      <c r="B63" s="37">
        <f>Prices!B63/MAX(Prices!B$2:B63)-1</f>
        <v>-8.0442749217781051E-2</v>
      </c>
      <c r="C63" s="37">
        <f>Prices!C63/MAX(Prices!C$2:C63)-1</f>
        <v>-0.19502954419459961</v>
      </c>
      <c r="D63" s="37">
        <f>Prices!D63/MAX(Prices!D$2:D63)-1</f>
        <v>0</v>
      </c>
      <c r="E63" s="37">
        <f>Prices!E63/MAX(Prices!E$2:E63)-1</f>
        <v>-1.0101133075154034E-2</v>
      </c>
      <c r="F63" s="37">
        <f>Prices!F63/MAX(Prices!F$2:F63)-1</f>
        <v>-8.9754808580296386E-2</v>
      </c>
      <c r="G63" s="37">
        <f>Prices!G63/MAX(Prices!G$2:G63)-1</f>
        <v>-3.4765428938227427E-2</v>
      </c>
      <c r="H63" s="1"/>
    </row>
    <row r="64" spans="1:8" x14ac:dyDescent="0.3">
      <c r="A64" s="26">
        <f>Prices!A64</f>
        <v>46027</v>
      </c>
      <c r="B64" s="37">
        <f>Prices!B64/MAX(Prices!B$2:B64)-1</f>
        <v>-7.8228764215002133E-2</v>
      </c>
      <c r="C64" s="37">
        <f>Prices!C64/MAX(Prices!C$2:C64)-1</f>
        <v>-0.17450031775220742</v>
      </c>
      <c r="D64" s="37">
        <f>Prices!D64/MAX(Prices!D$2:D64)-1</f>
        <v>0</v>
      </c>
      <c r="E64" s="37">
        <f>Prices!E64/MAX(Prices!E$2:E64)-1</f>
        <v>-2.971780864945317E-3</v>
      </c>
      <c r="F64" s="37">
        <f>Prices!F64/MAX(Prices!F$2:F64)-1</f>
        <v>-8.0122482534830786E-2</v>
      </c>
      <c r="G64" s="37">
        <f>Prices!G64/MAX(Prices!G$2:G64)-1</f>
        <v>-3.4444050196563269E-2</v>
      </c>
      <c r="H64" s="1"/>
    </row>
    <row r="65" spans="1:8" x14ac:dyDescent="0.3">
      <c r="A65" s="26">
        <f>Prices!A65</f>
        <v>46028</v>
      </c>
      <c r="B65" s="37">
        <f>Prices!B65/MAX(Prices!B$2:B65)-1</f>
        <v>-6.6420744652734287E-2</v>
      </c>
      <c r="C65" s="37">
        <f>Prices!C65/MAX(Prices!C$2:C65)-1</f>
        <v>-0.18530497451221661</v>
      </c>
      <c r="D65" s="37">
        <f>Prices!D65/MAX(Prices!D$2:D65)-1</f>
        <v>0</v>
      </c>
      <c r="E65" s="37">
        <f>Prices!E65/MAX(Prices!E$2:E65)-1</f>
        <v>0</v>
      </c>
      <c r="F65" s="37">
        <f>Prices!F65/MAX(Prices!F$2:F65)-1</f>
        <v>-5.3414988356553894E-2</v>
      </c>
      <c r="G65" s="37">
        <f>Prices!G65/MAX(Prices!G$2:G65)-1</f>
        <v>-2.1133410892027804E-2</v>
      </c>
      <c r="H65" s="1"/>
    </row>
    <row r="66" spans="1:8" x14ac:dyDescent="0.3">
      <c r="A66" s="26">
        <f>Prices!A66</f>
        <v>46029</v>
      </c>
      <c r="B66" s="37">
        <f>Prices!B66/MAX(Prices!B$2:B66)-1</f>
        <v>-7.8228764215002133E-2</v>
      </c>
      <c r="C66" s="37">
        <f>Prices!C66/MAX(Prices!C$2:C66)-1</f>
        <v>-0.21177711372824748</v>
      </c>
      <c r="D66" s="37">
        <f>Prices!D66/MAX(Prices!D$2:D66)-1</f>
        <v>-1.242277570664363E-2</v>
      </c>
      <c r="E66" s="37">
        <f>Prices!E66/MAX(Prices!E$2:E66)-1</f>
        <v>-1.1631797070977834E-3</v>
      </c>
      <c r="F66" s="37">
        <f>Prices!F66/MAX(Prices!F$2:F66)-1</f>
        <v>-5.8231264554307716E-2</v>
      </c>
      <c r="G66" s="37">
        <f>Prices!G66/MAX(Prices!G$2:G66)-1</f>
        <v>-3.0350213848701957E-2</v>
      </c>
      <c r="H66" s="1"/>
    </row>
    <row r="67" spans="1:8" x14ac:dyDescent="0.3">
      <c r="A67" s="26">
        <f>Prices!A67</f>
        <v>46030</v>
      </c>
      <c r="B67" s="37">
        <f>Prices!B67/MAX(Prices!B$2:B67)-1</f>
        <v>-9.0774878325643793E-2</v>
      </c>
      <c r="C67" s="37">
        <f>Prices!C67/MAX(Prices!C$2:C67)-1</f>
        <v>-0.22960531119434269</v>
      </c>
      <c r="D67" s="37">
        <f>Prices!D67/MAX(Prices!D$2:D67)-1</f>
        <v>-3.4937696737601054E-2</v>
      </c>
      <c r="E67" s="37">
        <f>Prices!E67/MAX(Prices!E$2:E67)-1</f>
        <v>-2.556733286583901E-2</v>
      </c>
      <c r="F67" s="37">
        <f>Prices!F67/MAX(Prices!F$2:F67)-1</f>
        <v>-6.9176873544569362E-2</v>
      </c>
      <c r="G67" s="37">
        <f>Prices!G67/MAX(Prices!G$2:G67)-1</f>
        <v>-4.1697644805603562E-2</v>
      </c>
      <c r="H67" s="1"/>
    </row>
    <row r="68" spans="1:8" x14ac:dyDescent="0.3">
      <c r="A68" s="26">
        <f>Prices!A68</f>
        <v>46031</v>
      </c>
      <c r="B68" s="37">
        <f>Prices!B68/MAX(Prices!B$2:B68)-1</f>
        <v>-9.8154927882354026E-2</v>
      </c>
      <c r="C68" s="37">
        <f>Prices!C68/MAX(Prices!C$2:C68)-1</f>
        <v>-0.20853577078572683</v>
      </c>
      <c r="D68" s="37">
        <f>Prices!D68/MAX(Prices!D$2:D68)-1</f>
        <v>-3.1055730433423134E-2</v>
      </c>
      <c r="E68" s="37">
        <f>Prices!E68/MAX(Prices!E$2:E68)-1</f>
        <v>-2.0337191153167011E-2</v>
      </c>
      <c r="F68" s="37">
        <f>Prices!F68/MAX(Prices!F$2:F68)-1</f>
        <v>-6.5674332991695672E-2</v>
      </c>
      <c r="G68" s="37">
        <f>Prices!G68/MAX(Prices!G$2:G68)-1</f>
        <v>-3.8675024510007705E-2</v>
      </c>
      <c r="H68" s="1"/>
    </row>
    <row r="69" spans="1:8" x14ac:dyDescent="0.3">
      <c r="A69" s="26">
        <f>Prices!A69</f>
        <v>46034</v>
      </c>
      <c r="B69" s="37">
        <f>Prices!B69/MAX(Prices!B$2:B69)-1</f>
        <v>-8.0442749217781051E-2</v>
      </c>
      <c r="C69" s="37">
        <f>Prices!C69/MAX(Prices!C$2:C69)-1</f>
        <v>-0.16639614911367417</v>
      </c>
      <c r="D69" s="37">
        <f>Prices!D69/MAX(Prices!D$2:D69)-1</f>
        <v>-3.6490644437030317E-2</v>
      </c>
      <c r="E69" s="37">
        <f>Prices!E69/MAX(Prices!E$2:E69)-1</f>
        <v>-2.7310316582513705E-2</v>
      </c>
      <c r="F69" s="37">
        <f>Prices!F69/MAX(Prices!F$2:F69)-1</f>
        <v>-6.6987615936491718E-2</v>
      </c>
      <c r="G69" s="37">
        <f>Prices!G69/MAX(Prices!G$2:G69)-1</f>
        <v>-2.4870291272338751E-2</v>
      </c>
      <c r="H69" s="1"/>
    </row>
    <row r="70" spans="1:8" x14ac:dyDescent="0.3">
      <c r="A70" s="26">
        <f>Prices!A70</f>
        <v>46035</v>
      </c>
      <c r="B70" s="37">
        <f>Prices!B70/MAX(Prices!B$2:B70)-1</f>
        <v>-7.3800644888273537E-2</v>
      </c>
      <c r="C70" s="37">
        <f>Prices!C70/MAX(Prices!C$2:C70)-1</f>
        <v>-0.13614235298889898</v>
      </c>
      <c r="D70" s="37">
        <f>Prices!D70/MAX(Prices!D$2:D70)-1</f>
        <v>-1.8633760615570094E-2</v>
      </c>
      <c r="E70" s="37">
        <f>Prices!E70/MAX(Prices!E$2:E70)-1</f>
        <v>-1.917520200871714E-2</v>
      </c>
      <c r="F70" s="37">
        <f>Prices!F70/MAX(Prices!F$2:F70)-1</f>
        <v>-5.4728497651392094E-2</v>
      </c>
      <c r="G70" s="37">
        <f>Prices!G70/MAX(Prices!G$2:G70)-1</f>
        <v>-1.6075291729862329E-2</v>
      </c>
      <c r="H70" s="1"/>
    </row>
    <row r="71" spans="1:8" x14ac:dyDescent="0.3">
      <c r="A71" s="26">
        <f>Prices!A71</f>
        <v>46036</v>
      </c>
      <c r="B71" s="37">
        <f>Prices!B71/MAX(Prices!B$2:B71)-1</f>
        <v>-6.5682650104360696E-2</v>
      </c>
      <c r="C71" s="37">
        <f>Prices!C71/MAX(Prices!C$2:C71)-1</f>
        <v>-8.6979731465581467E-2</v>
      </c>
      <c r="D71" s="37">
        <f>Prices!D71/MAX(Prices!D$2:D71)-1</f>
        <v>-1.3975723406072893E-2</v>
      </c>
      <c r="E71" s="37">
        <f>Prices!E71/MAX(Prices!E$2:E71)-1</f>
        <v>-1.5689234575367861E-2</v>
      </c>
      <c r="F71" s="37">
        <f>Prices!F71/MAX(Prices!F$2:F71)-1</f>
        <v>-4.8161177527243582E-2</v>
      </c>
      <c r="G71" s="37">
        <f>Prices!G71/MAX(Prices!G$2:G71)-1</f>
        <v>-1.0529092461065259E-2</v>
      </c>
      <c r="H71" s="1"/>
    </row>
    <row r="72" spans="1:8" x14ac:dyDescent="0.3">
      <c r="A72" s="26">
        <f>Prices!A72</f>
        <v>46037</v>
      </c>
      <c r="B72" s="37">
        <f>Prices!B72/MAX(Prices!B$2:B72)-1</f>
        <v>-8.1918788993357361E-2</v>
      </c>
      <c r="C72" s="37">
        <f>Prices!C72/MAX(Prices!C$2:C72)-1</f>
        <v>-0.11075084170531524</v>
      </c>
      <c r="D72" s="37">
        <f>Prices!D72/MAX(Prices!D$2:D72)-1</f>
        <v>-4.6588430982879014E-3</v>
      </c>
      <c r="E72" s="37">
        <f>Prices!E72/MAX(Prices!E$2:E72)-1</f>
        <v>-1.3946250858693165E-2</v>
      </c>
      <c r="F72" s="37">
        <f>Prices!F72/MAX(Prices!F$2:F72)-1</f>
        <v>-3.984236077661607E-2</v>
      </c>
      <c r="G72" s="37">
        <f>Prices!G72/MAX(Prices!G$2:G72)-1</f>
        <v>-1.332130367694262E-2</v>
      </c>
      <c r="H72" s="1"/>
    </row>
    <row r="73" spans="1:8" x14ac:dyDescent="0.3">
      <c r="A73" s="26">
        <f>Prices!A73</f>
        <v>46038</v>
      </c>
      <c r="B73" s="37">
        <f>Prices!B73/MAX(Prices!B$2:B73)-1</f>
        <v>-8.8560893322864875E-2</v>
      </c>
      <c r="C73" s="37">
        <f>Prices!C73/MAX(Prices!C$2:C73)-1</f>
        <v>-0.10210689995537958</v>
      </c>
      <c r="D73" s="37">
        <f>Prices!D73/MAX(Prices!D$2:D73)-1</f>
        <v>-2.3298244935392454E-3</v>
      </c>
      <c r="E73" s="37">
        <f>Prices!E73/MAX(Prices!E$2:E73)-1</f>
        <v>-2.9053300299188289E-2</v>
      </c>
      <c r="F73" s="37">
        <f>Prices!F73/MAX(Prices!F$2:F73)-1</f>
        <v>-4.028034810825698E-2</v>
      </c>
      <c r="G73" s="37">
        <f>Prices!G73/MAX(Prices!G$2:G73)-1</f>
        <v>-1.6203916521183914E-2</v>
      </c>
      <c r="H73" s="1"/>
    </row>
    <row r="74" spans="1:8" x14ac:dyDescent="0.3">
      <c r="A74" s="26">
        <f>Prices!A74</f>
        <v>46041</v>
      </c>
      <c r="B74" s="37">
        <f>Prices!B74/MAX(Prices!B$2:B74)-1</f>
        <v>-9.9630967657930336E-2</v>
      </c>
      <c r="C74" s="37">
        <f>Prices!C74/MAX(Prices!C$2:C74)-1</f>
        <v>-0.13344132401260189</v>
      </c>
      <c r="D74" s="37">
        <f>Prices!D74/MAX(Prices!D$2:D74)-1</f>
        <v>-1.3975723406072893E-2</v>
      </c>
      <c r="E74" s="37">
        <f>Prices!E74/MAX(Prices!E$2:E74)-1</f>
        <v>-3.6026425728534983E-2</v>
      </c>
      <c r="F74" s="37">
        <f>Prices!F74/MAX(Prices!F$2:F74)-1</f>
        <v>-5.4728497651392094E-2</v>
      </c>
      <c r="G74" s="37">
        <f>Prices!G74/MAX(Prices!G$2:G74)-1</f>
        <v>-2.6504032813049916E-2</v>
      </c>
      <c r="H74" s="1"/>
    </row>
    <row r="75" spans="1:8" x14ac:dyDescent="0.3">
      <c r="A75" s="26">
        <f>Prices!A75</f>
        <v>46042</v>
      </c>
      <c r="B75" s="37">
        <f>Prices!B75/MAX(Prices!B$2:B75)-1</f>
        <v>-0.11291517631694559</v>
      </c>
      <c r="C75" s="37">
        <f>Prices!C75/MAX(Prices!C$2:C75)-1</f>
        <v>-0.13722298092134633</v>
      </c>
      <c r="D75" s="37">
        <f>Prices!D75/MAX(Prices!D$2:D75)-1</f>
        <v>-3.1058953988585269E-3</v>
      </c>
      <c r="E75" s="37">
        <f>Prices!E75/MAX(Prices!E$2:E75)-1</f>
        <v>-3.7188414872984743E-2</v>
      </c>
      <c r="F75" s="37">
        <f>Prices!F75/MAX(Prices!F$2:F75)-1</f>
        <v>-6.5236345660054873E-2</v>
      </c>
      <c r="G75" s="37">
        <f>Prices!G75/MAX(Prices!G$2:G75)-1</f>
        <v>-2.9303544176636831E-2</v>
      </c>
      <c r="H75" s="1"/>
    </row>
    <row r="76" spans="1:8" x14ac:dyDescent="0.3">
      <c r="A76" s="26">
        <f>Prices!A76</f>
        <v>46043</v>
      </c>
      <c r="B76" s="37">
        <f>Prices!B76/MAX(Prices!B$2:B76)-1</f>
        <v>-0.11070104199299569</v>
      </c>
      <c r="C76" s="37">
        <f>Prices!C76/MAX(Prices!C$2:C76)-1</f>
        <v>-0.11831415552280389</v>
      </c>
      <c r="D76" s="37">
        <f>Prices!D76/MAX(Prices!D$2:D76)-1</f>
        <v>-4.6588430982879014E-3</v>
      </c>
      <c r="E76" s="37">
        <f>Prices!E76/MAX(Prices!E$2:E76)-1</f>
        <v>-3.7188414872984743E-2</v>
      </c>
      <c r="F76" s="37">
        <f>Prices!F76/MAX(Prices!F$2:F76)-1</f>
        <v>-6.4360823696857583E-2</v>
      </c>
      <c r="G76" s="37">
        <f>Prices!G76/MAX(Prices!G$2:G76)-1</f>
        <v>-2.5728571690809221E-2</v>
      </c>
      <c r="H76" s="1"/>
    </row>
    <row r="77" spans="1:8" x14ac:dyDescent="0.3">
      <c r="A77" s="26">
        <f>Prices!A77</f>
        <v>46044</v>
      </c>
      <c r="B77" s="37">
        <f>Prices!B77/MAX(Prices!B$2:B77)-1</f>
        <v>-0.1180812408708769</v>
      </c>
      <c r="C77" s="37">
        <f>Prices!C77/MAX(Prices!C$2:C77)-1</f>
        <v>-0.10967021377286812</v>
      </c>
      <c r="D77" s="37">
        <f>Prices!D77/MAX(Prices!D$2:D77)-1</f>
        <v>0</v>
      </c>
      <c r="E77" s="37">
        <f>Prices!E77/MAX(Prices!E$2:E77)-1</f>
        <v>-4.1255376878558958E-2</v>
      </c>
      <c r="F77" s="37">
        <f>Prices!F77/MAX(Prices!F$2:F77)-1</f>
        <v>-6.6549854954893073E-2</v>
      </c>
      <c r="G77" s="37">
        <f>Prices!G77/MAX(Prices!G$2:G77)-1</f>
        <v>-2.4083092010984797E-2</v>
      </c>
      <c r="H77" s="1"/>
    </row>
    <row r="78" spans="1:8" x14ac:dyDescent="0.3">
      <c r="A78" s="26">
        <f>Prices!A78</f>
        <v>46045</v>
      </c>
      <c r="B78" s="37">
        <f>Prices!B78/MAX(Prices!B$2:B78)-1</f>
        <v>-0.12177126564923202</v>
      </c>
      <c r="C78" s="37">
        <f>Prices!C78/MAX(Prices!C$2:C78)-1</f>
        <v>-8.9681301296699489E-2</v>
      </c>
      <c r="D78" s="37">
        <f>Prices!D78/MAX(Prices!D$2:D78)-1</f>
        <v>0</v>
      </c>
      <c r="E78" s="37">
        <f>Prices!E78/MAX(Prices!E$2:E78)-1</f>
        <v>-3.4864436584085223E-2</v>
      </c>
      <c r="F78" s="37">
        <f>Prices!F78/MAX(Prices!F$2:F78)-1</f>
        <v>-7.6182181000358562E-2</v>
      </c>
      <c r="G78" s="37">
        <f>Prices!G78/MAX(Prices!G$2:G78)-1</f>
        <v>-1.9701944277437433E-2</v>
      </c>
      <c r="H78" s="1"/>
    </row>
    <row r="79" spans="1:8" x14ac:dyDescent="0.3">
      <c r="A79" s="26">
        <f>Prices!A79</f>
        <v>46048</v>
      </c>
      <c r="B79" s="37">
        <f>Prices!B79/MAX(Prices!B$2:B79)-1</f>
        <v>-0.1151291613197245</v>
      </c>
      <c r="C79" s="37">
        <f>Prices!C79/MAX(Prices!C$2:C79)-1</f>
        <v>-0.10750949876279459</v>
      </c>
      <c r="D79" s="37">
        <f>Prices!D79/MAX(Prices!D$2:D79)-1</f>
        <v>0</v>
      </c>
      <c r="E79" s="37">
        <f>Prices!E79/MAX(Prices!E$2:E79)-1</f>
        <v>-3.4864436584085223E-2</v>
      </c>
      <c r="F79" s="37">
        <f>Prices!F79/MAX(Prices!F$2:F79)-1</f>
        <v>-7.3992923392281029E-2</v>
      </c>
      <c r="G79" s="37">
        <f>Prices!G79/MAX(Prices!G$2:G79)-1</f>
        <v>-1.9115231552604639E-2</v>
      </c>
      <c r="H79" s="1"/>
    </row>
    <row r="80" spans="1:8" x14ac:dyDescent="0.3">
      <c r="A80" s="26">
        <f>Prices!A80</f>
        <v>46049</v>
      </c>
      <c r="B80" s="37">
        <f>Prices!B80/MAX(Prices!B$2:B80)-1</f>
        <v>-0.10405908698465893</v>
      </c>
      <c r="C80" s="37">
        <f>Prices!C80/MAX(Prices!C$2:C80)-1</f>
        <v>-8.2117446624389911E-2</v>
      </c>
      <c r="D80" s="37">
        <f>Prices!D80/MAX(Prices!D$2:D80)-1</f>
        <v>0</v>
      </c>
      <c r="E80" s="37">
        <f>Prices!E80/MAX(Prices!E$2:E80)-1</f>
        <v>0</v>
      </c>
      <c r="F80" s="37">
        <f>Prices!F80/MAX(Prices!F$2:F80)-1</f>
        <v>-5.7793503572709071E-2</v>
      </c>
      <c r="G80" s="37">
        <f>Prices!G80/MAX(Prices!G$2:G80)-1</f>
        <v>-5.8697988385296718E-3</v>
      </c>
      <c r="H80" s="1"/>
    </row>
    <row r="81" spans="1:8" x14ac:dyDescent="0.3">
      <c r="A81" s="26">
        <f>Prices!A81</f>
        <v>46050</v>
      </c>
      <c r="B81" s="37">
        <f>Prices!B81/MAX(Prices!B$2:B81)-1</f>
        <v>-8.339482876893356E-2</v>
      </c>
      <c r="C81" s="37">
        <f>Prices!C81/MAX(Prices!C$2:C81)-1</f>
        <v>-6.2668848114444953E-2</v>
      </c>
      <c r="D81" s="37">
        <f>Prices!D81/MAX(Prices!D$2:D81)-1</f>
        <v>0</v>
      </c>
      <c r="E81" s="37">
        <f>Prices!E81/MAX(Prices!E$2:E81)-1</f>
        <v>0</v>
      </c>
      <c r="F81" s="37">
        <f>Prices!F81/MAX(Prices!F$2:F81)-1</f>
        <v>-3.8528851481777981E-2</v>
      </c>
      <c r="G81" s="37">
        <f>Prices!G81/MAX(Prices!G$2:G81)-1</f>
        <v>0</v>
      </c>
      <c r="H81" s="1"/>
    </row>
    <row r="82" spans="1:8" x14ac:dyDescent="0.3">
      <c r="A82" s="26">
        <f>Prices!A82</f>
        <v>46051</v>
      </c>
      <c r="B82" s="37">
        <f>Prices!B82/MAX(Prices!B$2:B82)-1</f>
        <v>-8.1918788993357361E-2</v>
      </c>
      <c r="C82" s="37">
        <f>Prices!C82/MAX(Prices!C$2:C82)-1</f>
        <v>-6.3748935192071143E-2</v>
      </c>
      <c r="D82" s="37">
        <f>Prices!D82/MAX(Prices!D$2:D82)-1</f>
        <v>0</v>
      </c>
      <c r="E82" s="37">
        <f>Prices!E82/MAX(Prices!E$2:E82)-1</f>
        <v>0</v>
      </c>
      <c r="F82" s="37">
        <f>Prices!F82/MAX(Prices!F$2:F82)-1</f>
        <v>-2.7583242491516446E-2</v>
      </c>
      <c r="G82" s="37">
        <f>Prices!G82/MAX(Prices!G$2:G82)-1</f>
        <v>0</v>
      </c>
      <c r="H82" s="1"/>
    </row>
    <row r="83" spans="1:8" x14ac:dyDescent="0.3">
      <c r="A83" s="26">
        <f>Prices!A83</f>
        <v>46052</v>
      </c>
      <c r="B83" s="37">
        <f>Prices!B83/MAX(Prices!B$2:B83)-1</f>
        <v>-0.10553497743906437</v>
      </c>
      <c r="C83" s="37">
        <f>Prices!C83/MAX(Prices!C$2:C83)-1</f>
        <v>-8.5899644387955165E-2</v>
      </c>
      <c r="D83" s="37">
        <f>Prices!D83/MAX(Prices!D$2:D83)-1</f>
        <v>-7.2674056779907792E-3</v>
      </c>
      <c r="E83" s="37">
        <f>Prices!E83/MAX(Prices!E$2:E83)-1</f>
        <v>-6.5974443773597624E-3</v>
      </c>
      <c r="F83" s="37">
        <f>Prices!F83/MAX(Prices!F$2:F83)-1</f>
        <v>-5.3852975688194693E-2</v>
      </c>
      <c r="G83" s="37">
        <f>Prices!G83/MAX(Prices!G$2:G83)-1</f>
        <v>-2.0772973919727655E-2</v>
      </c>
      <c r="H83" s="1"/>
    </row>
    <row r="84" spans="1:8" x14ac:dyDescent="0.3">
      <c r="A84" s="26">
        <f>Prices!A84</f>
        <v>46055</v>
      </c>
      <c r="B84" s="37">
        <f>Prices!B84/MAX(Prices!B$2:B84)-1</f>
        <v>-0.11660520109530059</v>
      </c>
      <c r="C84" s="37">
        <f>Prices!C84/MAX(Prices!C$2:C84)-1</f>
        <v>-0.11777384155658033</v>
      </c>
      <c r="D84" s="37">
        <f>Prices!D84/MAX(Prices!D$2:D84)-1</f>
        <v>-2.1075023856311437E-2</v>
      </c>
      <c r="E84" s="37">
        <f>Prices!E84/MAX(Prices!E$2:E84)-1</f>
        <v>-2.0890593037820593E-2</v>
      </c>
      <c r="F84" s="37">
        <f>Prices!F84/MAX(Prices!F$2:F84)-1</f>
        <v>-7.136590480260474E-2</v>
      </c>
      <c r="G84" s="37">
        <f>Prices!G84/MAX(Prices!G$2:G84)-1</f>
        <v>-4.2638575195078299E-2</v>
      </c>
      <c r="H84" s="1"/>
    </row>
    <row r="85" spans="1:8" x14ac:dyDescent="0.3">
      <c r="A85" s="26">
        <f>Prices!A85</f>
        <v>46056</v>
      </c>
      <c r="B85" s="37">
        <f>Prices!B85/MAX(Prices!B$2:B85)-1</f>
        <v>-0.14243537454378652</v>
      </c>
      <c r="C85" s="37">
        <f>Prices!C85/MAX(Prices!C$2:C85)-1</f>
        <v>-0.13019998107008135</v>
      </c>
      <c r="D85" s="37">
        <f>Prices!D85/MAX(Prices!D$2:D85)-1</f>
        <v>0</v>
      </c>
      <c r="E85" s="37">
        <f>Prices!E85/MAX(Prices!E$2:E85)-1</f>
        <v>-1.649304773319149E-2</v>
      </c>
      <c r="F85" s="37">
        <f>Prices!F85/MAX(Prices!F$2:F85)-1</f>
        <v>-7.6182181000358562E-2</v>
      </c>
      <c r="G85" s="37">
        <f>Prices!G85/MAX(Prices!G$2:G85)-1</f>
        <v>-4.0521905789933643E-2</v>
      </c>
      <c r="H85" s="1"/>
    </row>
    <row r="86" spans="1:8" x14ac:dyDescent="0.3">
      <c r="A86" s="26">
        <f>Prices!A86</f>
        <v>46057</v>
      </c>
      <c r="B86" s="37">
        <f>Prices!B86/MAX(Prices!B$2:B86)-1</f>
        <v>-0.17638369209735616</v>
      </c>
      <c r="C86" s="37">
        <f>Prices!C86/MAX(Prices!C$2:C86)-1</f>
        <v>-0.13830360885379345</v>
      </c>
      <c r="D86" s="37">
        <f>Prices!D86/MAX(Prices!D$2:D86)-1</f>
        <v>0</v>
      </c>
      <c r="E86" s="37">
        <f>Prices!E86/MAX(Prices!E$2:E86)-1</f>
        <v>-2.7495922358092839E-3</v>
      </c>
      <c r="F86" s="37">
        <f>Prices!F86/MAX(Prices!F$2:F86)-1</f>
        <v>-8.0122482534830786E-2</v>
      </c>
      <c r="G86" s="37">
        <f>Prices!G86/MAX(Prices!G$2:G86)-1</f>
        <v>-4.0073151509975591E-2</v>
      </c>
      <c r="H86" s="1"/>
    </row>
    <row r="87" spans="1:8" x14ac:dyDescent="0.3">
      <c r="A87" s="26">
        <f>Prices!A87</f>
        <v>46058</v>
      </c>
      <c r="B87" s="37">
        <f>Prices!B87/MAX(Prices!B$2:B87)-1</f>
        <v>-0.17564574687015355</v>
      </c>
      <c r="C87" s="37">
        <f>Prices!C87/MAX(Prices!C$2:C87)-1</f>
        <v>-0.13776329488756989</v>
      </c>
      <c r="D87" s="37">
        <f>Prices!D87/MAX(Prices!D$2:D87)-1</f>
        <v>-3.5971034990549544E-3</v>
      </c>
      <c r="E87" s="37">
        <f>Prices!E87/MAX(Prices!E$2:E87)-1</f>
        <v>-2.803773057825909E-2</v>
      </c>
      <c r="F87" s="37">
        <f>Prices!F87/MAX(Prices!F$2:F87)-1</f>
        <v>-9.2819588151571319E-2</v>
      </c>
      <c r="G87" s="37">
        <f>Prices!G87/MAX(Prices!G$2:G87)-1</f>
        <v>-3.8717324198522918E-2</v>
      </c>
      <c r="H87" s="1"/>
    </row>
    <row r="88" spans="1:8" x14ac:dyDescent="0.3">
      <c r="A88" s="26">
        <f>Prices!A88</f>
        <v>46059</v>
      </c>
      <c r="B88" s="37">
        <f>Prices!B88/MAX(Prices!B$2:B88)-1</f>
        <v>-0.19188188575915033</v>
      </c>
      <c r="C88" s="37">
        <f>Prices!C88/MAX(Prices!C$2:C88)-1</f>
        <v>-0.16261449220492996</v>
      </c>
      <c r="D88" s="37">
        <f>Prices!D88/MAX(Prices!D$2:D88)-1</f>
        <v>-3.0215818742425182E-2</v>
      </c>
      <c r="E88" s="37">
        <f>Prices!E88/MAX(Prices!E$2:E88)-1</f>
        <v>-8.1913292662046722E-2</v>
      </c>
      <c r="F88" s="37">
        <f>Prices!F88/MAX(Prices!F$2:F88)-1</f>
        <v>-0.10770572502634723</v>
      </c>
      <c r="G88" s="37">
        <f>Prices!G88/MAX(Prices!G$2:G88)-1</f>
        <v>-5.0348114943481126E-2</v>
      </c>
      <c r="H88" s="1"/>
    </row>
    <row r="89" spans="1:8" x14ac:dyDescent="0.3">
      <c r="A89" s="26">
        <f>Prices!A89</f>
        <v>46062</v>
      </c>
      <c r="B89" s="37">
        <f>Prices!B89/MAX(Prices!B$2:B89)-1</f>
        <v>-0.17343176186737475</v>
      </c>
      <c r="C89" s="37">
        <f>Prices!C89/MAX(Prices!C$2:C89)-1</f>
        <v>-0.14694755060372922</v>
      </c>
      <c r="D89" s="37">
        <f>Prices!D89/MAX(Prices!D$2:D89)-1</f>
        <v>0</v>
      </c>
      <c r="E89" s="37">
        <f>Prices!E89/MAX(Prices!E$2:E89)-1</f>
        <v>-5.0577403105315777E-2</v>
      </c>
      <c r="F89" s="37">
        <f>Prices!F89/MAX(Prices!F$2:F89)-1</f>
        <v>-8.3625249437746518E-2</v>
      </c>
      <c r="G89" s="37">
        <f>Prices!G89/MAX(Prices!G$2:G89)-1</f>
        <v>-3.3642969781940701E-2</v>
      </c>
      <c r="H89" s="1"/>
    </row>
    <row r="90" spans="1:8" x14ac:dyDescent="0.3">
      <c r="A90" s="26">
        <f>Prices!A90</f>
        <v>46063</v>
      </c>
      <c r="B90" s="37">
        <f>Prices!B90/MAX(Prices!B$2:B90)-1</f>
        <v>-0.1867158212052189</v>
      </c>
      <c r="C90" s="37">
        <f>Prices!C90/MAX(Prices!C$2:C90)-1</f>
        <v>-0.13290101004637833</v>
      </c>
      <c r="D90" s="37">
        <f>Prices!D90/MAX(Prices!D$2:D90)-1</f>
        <v>0</v>
      </c>
      <c r="E90" s="37">
        <f>Prices!E90/MAX(Prices!E$2:E90)-1</f>
        <v>-5.5525767993439779E-2</v>
      </c>
      <c r="F90" s="37">
        <f>Prices!F90/MAX(Prices!F$2:F90)-1</f>
        <v>-8.6690029009021452E-2</v>
      </c>
      <c r="G90" s="37">
        <f>Prices!G90/MAX(Prices!G$2:G90)-1</f>
        <v>-2.8065534886833832E-2</v>
      </c>
      <c r="H90" s="1"/>
    </row>
    <row r="91" spans="1:8" x14ac:dyDescent="0.3">
      <c r="A91" s="26">
        <f>Prices!A91</f>
        <v>46064</v>
      </c>
      <c r="B91" s="37">
        <f>Prices!B91/MAX(Prices!B$2:B91)-1</f>
        <v>-0.19114394053194772</v>
      </c>
      <c r="C91" s="37">
        <f>Prices!C91/MAX(Prices!C$2:C91)-1</f>
        <v>-0.13506172505645175</v>
      </c>
      <c r="D91" s="37">
        <f>Prices!D91/MAX(Prices!D$2:D91)-1</f>
        <v>-3.5637739456089168E-3</v>
      </c>
      <c r="E91" s="37">
        <f>Prices!E91/MAX(Prices!E$2:E91)-1</f>
        <v>-5.9373620134990257E-2</v>
      </c>
      <c r="F91" s="37">
        <f>Prices!F91/MAX(Prices!F$2:F91)-1</f>
        <v>-8.4938758732584718E-2</v>
      </c>
      <c r="G91" s="37">
        <f>Prices!G91/MAX(Prices!G$2:G91)-1</f>
        <v>-2.5089625534597704E-2</v>
      </c>
      <c r="H91" s="1"/>
    </row>
    <row r="92" spans="1:8" x14ac:dyDescent="0.3">
      <c r="A92" s="26">
        <f>Prices!A92</f>
        <v>46065</v>
      </c>
      <c r="B92" s="37">
        <f>Prices!B92/MAX(Prices!B$2:B92)-1</f>
        <v>-0.2095940644237233</v>
      </c>
      <c r="C92" s="37">
        <f>Prices!C92/MAX(Prices!C$2:C92)-1</f>
        <v>-0.143165893694985</v>
      </c>
      <c r="D92" s="37">
        <f>Prices!D92/MAX(Prices!D$2:D92)-1</f>
        <v>-5.7018903464413073E-3</v>
      </c>
      <c r="E92" s="37">
        <f>Prices!E92/MAX(Prices!E$2:E92)-1</f>
        <v>-7.8615133683574867E-2</v>
      </c>
      <c r="F92" s="37">
        <f>Prices!F92/MAX(Prices!F$2:F92)-1</f>
        <v>-9.3695336464810763E-2</v>
      </c>
      <c r="G92" s="37">
        <f>Prices!G92/MAX(Prices!G$2:G92)-1</f>
        <v>-3.3450647029887648E-2</v>
      </c>
      <c r="H92" s="1"/>
    </row>
    <row r="93" spans="1:8" x14ac:dyDescent="0.3">
      <c r="A93" s="26">
        <f>Prices!A93</f>
        <v>46066</v>
      </c>
      <c r="B93" s="37">
        <f>Prices!B93/MAX(Prices!B$2:B93)-1</f>
        <v>-0.21476012897765462</v>
      </c>
      <c r="C93" s="37">
        <f>Prices!C93/MAX(Prices!C$2:C93)-1</f>
        <v>-0.16045377719485654</v>
      </c>
      <c r="D93" s="37">
        <f>Prices!D93/MAX(Prices!D$2:D93)-1</f>
        <v>-3.278642436653656E-2</v>
      </c>
      <c r="E93" s="37">
        <f>Prices!E93/MAX(Prices!E$2:E93)-1</f>
        <v>-0.11709816078074442</v>
      </c>
      <c r="F93" s="37">
        <f>Prices!F93/MAX(Prices!F$2:F93)-1</f>
        <v>-0.11295976220569981</v>
      </c>
      <c r="G93" s="37">
        <f>Prices!G93/MAX(Prices!G$2:G93)-1</f>
        <v>-5.0091754925643883E-2</v>
      </c>
      <c r="H93" s="1"/>
    </row>
    <row r="94" spans="1:8" x14ac:dyDescent="0.3">
      <c r="A94" s="26">
        <f>Prices!A94</f>
        <v>46069</v>
      </c>
      <c r="B94" s="37">
        <f>Prices!B94/MAX(Prices!B$2:B94)-1</f>
        <v>-0.21107010419929961</v>
      </c>
      <c r="C94" s="37">
        <f>Prices!C94/MAX(Prices!C$2:C94)-1</f>
        <v>-0.16423543410360075</v>
      </c>
      <c r="D94" s="37">
        <f>Prices!D94/MAX(Prices!D$2:D94)-1</f>
        <v>-4.2052828491251804E-2</v>
      </c>
      <c r="E94" s="37">
        <f>Prices!E94/MAX(Prices!E$2:E94)-1</f>
        <v>-9.2358589180957074E-2</v>
      </c>
      <c r="F94" s="37">
        <f>Prices!F94/MAX(Prices!F$2:F94)-1</f>
        <v>-0.1050789327867131</v>
      </c>
      <c r="G94" s="37">
        <f>Prices!G94/MAX(Prices!G$2:G94)-1</f>
        <v>-4.5128226812258032E-2</v>
      </c>
      <c r="H94" s="1"/>
    </row>
    <row r="95" spans="1:8" x14ac:dyDescent="0.3">
      <c r="A95" s="26">
        <f>Prices!A95</f>
        <v>46073</v>
      </c>
      <c r="B95" s="37">
        <f>Prices!B95/MAX(Prices!B$2:B95)-1</f>
        <v>-0.2295202280910752</v>
      </c>
      <c r="C95" s="37">
        <f>Prices!C95/MAX(Prices!C$2:C95)-1</f>
        <v>-0.20529442784320617</v>
      </c>
      <c r="D95" s="37">
        <f>Prices!D95/MAX(Prices!D$2:D95)-1</f>
        <v>-4.2765287347307668E-2</v>
      </c>
      <c r="E95" s="37">
        <f>Prices!E95/MAX(Prices!E$2:E95)-1</f>
        <v>-9.5107054996350304E-2</v>
      </c>
      <c r="F95" s="37">
        <f>Prices!F95/MAX(Prices!F$2:F95)-1</f>
        <v>-0.10726796404474859</v>
      </c>
      <c r="G95" s="37">
        <f>Prices!G95/MAX(Prices!G$2:G95)-1</f>
        <v>-5.5589788616882907E-2</v>
      </c>
      <c r="H95" s="1"/>
    </row>
    <row r="96" spans="1:8" x14ac:dyDescent="0.3">
      <c r="A96" s="26">
        <f>Prices!A96</f>
        <v>46076</v>
      </c>
      <c r="B96" s="37">
        <f>Prices!B96/MAX(Prices!B$2:B96)-1</f>
        <v>-0.2059040396453683</v>
      </c>
      <c r="C96" s="37">
        <f>Prices!C96/MAX(Prices!C$2:C96)-1</f>
        <v>-0.17774166069472808</v>
      </c>
      <c r="D96" s="37">
        <f>Prices!D96/MAX(Prices!D$2:D96)-1</f>
        <v>-3.1360766821760255E-2</v>
      </c>
      <c r="E96" s="37">
        <f>Prices!E96/MAX(Prices!E$2:E96)-1</f>
        <v>-5.8274233808832898E-2</v>
      </c>
      <c r="F96" s="37">
        <f>Prices!F96/MAX(Prices!F$2:F96)-1</f>
        <v>-8.5376519714183363E-2</v>
      </c>
      <c r="G96" s="37">
        <f>Prices!G96/MAX(Prices!G$2:G96)-1</f>
        <v>-3.1685381673796087E-2</v>
      </c>
      <c r="H96" s="1"/>
    </row>
    <row r="97" spans="1:8" x14ac:dyDescent="0.3">
      <c r="A97" s="26">
        <f>Prices!A97</f>
        <v>46077</v>
      </c>
      <c r="B97" s="37">
        <f>Prices!B97/MAX(Prices!B$2:B97)-1</f>
        <v>-0.2324723076422277</v>
      </c>
      <c r="C97" s="37">
        <f>Prices!C97/MAX(Prices!C$2:C97)-1</f>
        <v>-0.20043214300201473</v>
      </c>
      <c r="D97" s="37">
        <f>Prices!D97/MAX(Prices!D$2:D97)-1</f>
        <v>-3.5637739456089723E-2</v>
      </c>
      <c r="E97" s="37">
        <f>Prices!E97/MAX(Prices!E$2:E97)-1</f>
        <v>-6.7070450838507267E-2</v>
      </c>
      <c r="F97" s="37">
        <f>Prices!F97/MAX(Prices!F$2:F97)-1</f>
        <v>-9.4570858428008053E-2</v>
      </c>
      <c r="G97" s="37">
        <f>Prices!G97/MAX(Prices!G$2:G97)-1</f>
        <v>-4.9262195232225081E-2</v>
      </c>
      <c r="H97" s="1"/>
    </row>
    <row r="98" spans="1:8" x14ac:dyDescent="0.3">
      <c r="A98" s="26">
        <f>Prices!A98</f>
        <v>46078</v>
      </c>
      <c r="B98" s="37">
        <f>Prices!B98/MAX(Prices!B$2:B98)-1</f>
        <v>-0.22878228286387259</v>
      </c>
      <c r="C98" s="37">
        <f>Prices!C98/MAX(Prices!C$2:C98)-1</f>
        <v>-0.19881120110334383</v>
      </c>
      <c r="D98" s="37">
        <f>Prices!D98/MAX(Prices!D$2:D98)-1</f>
        <v>0</v>
      </c>
      <c r="E98" s="37">
        <f>Prices!E98/MAX(Prices!E$2:E98)-1</f>
        <v>-7.0918302980057746E-2</v>
      </c>
      <c r="F98" s="37">
        <f>Prices!F98/MAX(Prices!F$2:F98)-1</f>
        <v>-9.7635637999282987E-2</v>
      </c>
      <c r="G98" s="37">
        <f>Prices!G98/MAX(Prices!G$2:G98)-1</f>
        <v>-4.299074797736091E-2</v>
      </c>
      <c r="H98" s="1"/>
    </row>
    <row r="99" spans="1:8" x14ac:dyDescent="0.3">
      <c r="A99" s="26">
        <f>Prices!A99</f>
        <v>46079</v>
      </c>
      <c r="B99" s="37">
        <f>Prices!B99/MAX(Prices!B$2:B99)-1</f>
        <v>-0.24428047652566665</v>
      </c>
      <c r="C99" s="37">
        <f>Prices!C99/MAX(Prices!C$2:C99)-1</f>
        <v>-0.22744459618426938</v>
      </c>
      <c r="D99" s="37">
        <f>Prices!D99/MAX(Prices!D$2:D99)-1</f>
        <v>0</v>
      </c>
      <c r="E99" s="37">
        <f>Prices!E99/MAX(Prices!E$2:E99)-1</f>
        <v>-6.8719530327743139E-2</v>
      </c>
      <c r="F99" s="37">
        <f>Prices!F99/MAX(Prices!F$2:F99)-1</f>
        <v>-9.063055689353583E-2</v>
      </c>
      <c r="G99" s="37">
        <f>Prices!G99/MAX(Prices!G$2:G99)-1</f>
        <v>-5.6745752439625097E-2</v>
      </c>
      <c r="H99" s="1"/>
    </row>
    <row r="100" spans="1:8" x14ac:dyDescent="0.3">
      <c r="A100" s="26">
        <f>Prices!A100</f>
        <v>46080</v>
      </c>
      <c r="B100" s="37">
        <f>Prices!B100/MAX(Prices!B$2:B100)-1</f>
        <v>-0.2354243871933801</v>
      </c>
      <c r="C100" s="37">
        <f>Prices!C100/MAX(Prices!C$2:C100)-1</f>
        <v>-0.22798491015049294</v>
      </c>
      <c r="D100" s="37">
        <f>Prices!D100/MAX(Prices!D$2:D100)-1</f>
        <v>0</v>
      </c>
      <c r="E100" s="37">
        <f>Prices!E100/MAX(Prices!E$2:E100)-1</f>
        <v>-4.5630164637608051E-2</v>
      </c>
      <c r="F100" s="37">
        <f>Prices!F100/MAX(Prices!F$2:F100)-1</f>
        <v>-8.2749501124506963E-2</v>
      </c>
      <c r="G100" s="37">
        <f>Prices!G100/MAX(Prices!G$2:G100)-1</f>
        <v>-4.7824170673250621E-2</v>
      </c>
      <c r="H100" s="1"/>
    </row>
    <row r="101" spans="1:8" x14ac:dyDescent="0.3">
      <c r="A101" s="26">
        <f>Prices!A101</f>
        <v>46083</v>
      </c>
      <c r="B101" s="37">
        <f>Prices!B101/MAX(Prices!B$2:B101)-1</f>
        <v>-0.24132839697451414</v>
      </c>
      <c r="C101" s="37">
        <f>Prices!C101/MAX(Prices!C$2:C101)-1</f>
        <v>-0.26310099111645968</v>
      </c>
      <c r="D101" s="37">
        <f>Prices!D101/MAX(Prices!D$2:D101)-1</f>
        <v>-5.1595522783518533E-2</v>
      </c>
      <c r="E101" s="37">
        <f>Prices!E101/MAX(Prices!E$2:E101)-1</f>
        <v>-6.5421371349271285E-2</v>
      </c>
      <c r="F101" s="37">
        <f>Prices!F101/MAX(Prices!F$2:F101)-1</f>
        <v>-0.10026265658895928</v>
      </c>
      <c r="G101" s="37">
        <f>Prices!G101/MAX(Prices!G$2:G101)-1</f>
        <v>-6.8229193114218378E-2</v>
      </c>
      <c r="H101" s="1"/>
    </row>
    <row r="102" spans="1:8" x14ac:dyDescent="0.3">
      <c r="A102" s="26">
        <f>Prices!A102</f>
        <v>46084</v>
      </c>
      <c r="B102" s="37">
        <f>Prices!B102/MAX(Prices!B$2:B102)-1</f>
        <v>-0.24649446152844556</v>
      </c>
      <c r="C102" s="37">
        <f>Prices!C102/MAX(Prices!C$2:C102)-1</f>
        <v>-0.27174493286639545</v>
      </c>
      <c r="D102" s="37">
        <f>Prices!D102/MAX(Prices!D$2:D102)-1</f>
        <v>-7.8072237537136435E-2</v>
      </c>
      <c r="E102" s="37">
        <f>Prices!E102/MAX(Prices!E$2:E102)-1</f>
        <v>-6.5421371349271285E-2</v>
      </c>
      <c r="F102" s="37">
        <f>Prices!F102/MAX(Prices!F$2:F102)-1</f>
        <v>-0.10376542349187501</v>
      </c>
      <c r="G102" s="37">
        <f>Prices!G102/MAX(Prices!G$2:G102)-1</f>
        <v>-7.8661421489000016E-2</v>
      </c>
      <c r="H102" s="1"/>
    </row>
    <row r="103" spans="1:8" x14ac:dyDescent="0.3">
      <c r="A103" s="26">
        <f>Prices!A103</f>
        <v>46085</v>
      </c>
      <c r="B103" s="37">
        <f>Prices!B103/MAX(Prices!B$2:B103)-1</f>
        <v>-0.25313656585795319</v>
      </c>
      <c r="C103" s="37">
        <f>Prices!C103/MAX(Prices!C$2:C103)-1</f>
        <v>-0.29821707208242632</v>
      </c>
      <c r="D103" s="37">
        <f>Prices!D103/MAX(Prices!D$2:D103)-1</f>
        <v>-0.1120163822602559</v>
      </c>
      <c r="E103" s="37">
        <f>Prices!E103/MAX(Prices!E$2:E103)-1</f>
        <v>-0.10940133007722741</v>
      </c>
      <c r="F103" s="37">
        <f>Prices!F103/MAX(Prices!F$2:F103)-1</f>
        <v>-0.1138352841688971</v>
      </c>
      <c r="G103" s="37">
        <f>Prices!G103/MAX(Prices!G$2:G103)-1</f>
        <v>-9.7203967787603429E-2</v>
      </c>
      <c r="H103" s="1"/>
    </row>
    <row r="104" spans="1:8" x14ac:dyDescent="0.3">
      <c r="A104" s="26">
        <f>Prices!A104</f>
        <v>46086</v>
      </c>
      <c r="B104" s="37">
        <f>Prices!B104/MAX(Prices!B$2:B104)-1</f>
        <v>-0.25904057563908722</v>
      </c>
      <c r="C104" s="37">
        <f>Prices!C104/MAX(Prices!C$2:C104)-1</f>
        <v>-0.31766621144719231</v>
      </c>
      <c r="D104" s="37">
        <f>Prices!D104/MAX(Prices!D$2:D104)-1</f>
        <v>-9.097129440150642E-2</v>
      </c>
      <c r="E104" s="37">
        <f>Prices!E104/MAX(Prices!E$2:E104)-1</f>
        <v>-6.4320858602697983E-2</v>
      </c>
      <c r="F104" s="37">
        <f>Prices!F104/MAX(Prices!F$2:F104)-1</f>
        <v>-0.10814371235798814</v>
      </c>
      <c r="G104" s="37">
        <f>Prices!G104/MAX(Prices!G$2:G104)-1</f>
        <v>-9.4634636077291168E-2</v>
      </c>
      <c r="H104" s="1"/>
    </row>
    <row r="105" spans="1:8" x14ac:dyDescent="0.3">
      <c r="A105" s="26">
        <f>Prices!A105</f>
        <v>46087</v>
      </c>
      <c r="B105" s="37">
        <f>Prices!B105/MAX(Prices!B$2:B105)-1</f>
        <v>-0.23394834741780401</v>
      </c>
      <c r="C105" s="37">
        <f>Prices!C105/MAX(Prices!C$2:C105)-1</f>
        <v>-0.29389510120745832</v>
      </c>
      <c r="D105" s="37">
        <f>Prices!D105/MAX(Prices!D$2:D105)-1</f>
        <v>-8.2145957708287698E-2</v>
      </c>
      <c r="E105" s="37">
        <f>Prices!E105/MAX(Prices!E$2:E105)-1</f>
        <v>-5.8823926971911633E-2</v>
      </c>
      <c r="F105" s="37">
        <f>Prices!F105/MAX(Prices!F$2:F105)-1</f>
        <v>-9.150607885673312E-2</v>
      </c>
      <c r="G105" s="37">
        <f>Prices!G105/MAX(Prices!G$2:G105)-1</f>
        <v>-7.9047254060232608E-2</v>
      </c>
      <c r="H105" s="1"/>
    </row>
    <row r="106" spans="1:8" x14ac:dyDescent="0.3">
      <c r="A106" s="26">
        <f>Prices!A106</f>
        <v>46090</v>
      </c>
      <c r="B106" s="37">
        <f>Prices!B106/MAX(Prices!B$2:B106)-1</f>
        <v>-0.23837646674453272</v>
      </c>
      <c r="C106" s="37">
        <f>Prices!C106/MAX(Prices!C$2:C106)-1</f>
        <v>-0.30470029882228866</v>
      </c>
      <c r="D106" s="37">
        <f>Prices!D106/MAX(Prices!D$2:D106)-1</f>
        <v>-0.11812661018000203</v>
      </c>
      <c r="E106" s="37">
        <f>Prices!E106/MAX(Prices!E$2:E106)-1</f>
        <v>-0.10060511304755293</v>
      </c>
      <c r="F106" s="37">
        <f>Prices!F106/MAX(Prices!F$2:F106)-1</f>
        <v>-0.10901923432118532</v>
      </c>
      <c r="G106" s="37">
        <f>Prices!G106/MAX(Prices!G$2:G106)-1</f>
        <v>-9.1519618190013197E-2</v>
      </c>
      <c r="H106" s="1"/>
    </row>
    <row r="107" spans="1:8" x14ac:dyDescent="0.3">
      <c r="A107" s="26">
        <f>Prices!A107</f>
        <v>46091</v>
      </c>
      <c r="B107" s="37">
        <f>Prices!B107/MAX(Prices!B$2:B107)-1</f>
        <v>-0.1830257964268639</v>
      </c>
      <c r="C107" s="37">
        <f>Prices!C107/MAX(Prices!C$2:C107)-1</f>
        <v>-0.27876793271766032</v>
      </c>
      <c r="D107" s="37">
        <f>Prices!D107/MAX(Prices!D$2:D107)-1</f>
        <v>-7.7392931838297208E-2</v>
      </c>
      <c r="E107" s="37">
        <f>Prices!E107/MAX(Prices!E$2:E107)-1</f>
        <v>-5.8274233808832898E-2</v>
      </c>
      <c r="F107" s="37">
        <f>Prices!F107/MAX(Prices!F$2:F107)-1</f>
        <v>-8.8003538303859652E-2</v>
      </c>
      <c r="G107" s="37">
        <f>Prices!G107/MAX(Prices!G$2:G107)-1</f>
        <v>-7.1802880152365689E-2</v>
      </c>
      <c r="H107" s="1"/>
    </row>
    <row r="108" spans="1:8" x14ac:dyDescent="0.3">
      <c r="A108" s="26">
        <f>Prices!A108</f>
        <v>46092</v>
      </c>
      <c r="B108" s="37">
        <f>Prices!B108/MAX(Prices!B$2:B108)-1</f>
        <v>-0.18523978142964281</v>
      </c>
      <c r="C108" s="37">
        <f>Prices!C108/MAX(Prices!C$2:C108)-1</f>
        <v>-0.28038887461633111</v>
      </c>
      <c r="D108" s="37">
        <f>Prices!D108/MAX(Prices!D$2:D108)-1</f>
        <v>-9.7080817647290929E-2</v>
      </c>
      <c r="E108" s="37">
        <f>Prices!E108/MAX(Prices!E$2:E108)-1</f>
        <v>-4.9478016779158529E-2</v>
      </c>
      <c r="F108" s="37">
        <f>Prices!F108/MAX(Prices!F$2:F108)-1</f>
        <v>-8.5067778256633919E-2</v>
      </c>
      <c r="G108" s="37">
        <f>Prices!G108/MAX(Prices!G$2:G108)-1</f>
        <v>-7.3988964380399036E-2</v>
      </c>
      <c r="H108" s="1"/>
    </row>
    <row r="109" spans="1:8" x14ac:dyDescent="0.3">
      <c r="A109" s="26">
        <f>Prices!A109</f>
        <v>46093</v>
      </c>
      <c r="B109" s="37">
        <f>Prices!B109/MAX(Prices!B$2:B109)-1</f>
        <v>-0.19335792553472664</v>
      </c>
      <c r="C109" s="37">
        <f>Prices!C109/MAX(Prices!C$2:C109)-1</f>
        <v>-0.28903281636626699</v>
      </c>
      <c r="D109" s="37">
        <f>Prices!D109/MAX(Prices!D$2:D109)-1</f>
        <v>-0.10110521064114064</v>
      </c>
      <c r="E109" s="37">
        <f>Prices!E109/MAX(Prices!E$2:E109)-1</f>
        <v>-7.2567382469293618E-2</v>
      </c>
      <c r="F109" s="37">
        <f>Prices!F109/MAX(Prices!F$2:F109)-1</f>
        <v>-9.6187676779383002E-2</v>
      </c>
      <c r="G109" s="37">
        <f>Prices!G109/MAX(Prices!G$2:G109)-1</f>
        <v>-8.0496380557244951E-2</v>
      </c>
      <c r="H109" s="1"/>
    </row>
    <row r="110" spans="1:8" x14ac:dyDescent="0.3">
      <c r="A110" s="26">
        <f>Prices!A110</f>
        <v>46094</v>
      </c>
      <c r="B110" s="37">
        <f>Prices!B110/MAX(Prices!B$2:B110)-1</f>
        <v>-0.19188188575915033</v>
      </c>
      <c r="C110" s="37">
        <f>Prices!C110/MAX(Prices!C$2:C110)-1</f>
        <v>-0.28417053152507554</v>
      </c>
      <c r="D110" s="37">
        <f>Prices!D110/MAX(Prices!D$2:D110)-1</f>
        <v>-0.14573644066363378</v>
      </c>
      <c r="E110" s="37">
        <f>Prices!E110/MAX(Prices!E$2:E110)-1</f>
        <v>-0.10060511304755293</v>
      </c>
      <c r="F110" s="37">
        <f>Prices!F110/MAX(Prices!F$2:F110)-1</f>
        <v>-0.10730734895208993</v>
      </c>
      <c r="G110" s="37">
        <f>Prices!G110/MAX(Prices!G$2:G110)-1</f>
        <v>-8.9476622032299113E-2</v>
      </c>
      <c r="H110" s="1"/>
    </row>
    <row r="111" spans="1:8" x14ac:dyDescent="0.3">
      <c r="A111" s="26">
        <f>Prices!A111</f>
        <v>46097</v>
      </c>
      <c r="B111" s="37">
        <f>Prices!B111/MAX(Prices!B$2:B111)-1</f>
        <v>-0.17564574687015355</v>
      </c>
      <c r="C111" s="37">
        <f>Prices!C111/MAX(Prices!C$2:C111)-1</f>
        <v>-0.27606690374136333</v>
      </c>
      <c r="D111" s="37">
        <f>Prices!D111/MAX(Prices!D$2:D111)-1</f>
        <v>-0.1331833787143365</v>
      </c>
      <c r="E111" s="37">
        <f>Prices!E111/MAX(Prices!E$2:E111)-1</f>
        <v>-8.3012678988204081E-2</v>
      </c>
      <c r="F111" s="37">
        <f>Prices!F111/MAX(Prices!F$2:F111)-1</f>
        <v>-9.6632454612289642E-2</v>
      </c>
      <c r="G111" s="37">
        <f>Prices!G111/MAX(Prices!G$2:G111)-1</f>
        <v>-7.6303756004101553E-2</v>
      </c>
      <c r="H111" s="1"/>
    </row>
    <row r="112" spans="1:8" x14ac:dyDescent="0.3">
      <c r="A112" s="26">
        <f>Prices!A112</f>
        <v>46098</v>
      </c>
      <c r="B112" s="37">
        <f>Prices!B112/MAX(Prices!B$2:B112)-1</f>
        <v>-0.18819186098079521</v>
      </c>
      <c r="C112" s="37">
        <f>Prices!C112/MAX(Prices!C$2:C112)-1</f>
        <v>-0.27282556079884268</v>
      </c>
      <c r="D112" s="37">
        <f>Prices!D112/MAX(Prices!D$2:D112)-1</f>
        <v>-0.12969665195307445</v>
      </c>
      <c r="E112" s="37">
        <f>Prices!E112/MAX(Prices!E$2:E112)-1</f>
        <v>-8.7411350713249347E-2</v>
      </c>
      <c r="F112" s="37">
        <f>Prices!F112/MAX(Prices!F$2:F112)-1</f>
        <v>-0.10063545510844885</v>
      </c>
      <c r="G112" s="37">
        <f>Prices!G112/MAX(Prices!G$2:G112)-1</f>
        <v>-7.506950653455069E-2</v>
      </c>
      <c r="H112" s="1"/>
    </row>
    <row r="113" spans="1:8" x14ac:dyDescent="0.3">
      <c r="A113" s="26">
        <f>Prices!A113</f>
        <v>46099</v>
      </c>
      <c r="B113" s="37">
        <f>Prices!B113/MAX(Prices!B$2:B113)-1</f>
        <v>-0.18745391575359271</v>
      </c>
      <c r="C113" s="37">
        <f>Prices!C113/MAX(Prices!C$2:C113)-1</f>
        <v>-0.25607745041037355</v>
      </c>
      <c r="D113" s="37">
        <f>Prices!D113/MAX(Prices!D$2:D113)-1</f>
        <v>-0.10807866416366485</v>
      </c>
      <c r="E113" s="37">
        <f>Prices!E113/MAX(Prices!E$2:E113)-1</f>
        <v>-7.0368609816979122E-2</v>
      </c>
      <c r="F113" s="37">
        <f>Prices!F113/MAX(Prices!F$2:F113)-1</f>
        <v>-0.10419390412174379</v>
      </c>
      <c r="G113" s="37">
        <f>Prices!G113/MAX(Prices!G$2:G113)-1</f>
        <v>-6.9460228206218111E-2</v>
      </c>
      <c r="H113" s="1"/>
    </row>
    <row r="114" spans="1:8" x14ac:dyDescent="0.3">
      <c r="A114" s="26">
        <f>Prices!A114</f>
        <v>46100</v>
      </c>
      <c r="B114" s="37">
        <f>Prices!B114/MAX(Prices!B$2:B114)-1</f>
        <v>-0.24280443675009045</v>
      </c>
      <c r="C114" s="37">
        <f>Prices!C114/MAX(Prices!C$2:C114)-1</f>
        <v>-0.28687156050137241</v>
      </c>
      <c r="D114" s="37">
        <f>Prices!D114/MAX(Prices!D$2:D114)-1</f>
        <v>-0.13527555570588612</v>
      </c>
      <c r="E114" s="37">
        <f>Prices!E114/MAX(Prices!E$2:E114)-1</f>
        <v>-8.9610123365563954E-2</v>
      </c>
      <c r="F114" s="37">
        <f>Prices!F114/MAX(Prices!F$2:F114)-1</f>
        <v>-0.11353446496282438</v>
      </c>
      <c r="G114" s="37">
        <f>Prices!G114/MAX(Prices!G$2:G114)-1</f>
        <v>-8.8225893067605976E-2</v>
      </c>
      <c r="H114" s="1"/>
    </row>
    <row r="115" spans="1:8" x14ac:dyDescent="0.3">
      <c r="A115" s="26">
        <f>Prices!A115</f>
        <v>46101</v>
      </c>
      <c r="B115" s="37">
        <f>Prices!B115/MAX(Prices!B$2:B115)-1</f>
        <v>-0.25018448630680068</v>
      </c>
      <c r="C115" s="37">
        <f>Prices!C115/MAX(Prices!C$2:C115)-1</f>
        <v>-0.3317127520045432</v>
      </c>
      <c r="D115" s="37">
        <f>Prices!D115/MAX(Prices!D$2:D115)-1</f>
        <v>-0.13178882894462396</v>
      </c>
      <c r="E115" s="37">
        <f>Prices!E115/MAX(Prices!E$2:E115)-1</f>
        <v>-5.3875562083787631E-2</v>
      </c>
      <c r="F115" s="37">
        <f>Prices!F115/MAX(Prices!F$2:F115)-1</f>
        <v>-0.11931657679060992</v>
      </c>
      <c r="G115" s="37">
        <f>Prices!G115/MAX(Prices!G$2:G115)-1</f>
        <v>-9.6208554793756451E-2</v>
      </c>
      <c r="H115" s="1"/>
    </row>
    <row r="116" spans="1:8" x14ac:dyDescent="0.3">
      <c r="A116" s="26">
        <f>Prices!A116</f>
        <v>46104</v>
      </c>
      <c r="B116" s="37">
        <f>Prices!B116/MAX(Prices!B$2:B116)-1</f>
        <v>-0.26435431883116167</v>
      </c>
      <c r="C116" s="37">
        <f>Prices!C116/MAX(Prices!C$2:C116)-1</f>
        <v>-0.35332260637938273</v>
      </c>
      <c r="D116" s="37">
        <f>Prices!D116/MAX(Prices!D$2:D116)-1</f>
        <v>-0.17084115521430554</v>
      </c>
      <c r="E116" s="37">
        <f>Prices!E116/MAX(Prices!E$2:E116)-1</f>
        <v>-0.12754345729965477</v>
      </c>
      <c r="F116" s="37">
        <f>Prices!F116/MAX(Prices!F$2:F116)-1</f>
        <v>-0.14911759699552007</v>
      </c>
      <c r="G116" s="37">
        <f>Prices!G116/MAX(Prices!G$2:G116)-1</f>
        <v>-0.12820393261180107</v>
      </c>
      <c r="H116" s="1"/>
    </row>
    <row r="117" spans="1:8" x14ac:dyDescent="0.3">
      <c r="A117" s="26">
        <f>Prices!A117</f>
        <v>46105</v>
      </c>
      <c r="B117" s="37">
        <f>Prices!B117/MAX(Prices!B$2:B117)-1</f>
        <v>-0.24132839697451414</v>
      </c>
      <c r="C117" s="37">
        <f>Prices!C117/MAX(Prices!C$2:C117)-1</f>
        <v>-0.33441378098084029</v>
      </c>
      <c r="D117" s="37">
        <f>Prices!D117/MAX(Prices!D$2:D117)-1</f>
        <v>-0.1380653599192726</v>
      </c>
      <c r="E117" s="37">
        <f>Prices!E117/MAX(Prices!E$2:E117)-1</f>
        <v>-6.4320858602697983E-2</v>
      </c>
      <c r="F117" s="37">
        <f>Prices!F117/MAX(Prices!F$2:F117)-1</f>
        <v>-0.1291021418146393</v>
      </c>
      <c r="G117" s="37">
        <f>Prices!G117/MAX(Prices!G$2:G117)-1</f>
        <v>-0.10384616614038489</v>
      </c>
      <c r="H117" s="1"/>
    </row>
    <row r="118" spans="1:8" x14ac:dyDescent="0.3">
      <c r="A118" s="26">
        <f>Prices!A118</f>
        <v>46106</v>
      </c>
      <c r="B118" s="37">
        <f>Prices!B118/MAX(Prices!B$2:B118)-1</f>
        <v>-0.2538745110851558</v>
      </c>
      <c r="C118" s="37">
        <f>Prices!C118/MAX(Prices!C$2:C118)-1</f>
        <v>-0.30361967088984143</v>
      </c>
      <c r="D118" s="37">
        <f>Prices!D118/MAX(Prices!D$2:D118)-1</f>
        <v>-0.12830210218336191</v>
      </c>
      <c r="E118" s="37">
        <f>Prices!E118/MAX(Prices!E$2:E118)-1</f>
        <v>-4.5630164637608051E-2</v>
      </c>
      <c r="F118" s="37">
        <f>Prices!F118/MAX(Prices!F$2:F118)-1</f>
        <v>-0.11486879846154407</v>
      </c>
      <c r="G118" s="37">
        <f>Prices!G118/MAX(Prices!G$2:G118)-1</f>
        <v>-9.4112276484467072E-2</v>
      </c>
      <c r="H118" s="1"/>
    </row>
    <row r="119" spans="1:8" x14ac:dyDescent="0.3">
      <c r="A119" s="26">
        <f>Prices!A119</f>
        <v>46107</v>
      </c>
      <c r="B119" s="37">
        <f>Prices!B119/MAX(Prices!B$2:B119)-1</f>
        <v>-0.26848708088160422</v>
      </c>
      <c r="C119" s="37">
        <f>Prices!C119/MAX(Prices!C$2:C119)-1</f>
        <v>-0.33549440891328752</v>
      </c>
      <c r="D119" s="37">
        <f>Prices!D119/MAX(Prices!D$2:D119)-1</f>
        <v>-0.12969665195307445</v>
      </c>
      <c r="E119" s="37">
        <f>Prices!E119/MAX(Prices!E$2:E119)-1</f>
        <v>-4.343026556487728E-2</v>
      </c>
      <c r="F119" s="37">
        <f>Prices!F119/MAX(Prices!F$2:F119)-1</f>
        <v>-0.13132603097917217</v>
      </c>
      <c r="G119" s="37">
        <f>Prices!G119/MAX(Prices!G$2:G119)-1</f>
        <v>-0.11125751248124216</v>
      </c>
      <c r="H119" s="1"/>
    </row>
    <row r="120" spans="1:8" x14ac:dyDescent="0.3">
      <c r="A120" s="26">
        <f>Prices!A120</f>
        <v>46108</v>
      </c>
      <c r="B120" s="37">
        <f>Prices!B120/MAX(Prices!B$2:B120)-1</f>
        <v>-0.27173436838787191</v>
      </c>
      <c r="C120" s="37">
        <f>Prices!C120/MAX(Prices!C$2:C120)-1</f>
        <v>-0.33765512392336094</v>
      </c>
      <c r="D120" s="37">
        <f>Prices!D120/MAX(Prices!D$2:D120)-1</f>
        <v>-0.12969665195307445</v>
      </c>
      <c r="E120" s="37">
        <f>Prices!E120/MAX(Prices!E$2:E120)-1</f>
        <v>-5.8274233808832898E-2</v>
      </c>
      <c r="F120" s="37">
        <f>Prices!F120/MAX(Prices!F$2:F120)-1</f>
        <v>-0.13177080881207881</v>
      </c>
      <c r="G120" s="37">
        <f>Prices!G120/MAX(Prices!G$2:G120)-1</f>
        <v>-0.10784465158575118</v>
      </c>
      <c r="H120" s="1"/>
    </row>
    <row r="121" spans="1:8" x14ac:dyDescent="0.3">
      <c r="A121" s="26">
        <f>Prices!A121</f>
        <v>46111</v>
      </c>
      <c r="B121" s="37">
        <f>Prices!B121/MAX(Prices!B$2:B121)-1</f>
        <v>-0.28915133909732971</v>
      </c>
      <c r="C121" s="37">
        <f>Prices!C121/MAX(Prices!C$2:C121)-1</f>
        <v>-0.34900063550441474</v>
      </c>
      <c r="D121" s="37">
        <f>Prices!D121/MAX(Prices!D$2:D121)-1</f>
        <v>-0.1380653599192726</v>
      </c>
      <c r="E121" s="37">
        <f>Prices!E121/MAX(Prices!E$2:E121)-1</f>
        <v>-6.5971064512349908E-2</v>
      </c>
      <c r="F121" s="37">
        <f>Prices!F121/MAX(Prices!F$2:F121)-1</f>
        <v>-0.14956237482842671</v>
      </c>
      <c r="G121" s="37">
        <f>Prices!G121/MAX(Prices!G$2:G121)-1</f>
        <v>-0.11503469571954816</v>
      </c>
      <c r="H121" s="1"/>
    </row>
    <row r="122" spans="1:8" x14ac:dyDescent="0.3">
      <c r="A122" s="26">
        <f>Prices!A122</f>
        <v>46112</v>
      </c>
      <c r="B122" s="37">
        <f>Prices!B122/MAX(Prices!B$2:B122)-1</f>
        <v>-0.28560884363594663</v>
      </c>
      <c r="C122" s="37">
        <f>Prices!C122/MAX(Prices!C$2:C122)-1</f>
        <v>-0.35710426328812694</v>
      </c>
      <c r="D122" s="37">
        <f>Prices!D122/MAX(Prices!D$2:D122)-1</f>
        <v>-0.12272319843055024</v>
      </c>
      <c r="E122" s="37">
        <f>Prices!E122/MAX(Prices!E$2:E122)-1</f>
        <v>-6.7070450838507267E-2</v>
      </c>
      <c r="F122" s="37">
        <f>Prices!F122/MAX(Prices!F$2:F122)-1</f>
        <v>-0.13577380930823812</v>
      </c>
      <c r="G122" s="37">
        <f>Prices!G122/MAX(Prices!G$2:G122)-1</f>
        <v>-0.11369919156938646</v>
      </c>
      <c r="H122" s="1"/>
    </row>
    <row r="123" spans="1:8" x14ac:dyDescent="0.3">
      <c r="A123" s="26">
        <f>Prices!A123</f>
        <v>46113</v>
      </c>
      <c r="B123" s="37">
        <f>Prices!B123/MAX(Prices!B$2:B123)-1</f>
        <v>-0.26701104110602791</v>
      </c>
      <c r="C123" s="37">
        <f>Prices!C123/MAX(Prices!C$2:C123)-1</f>
        <v>-0.33711480995713727</v>
      </c>
      <c r="D123" s="37">
        <f>Prices!D123/MAX(Prices!D$2:D123)-1</f>
        <v>-9.134195290522984E-2</v>
      </c>
      <c r="E123" s="37">
        <f>Prices!E123/MAX(Prices!E$2:E123)-1</f>
        <v>-3.7933333934090818E-2</v>
      </c>
      <c r="F123" s="37">
        <f>Prices!F123/MAX(Prices!F$2:F123)-1</f>
        <v>-0.10953123811662291</v>
      </c>
      <c r="G123" s="37">
        <f>Prices!G123/MAX(Prices!G$2:G123)-1</f>
        <v>-9.5611123931674591E-2</v>
      </c>
      <c r="H123" s="1"/>
    </row>
    <row r="124" spans="1:8" x14ac:dyDescent="0.3">
      <c r="A124" s="26">
        <f>Prices!A124</f>
        <v>46114</v>
      </c>
      <c r="B124" s="37">
        <f>Prices!B124/MAX(Prices!B$2:B124)-1</f>
        <v>-0.27793358612412122</v>
      </c>
      <c r="C124" s="37">
        <f>Prices!C124/MAX(Prices!C$2:C124)-1</f>
        <v>-0.35980529226442404</v>
      </c>
      <c r="D124" s="37">
        <f>Prices!D124/MAX(Prices!D$2:D124)-1</f>
        <v>-9.3434129896779461E-2</v>
      </c>
      <c r="E124" s="37">
        <f>Prices!E124/MAX(Prices!E$2:E124)-1</f>
        <v>-5.2776175757630384E-2</v>
      </c>
      <c r="F124" s="37">
        <f>Prices!F124/MAX(Prices!F$2:F124)-1</f>
        <v>-0.11931657679060992</v>
      </c>
      <c r="G124" s="37">
        <f>Prices!G124/MAX(Prices!G$2:G124)-1</f>
        <v>-0.1019576424557963</v>
      </c>
      <c r="H124" s="1"/>
    </row>
    <row r="125" spans="1:8" x14ac:dyDescent="0.3">
      <c r="A125" s="26">
        <f>Prices!A125</f>
        <v>46120</v>
      </c>
      <c r="B125" s="37">
        <f>Prices!B125/MAX(Prices!B$2:B125)-1</f>
        <v>-0.25018448630680068</v>
      </c>
      <c r="C125" s="37">
        <f>Prices!C125/MAX(Prices!C$2:C125)-1</f>
        <v>-0.31658558351474508</v>
      </c>
      <c r="D125" s="37">
        <f>Prices!D125/MAX(Prices!D$2:D125)-1</f>
        <v>-3.3461443059525253E-2</v>
      </c>
      <c r="E125" s="37">
        <f>Prices!E125/MAX(Prices!E$2:E125)-1</f>
        <v>-2.528926476286586E-2</v>
      </c>
      <c r="F125" s="37">
        <f>Prices!F125/MAX(Prices!F$2:F125)-1</f>
        <v>-8.2843889092101053E-2</v>
      </c>
      <c r="G125" s="37">
        <f>Prices!G125/MAX(Prices!G$2:G125)-1</f>
        <v>-7.419420900171747E-2</v>
      </c>
      <c r="H125" s="1"/>
    </row>
    <row r="126" spans="1:8" x14ac:dyDescent="0.3">
      <c r="A126" s="26">
        <f>Prices!A126</f>
        <v>46121</v>
      </c>
      <c r="B126" s="37">
        <f>Prices!B126/MAX(Prices!B$2:B126)-1</f>
        <v>-0.24944654107959807</v>
      </c>
      <c r="C126" s="37">
        <f>Prices!C126/MAX(Prices!C$2:C126)-1</f>
        <v>-0.33603472287951108</v>
      </c>
      <c r="D126" s="37">
        <f>Prices!D126/MAX(Prices!D$2:D126)-1</f>
        <v>-3.1369266067975743E-2</v>
      </c>
      <c r="E126" s="37">
        <f>Prices!E126/MAX(Prices!E$2:E126)-1</f>
        <v>-2.6938344252101842E-2</v>
      </c>
      <c r="F126" s="37">
        <f>Prices!F126/MAX(Prices!F$2:F126)-1</f>
        <v>-9.2184449933181534E-2</v>
      </c>
      <c r="G126" s="37">
        <f>Prices!G126/MAX(Prices!G$2:G126)-1</f>
        <v>-7.9222049694648855E-2</v>
      </c>
      <c r="H126" s="1"/>
    </row>
    <row r="127" spans="1:8" x14ac:dyDescent="0.3">
      <c r="A127" s="26">
        <f>Prices!A127</f>
        <v>46122</v>
      </c>
      <c r="B127" s="37">
        <f>Prices!B127/MAX(Prices!B$2:B127)-1</f>
        <v>-0.25535055086073211</v>
      </c>
      <c r="C127" s="37">
        <f>Prices!C127/MAX(Prices!C$2:C127)-1</f>
        <v>-0.3219881823221602</v>
      </c>
      <c r="D127" s="37">
        <f>Prices!D127/MAX(Prices!D$2:D127)-1</f>
        <v>-2.5790362315164184E-2</v>
      </c>
      <c r="E127" s="37">
        <f>Prices!E127/MAX(Prices!E$2:E127)-1</f>
        <v>-2.1989979363977841E-2</v>
      </c>
      <c r="F127" s="37">
        <f>Prices!F127/MAX(Prices!F$2:F127)-1</f>
        <v>-9.1739672100274894E-2</v>
      </c>
      <c r="G127" s="37">
        <f>Prices!G127/MAX(Prices!G$2:G127)-1</f>
        <v>-7.4175630686082794E-2</v>
      </c>
      <c r="H127" s="1"/>
    </row>
    <row r="128" spans="1:8" x14ac:dyDescent="0.3">
      <c r="A128" s="26">
        <f>Prices!A128</f>
        <v>46125</v>
      </c>
      <c r="B128" s="37">
        <f>Prices!B128/MAX(Prices!B$2:B128)-1</f>
        <v>-0.27675275430366009</v>
      </c>
      <c r="C128" s="37">
        <f>Prices!C128/MAX(Prices!C$2:C128)-1</f>
        <v>-0.33441378098084029</v>
      </c>
      <c r="D128" s="37">
        <f>Prices!D128/MAX(Prices!D$2:D128)-1</f>
        <v>-3.2066893289812715E-2</v>
      </c>
      <c r="E128" s="37">
        <f>Prices!E128/MAX(Prices!E$2:E128)-1</f>
        <v>-3.9032720260248177E-2</v>
      </c>
      <c r="F128" s="37">
        <f>Prices!F128/MAX(Prices!F$2:F128)-1</f>
        <v>-9.7522010278102811E-2</v>
      </c>
      <c r="G128" s="37">
        <f>Prices!G128/MAX(Prices!G$2:G128)-1</f>
        <v>-8.2495451655765217E-2</v>
      </c>
      <c r="H128" s="1"/>
    </row>
    <row r="129" spans="1:8" x14ac:dyDescent="0.3">
      <c r="A129" s="26">
        <f>Prices!A129</f>
        <v>46126</v>
      </c>
      <c r="B129" s="37">
        <f>Prices!B129/MAX(Prices!B$2:B129)-1</f>
        <v>-0.27202942702181621</v>
      </c>
      <c r="C129" s="37">
        <f>Prices!C129/MAX(Prices!C$2:C129)-1</f>
        <v>-0.32739024027475427</v>
      </c>
      <c r="D129" s="37">
        <f>Prices!D129/MAX(Prices!D$2:D129)-1</f>
        <v>-1.6724731801090242E-2</v>
      </c>
      <c r="E129" s="37">
        <f>Prices!E129/MAX(Prices!E$2:E129)-1</f>
        <v>-4.343026556487728E-2</v>
      </c>
      <c r="F129" s="37">
        <f>Prices!F129/MAX(Prices!F$2:F129)-1</f>
        <v>-9.44083390977144E-2</v>
      </c>
      <c r="G129" s="37">
        <f>Prices!G129/MAX(Prices!G$2:G129)-1</f>
        <v>-7.4934309600221627E-2</v>
      </c>
      <c r="H129" s="1"/>
    </row>
    <row r="130" spans="1:8" x14ac:dyDescent="0.3">
      <c r="A130" s="26">
        <f>Prices!A130</f>
        <v>46127</v>
      </c>
      <c r="B130" s="37">
        <f>Prices!B130/MAX(Prices!B$2:B130)-1</f>
        <v>-0.26346869496581593</v>
      </c>
      <c r="C130" s="37">
        <f>Prices!C130/MAX(Prices!C$2:C130)-1</f>
        <v>-0.30524007193369118</v>
      </c>
      <c r="D130" s="37">
        <f>Prices!D130/MAX(Prices!D$2:D130)-1</f>
        <v>-1.3935632261665387E-2</v>
      </c>
      <c r="E130" s="37">
        <f>Prices!E130/MAX(Prices!E$2:E130)-1</f>
        <v>-7.8065440520496243E-2</v>
      </c>
      <c r="F130" s="37">
        <f>Prices!F130/MAX(Prices!F$2:F130)-1</f>
        <v>-7.9285666428848267E-2</v>
      </c>
      <c r="G130" s="37">
        <f>Prices!G130/MAX(Prices!G$2:G130)-1</f>
        <v>-7.2252682054818163E-2</v>
      </c>
      <c r="H130" s="1"/>
    </row>
    <row r="131" spans="1:8" x14ac:dyDescent="0.3">
      <c r="A131" s="26">
        <f>Prices!A131</f>
        <v>46128</v>
      </c>
      <c r="B131" s="37">
        <f>Prices!B131/MAX(Prices!B$2:B131)-1</f>
        <v>-0.23690042696895641</v>
      </c>
      <c r="C131" s="37">
        <f>Prices!C131/MAX(Prices!C$2:C131)-1</f>
        <v>-0.26634233405898033</v>
      </c>
      <c r="D131" s="37">
        <f>Prices!D131/MAX(Prices!D$2:D131)-1</f>
        <v>-7.6591012870166342E-3</v>
      </c>
      <c r="E131" s="37">
        <f>Prices!E131/MAX(Prices!E$2:E131)-1</f>
        <v>-7.3666768795450976E-2</v>
      </c>
      <c r="F131" s="37">
        <f>Prices!F131/MAX(Prices!F$2:F131)-1</f>
        <v>-8.5512782439582713E-2</v>
      </c>
      <c r="G131" s="37">
        <f>Prices!G131/MAX(Prices!G$2:G131)-1</f>
        <v>-5.6272345063766216E-2</v>
      </c>
      <c r="H131" s="1"/>
    </row>
    <row r="132" spans="1:8" x14ac:dyDescent="0.3">
      <c r="A132" s="26">
        <f>Prices!A132</f>
        <v>46129</v>
      </c>
      <c r="B132" s="37">
        <f>Prices!B132/MAX(Prices!B$2:B132)-1</f>
        <v>-0.24649446152844556</v>
      </c>
      <c r="C132" s="37">
        <f>Prices!C132/MAX(Prices!C$2:C132)-1</f>
        <v>-0.26310099111645968</v>
      </c>
      <c r="D132" s="37">
        <f>Prices!D132/MAX(Prices!D$2:D132)-1</f>
        <v>-1.3238005039828193E-2</v>
      </c>
      <c r="E132" s="37">
        <f>Prices!E132/MAX(Prices!E$2:E132)-1</f>
        <v>-0.10280388569986754</v>
      </c>
      <c r="F132" s="37">
        <f>Prices!F132/MAX(Prices!F$2:F132)-1</f>
        <v>-9.1294894267368365E-2</v>
      </c>
      <c r="G132" s="37">
        <f>Prices!G132/MAX(Prices!G$2:G132)-1</f>
        <v>-6.4636509426539424E-2</v>
      </c>
      <c r="H132" s="1"/>
    </row>
    <row r="133" spans="1:8" x14ac:dyDescent="0.3">
      <c r="A133" s="26">
        <f>Prices!A133</f>
        <v>46132</v>
      </c>
      <c r="B133" s="37">
        <f>Prices!B133/MAX(Prices!B$2:B133)-1</f>
        <v>-0.22878228286387259</v>
      </c>
      <c r="C133" s="37">
        <f>Prices!C133/MAX(Prices!C$2:C133)-1</f>
        <v>-0.25985964817393903</v>
      </c>
      <c r="D133" s="37">
        <f>Prices!D133/MAX(Prices!D$2:D133)-1</f>
        <v>-8.3567285088534948E-3</v>
      </c>
      <c r="E133" s="37">
        <f>Prices!E133/MAX(Prices!E$2:E133)-1</f>
        <v>-8.1913292662046722E-2</v>
      </c>
      <c r="F133" s="37">
        <f>Prices!F133/MAX(Prices!F$2:F133)-1</f>
        <v>-8.462300042372739E-2</v>
      </c>
      <c r="G133" s="37">
        <f>Prices!G133/MAX(Prices!G$2:G133)-1</f>
        <v>-5.7459036762675275E-2</v>
      </c>
      <c r="H133" s="1"/>
    </row>
    <row r="134" spans="1:8" x14ac:dyDescent="0.3">
      <c r="A134" s="26">
        <f>Prices!A134</f>
        <v>46133</v>
      </c>
      <c r="B134" s="37">
        <f>Prices!B134/MAX(Prices!B$2:B134)-1</f>
        <v>-0.23394834741780401</v>
      </c>
      <c r="C134" s="37">
        <f>Prices!C134/MAX(Prices!C$2:C134)-1</f>
        <v>-0.26364130508268324</v>
      </c>
      <c r="D134" s="37">
        <f>Prices!D134/MAX(Prices!D$2:D134)-1</f>
        <v>0</v>
      </c>
      <c r="E134" s="37">
        <f>Prices!E134/MAX(Prices!E$2:E134)-1</f>
        <v>-8.9610123365563954E-2</v>
      </c>
      <c r="F134" s="37">
        <f>Prices!F134/MAX(Prices!F$2:F134)-1</f>
        <v>-7.2168994752300653E-2</v>
      </c>
      <c r="G134" s="37">
        <f>Prices!G134/MAX(Prices!G$2:G134)-1</f>
        <v>-5.2939235771475524E-2</v>
      </c>
      <c r="H134" s="1"/>
    </row>
    <row r="135" spans="1:8" x14ac:dyDescent="0.3">
      <c r="A135" s="26">
        <f>Prices!A135</f>
        <v>46134</v>
      </c>
      <c r="B135" s="37">
        <f>Prices!B135/MAX(Prices!B$2:B135)-1</f>
        <v>-0.2560884960879346</v>
      </c>
      <c r="C135" s="37">
        <f>Prices!C135/MAX(Prices!C$2:C135)-1</f>
        <v>-0.28957313033249055</v>
      </c>
      <c r="D135" s="37">
        <f>Prices!D135/MAX(Prices!D$2:D135)-1</f>
        <v>0</v>
      </c>
      <c r="E135" s="37">
        <f>Prices!E135/MAX(Prices!E$2:E135)-1</f>
        <v>-8.5211451640518576E-2</v>
      </c>
      <c r="F135" s="37">
        <f>Prices!F135/MAX(Prices!F$2:F135)-1</f>
        <v>-7.3503328251020461E-2</v>
      </c>
      <c r="G135" s="37">
        <f>Prices!G135/MAX(Prices!G$2:G135)-1</f>
        <v>-6.453245870227442E-2</v>
      </c>
      <c r="H135" s="1"/>
    </row>
    <row r="136" spans="1:8" x14ac:dyDescent="0.3">
      <c r="A136" s="26">
        <f>Prices!A136</f>
        <v>46135</v>
      </c>
      <c r="B136" s="37">
        <f>Prices!B136/MAX(Prices!B$2:B136)-1</f>
        <v>-0.26907749679183468</v>
      </c>
      <c r="C136" s="37">
        <f>Prices!C136/MAX(Prices!C$2:C136)-1</f>
        <v>-0.29551604310612922</v>
      </c>
      <c r="D136" s="37">
        <f>Prices!D136/MAX(Prices!D$2:D136)-1</f>
        <v>-2.0138240763481918E-2</v>
      </c>
      <c r="E136" s="37">
        <f>Prices!E136/MAX(Prices!E$2:E136)-1</f>
        <v>-0.10115480621063155</v>
      </c>
      <c r="F136" s="37">
        <f>Prices!F136/MAX(Prices!F$2:F136)-1</f>
        <v>-8.3288666925007471E-2</v>
      </c>
      <c r="G136" s="37">
        <f>Prices!G136/MAX(Prices!G$2:G136)-1</f>
        <v>-7.3401173075467008E-2</v>
      </c>
      <c r="H136" s="1"/>
    </row>
    <row r="137" spans="1:8" x14ac:dyDescent="0.3">
      <c r="A137" s="26">
        <f>Prices!A137</f>
        <v>46136</v>
      </c>
      <c r="B137" s="37">
        <f>Prices!B137/MAX(Prices!B$2:B137)-1</f>
        <v>-0.27173436838787191</v>
      </c>
      <c r="C137" s="37">
        <f>Prices!C137/MAX(Prices!C$2:C137)-1</f>
        <v>-0.28795218843381976</v>
      </c>
      <c r="D137" s="37">
        <f>Prices!D137/MAX(Prices!D$2:D137)-1</f>
        <v>-2.7777270972948243E-2</v>
      </c>
      <c r="E137" s="37">
        <f>Prices!E137/MAX(Prices!E$2:E137)-1</f>
        <v>-0.1022541925367888</v>
      </c>
      <c r="F137" s="37">
        <f>Prices!F137/MAX(Prices!F$2:F137)-1</f>
        <v>-8.462300042372739E-2</v>
      </c>
      <c r="G137" s="37">
        <f>Prices!G137/MAX(Prices!G$2:G137)-1</f>
        <v>-7.1153214761202732E-2</v>
      </c>
      <c r="H137" s="1"/>
    </row>
    <row r="138" spans="1:8" x14ac:dyDescent="0.3">
      <c r="A138" s="26">
        <f>Prices!A138</f>
        <v>46139</v>
      </c>
      <c r="B138" s="37">
        <f>Prices!B138/MAX(Prices!B$2:B138)-1</f>
        <v>-0.29357930910288743</v>
      </c>
      <c r="C138" s="37">
        <f>Prices!C138/MAX(Prices!C$2:C138)-1</f>
        <v>-0.29659613018375541</v>
      </c>
      <c r="D138" s="37">
        <f>Prices!D138/MAX(Prices!D$2:D138)-1</f>
        <v>-2.6388547770253679E-2</v>
      </c>
      <c r="E138" s="37">
        <f>Prices!E138/MAX(Prices!E$2:E138)-1</f>
        <v>-8.5211451640518576E-2</v>
      </c>
      <c r="F138" s="37">
        <f>Prices!F138/MAX(Prices!F$2:F138)-1</f>
        <v>-8.3733444757914111E-2</v>
      </c>
      <c r="G138" s="37">
        <f>Prices!G138/MAX(Prices!G$2:G138)-1</f>
        <v>-7.302749006476672E-2</v>
      </c>
      <c r="H138" s="1"/>
    </row>
    <row r="139" spans="1:8" x14ac:dyDescent="0.3">
      <c r="A139" s="26">
        <f>Prices!A139</f>
        <v>46140</v>
      </c>
      <c r="B139" s="37">
        <f>Prices!B139/MAX(Prices!B$2:B139)-1</f>
        <v>-0.30066415070448238</v>
      </c>
      <c r="C139" s="37">
        <f>Prices!C139/MAX(Prices!C$2:C139)-1</f>
        <v>-0.31658558351474508</v>
      </c>
      <c r="D139" s="37">
        <f>Prices!D139/MAX(Prices!D$2:D139)-1</f>
        <v>-2.3610399635100476E-2</v>
      </c>
      <c r="E139" s="37">
        <f>Prices!E139/MAX(Prices!E$2:E139)-1</f>
        <v>-8.5762271224013475E-2</v>
      </c>
      <c r="F139" s="37">
        <f>Prices!F139/MAX(Prices!F$2:F139)-1</f>
        <v>-9.3518783431901342E-2</v>
      </c>
      <c r="G139" s="37">
        <f>Prices!G139/MAX(Prices!G$2:G139)-1</f>
        <v>-8.1818619589815622E-2</v>
      </c>
      <c r="H139" s="1"/>
    </row>
    <row r="140" spans="1:8" x14ac:dyDescent="0.3">
      <c r="A140" s="26">
        <f>Prices!A140</f>
        <v>46141</v>
      </c>
      <c r="B140" s="37">
        <f>Prices!B140/MAX(Prices!B$2:B140)-1</f>
        <v>-0.29269368523754169</v>
      </c>
      <c r="C140" s="37">
        <f>Prices!C140/MAX(Prices!C$2:C140)-1</f>
        <v>-0.2944354151736821</v>
      </c>
      <c r="D140" s="37">
        <f>Prices!D140/MAX(Prices!D$2:D140)-1</f>
        <v>-2.0832953229711126E-2</v>
      </c>
      <c r="E140" s="37">
        <f>Prices!E140/MAX(Prices!E$2:E140)-1</f>
        <v>-6.5971064512349908E-2</v>
      </c>
      <c r="F140" s="37">
        <f>Prices!F140/MAX(Prices!F$2:F140)-1</f>
        <v>-6.6386656574472847E-2</v>
      </c>
      <c r="G140" s="37">
        <f>Prices!G140/MAX(Prices!G$2:G140)-1</f>
        <v>-6.6370281748737825E-2</v>
      </c>
      <c r="H140" s="1"/>
    </row>
    <row r="141" spans="1:8" x14ac:dyDescent="0.3">
      <c r="A141" s="26">
        <f>Prices!A141</f>
        <v>46142</v>
      </c>
      <c r="B141" s="37">
        <f>Prices!B141/MAX(Prices!B$2:B141)-1</f>
        <v>-0.30952038935793991</v>
      </c>
      <c r="C141" s="37">
        <f>Prices!C141/MAX(Prices!C$2:C141)-1</f>
        <v>-0.31928661249104218</v>
      </c>
      <c r="D141" s="37">
        <f>Prices!D141/MAX(Prices!D$2:D141)-1</f>
        <v>-2.6388547770253679E-2</v>
      </c>
      <c r="E141" s="37">
        <f>Prices!E141/MAX(Prices!E$2:E141)-1</f>
        <v>-6.4870551765776607E-2</v>
      </c>
      <c r="F141" s="37">
        <f>Prices!F141/MAX(Prices!F$2:F141)-1</f>
        <v>-8.2843889092101053E-2</v>
      </c>
      <c r="G141" s="37">
        <f>Prices!G141/MAX(Prices!G$2:G141)-1</f>
        <v>-7.8359320056245019E-2</v>
      </c>
      <c r="H141" s="1"/>
    </row>
    <row r="142" spans="1:8" x14ac:dyDescent="0.3">
      <c r="A142" s="26">
        <f>Prices!A142</f>
        <v>46146</v>
      </c>
      <c r="B142" s="37">
        <f>Prices!B142/MAX(Prices!B$2:B142)-1</f>
        <v>-0.30184498252494341</v>
      </c>
      <c r="C142" s="37">
        <f>Prices!C142/MAX(Prices!C$2:C142)-1</f>
        <v>-0.28849250240004332</v>
      </c>
      <c r="D142" s="37">
        <f>Prices!D142/MAX(Prices!D$2:D142)-1</f>
        <v>-4.1661696080838029E-3</v>
      </c>
      <c r="E142" s="37">
        <f>Prices!E142/MAX(Prices!E$2:E142)-1</f>
        <v>-5.442638166728242E-2</v>
      </c>
      <c r="F142" s="37">
        <f>Prices!F142/MAX(Prices!F$2:F142)-1</f>
        <v>-7.706177726431529E-2</v>
      </c>
      <c r="G142" s="37">
        <f>Prices!G142/MAX(Prices!G$2:G142)-1</f>
        <v>-6.6940892759862369E-2</v>
      </c>
      <c r="H142" s="1"/>
    </row>
    <row r="143" spans="1:8" x14ac:dyDescent="0.3">
      <c r="A143" s="26">
        <f>Prices!A143</f>
        <v>46147</v>
      </c>
      <c r="B143" s="37">
        <f>Prices!B143/MAX(Prices!B$2:B143)-1</f>
        <v>-0.30302581434540443</v>
      </c>
      <c r="C143" s="37">
        <f>Prices!C143/MAX(Prices!C$2:C143)-1</f>
        <v>-0.29119407223116145</v>
      </c>
      <c r="D143" s="37">
        <f>Prices!D143/MAX(Prices!D$2:D143)-1</f>
        <v>-5.5555243675660448E-2</v>
      </c>
      <c r="E143" s="37">
        <f>Prices!E143/MAX(Prices!E$2:E143)-1</f>
        <v>-5.5525767993439779E-2</v>
      </c>
      <c r="F143" s="37">
        <f>Prices!F143/MAX(Prices!F$2:F143)-1</f>
        <v>-6.9945105587767786E-2</v>
      </c>
      <c r="G143" s="37">
        <f>Prices!G143/MAX(Prices!G$2:G143)-1</f>
        <v>-7.3994341937503316E-2</v>
      </c>
      <c r="H143" s="1"/>
    </row>
    <row r="144" spans="1:8" x14ac:dyDescent="0.3">
      <c r="A144" s="26">
        <f>Prices!A144</f>
        <v>46148</v>
      </c>
      <c r="B144" s="37">
        <f>Prices!B144/MAX(Prices!B$2:B144)-1</f>
        <v>-0.31660508163836387</v>
      </c>
      <c r="C144" s="37">
        <f>Prices!C144/MAX(Prices!C$2:C144)-1</f>
        <v>-0.2749862758089161</v>
      </c>
      <c r="D144" s="37">
        <f>Prices!D144/MAX(Prices!D$2:D144)-1</f>
        <v>-2.4305112101329684E-2</v>
      </c>
      <c r="E144" s="37">
        <f>Prices!E144/MAX(Prices!E$2:E144)-1</f>
        <v>-3.8483027097169442E-2</v>
      </c>
      <c r="F144" s="37">
        <f>Prices!F144/MAX(Prices!F$2:F144)-1</f>
        <v>-6.3273211744126701E-2</v>
      </c>
      <c r="G144" s="37">
        <f>Prices!G144/MAX(Prices!G$2:G144)-1</f>
        <v>-6.2725431466542414E-2</v>
      </c>
      <c r="H144" s="1"/>
    </row>
    <row r="145" spans="1:8" x14ac:dyDescent="0.3">
      <c r="A145" s="26">
        <f>Prices!A145</f>
        <v>46149</v>
      </c>
      <c r="B145" s="37">
        <f>Prices!B145/MAX(Prices!B$2:B145)-1</f>
        <v>-0.29535055683357891</v>
      </c>
      <c r="C145" s="37">
        <f>Prices!C145/MAX(Prices!C$2:C145)-1</f>
        <v>-0.23878956691050213</v>
      </c>
      <c r="D145" s="37">
        <f>Prices!D145/MAX(Prices!D$2:D145)-1</f>
        <v>-6.249605277007908E-3</v>
      </c>
      <c r="E145" s="37">
        <f>Prices!E145/MAX(Prices!E$2:E145)-1</f>
        <v>-1.9791206711663345E-2</v>
      </c>
      <c r="F145" s="37">
        <f>Prices!F145/MAX(Prices!F$2:F145)-1</f>
        <v>-5.0374428239793434E-2</v>
      </c>
      <c r="G145" s="37">
        <f>Prices!G145/MAX(Prices!G$2:G145)-1</f>
        <v>-4.797647996682286E-2</v>
      </c>
      <c r="H145" s="1"/>
    </row>
    <row r="146" spans="1:8" x14ac:dyDescent="0.3">
      <c r="A146" s="26">
        <f>Prices!A146</f>
        <v>46150</v>
      </c>
      <c r="B146" s="37">
        <f>Prices!B146/MAX(Prices!B$2:B146)-1</f>
        <v>-0.30420664616586535</v>
      </c>
      <c r="C146" s="37">
        <f>Prices!C146/MAX(Prices!C$2:C146)-1</f>
        <v>-0.24905445055910869</v>
      </c>
      <c r="D146" s="37">
        <f>Prices!D146/MAX(Prices!D$2:D146)-1</f>
        <v>-3.6805024385109353E-2</v>
      </c>
      <c r="E146" s="37">
        <f>Prices!E146/MAX(Prices!E$2:E146)-1</f>
        <v>-4.7828937289922546E-2</v>
      </c>
      <c r="F146" s="37">
        <f>Prices!F146/MAX(Prices!F$2:F146)-1</f>
        <v>-5.6601317900485615E-2</v>
      </c>
      <c r="G146" s="37">
        <f>Prices!G146/MAX(Prices!G$2:G146)-1</f>
        <v>-5.6291971001895313E-2</v>
      </c>
      <c r="H146" s="1"/>
    </row>
    <row r="147" spans="1:8" x14ac:dyDescent="0.3">
      <c r="A147" s="26">
        <f>Prices!A147</f>
        <v>46153</v>
      </c>
      <c r="B147" s="37">
        <f>Prices!B147/MAX(Prices!B$2:B147)-1</f>
        <v>-0.31453877527372809</v>
      </c>
      <c r="C147" s="37">
        <f>Prices!C147/MAX(Prices!C$2:C147)-1</f>
        <v>-0.27660721770758689</v>
      </c>
      <c r="D147" s="37">
        <f>Prices!D147/MAX(Prices!D$2:D147)-1</f>
        <v>-1.9444230027016451E-2</v>
      </c>
      <c r="E147" s="37">
        <f>Prices!E147/MAX(Prices!E$2:E147)-1</f>
        <v>-4.7828937289922546E-2</v>
      </c>
      <c r="F147" s="37">
        <f>Prices!F147/MAX(Prices!F$2:F147)-1</f>
        <v>-5.393265090304622E-2</v>
      </c>
      <c r="G147" s="37">
        <f>Prices!G147/MAX(Prices!G$2:G147)-1</f>
        <v>-5.5822546736817191E-2</v>
      </c>
      <c r="H147" s="1"/>
    </row>
    <row r="148" spans="1:8" x14ac:dyDescent="0.3">
      <c r="A148" s="26">
        <f>Prices!A148</f>
        <v>46154</v>
      </c>
      <c r="B148" s="37">
        <f>Prices!B148/MAX(Prices!B$2:B148)-1</f>
        <v>-0.32516611233670611</v>
      </c>
      <c r="C148" s="37">
        <f>Prices!C148/MAX(Prices!C$2:C148)-1</f>
        <v>-0.27984856065010755</v>
      </c>
      <c r="D148" s="37">
        <f>Prices!D148/MAX(Prices!D$2:D148)-1</f>
        <v>-3.749973685133845E-2</v>
      </c>
      <c r="E148" s="37">
        <f>Prices!E148/MAX(Prices!E$2:E148)-1</f>
        <v>-4.9478016779158529E-2</v>
      </c>
      <c r="F148" s="37">
        <f>Prices!F148/MAX(Prices!F$2:F148)-1</f>
        <v>-5.7490873566298895E-2</v>
      </c>
      <c r="G148" s="37">
        <f>Prices!G148/MAX(Prices!G$2:G148)-1</f>
        <v>-5.7929576584812126E-2</v>
      </c>
      <c r="H148" s="1"/>
    </row>
    <row r="149" spans="1:8" x14ac:dyDescent="0.3">
      <c r="A149" s="26">
        <f>Prices!A149</f>
        <v>46155</v>
      </c>
      <c r="B149" s="37">
        <f>Prices!B149/MAX(Prices!B$2:B149)-1</f>
        <v>-0.31719549754859433</v>
      </c>
      <c r="C149" s="37">
        <f>Prices!C149/MAX(Prices!C$2:C149)-1</f>
        <v>-0.28254958962640464</v>
      </c>
      <c r="D149" s="37">
        <f>Prices!D149/MAX(Prices!D$2:D149)-1</f>
        <v>-2.0138240763481918E-2</v>
      </c>
      <c r="E149" s="37">
        <f>Prices!E149/MAX(Prices!E$2:E149)-1</f>
        <v>-4.3981085148372068E-2</v>
      </c>
      <c r="F149" s="37">
        <f>Prices!F149/MAX(Prices!F$2:F149)-1</f>
        <v>-5.7490873566298895E-2</v>
      </c>
      <c r="G149" s="37">
        <f>Prices!G149/MAX(Prices!G$2:G149)-1</f>
        <v>-5.6480450087799783E-2</v>
      </c>
      <c r="H149" s="1"/>
    </row>
    <row r="150" spans="1:8" x14ac:dyDescent="0.3">
      <c r="A150" s="26">
        <f>Prices!A150</f>
        <v>46156</v>
      </c>
      <c r="B150" s="37">
        <f>Prices!B150/MAX(Prices!B$2:B150)-1</f>
        <v>-0.32073799300997741</v>
      </c>
      <c r="C150" s="37">
        <f>Prices!C150/MAX(Prices!C$2:C150)-1</f>
        <v>-0.25499736333274747</v>
      </c>
      <c r="D150" s="37">
        <f>Prices!D150/MAX(Prices!D$2:D150)-1</f>
        <v>-1.8859689133714608E-2</v>
      </c>
      <c r="E150" s="37">
        <f>Prices!E150/MAX(Prices!E$2:E150)-1</f>
        <v>-3.5734561281776323E-2</v>
      </c>
      <c r="F150" s="37">
        <f>Prices!F150/MAX(Prices!F$2:F150)-1</f>
        <v>-5.7935651399205534E-2</v>
      </c>
      <c r="G150" s="37">
        <f>Prices!G150/MAX(Prices!G$2:G150)-1</f>
        <v>-5.6459011369450085E-2</v>
      </c>
      <c r="H150" s="1"/>
    </row>
    <row r="151" spans="1:8" x14ac:dyDescent="0.3">
      <c r="A151" s="26">
        <f>Prices!A151</f>
        <v>46157</v>
      </c>
      <c r="B151" s="37">
        <f>Prices!B151/MAX(Prices!B$2:B151)-1</f>
        <v>-0.31849817544461134</v>
      </c>
      <c r="C151" s="37">
        <f>Prices!C151/MAX(Prices!C$2:C151)-1</f>
        <v>-0.28525115945752266</v>
      </c>
      <c r="D151" s="37">
        <f>Prices!D151/MAX(Prices!D$2:D151)-1</f>
        <v>-2.6540823129012958E-2</v>
      </c>
      <c r="E151" s="37">
        <f>Prices!E151/MAX(Prices!E$2:E151)-1</f>
        <v>-3.683394760793357E-2</v>
      </c>
      <c r="F151" s="37">
        <f>Prices!F151/MAX(Prices!F$2:F151)-1</f>
        <v>-7.394810608392699E-2</v>
      </c>
      <c r="G151" s="37">
        <f>Prices!G151/MAX(Prices!G$2:G151)-1</f>
        <v>-7.1701689830815707E-2</v>
      </c>
      <c r="H151" s="1"/>
    </row>
    <row r="152" spans="1:8" x14ac:dyDescent="0.3">
      <c r="A152" s="26">
        <f>Prices!A152</f>
        <v>46160</v>
      </c>
      <c r="B152" s="37">
        <f>Prices!B152/MAX(Prices!B$2:B152)-1</f>
        <v>-0.32924929975836847</v>
      </c>
      <c r="C152" s="37">
        <f>Prices!C152/MAX(Prices!C$2:C152)-1</f>
        <v>-0.28849250240004332</v>
      </c>
      <c r="D152" s="37">
        <f>Prices!D152/MAX(Prices!D$2:D152)-1</f>
        <v>-3.5619101084172433E-2</v>
      </c>
      <c r="E152" s="37">
        <f>Prices!E152/MAX(Prices!E$2:E152)-1</f>
        <v>-4.7279244126843922E-2</v>
      </c>
      <c r="F152" s="37">
        <f>Prices!F152/MAX(Prices!F$2:F152)-1</f>
        <v>-8.8181449437022219E-2</v>
      </c>
      <c r="G152" s="37">
        <f>Prices!G152/MAX(Prices!G$2:G152)-1</f>
        <v>-8.1983078443920054E-2</v>
      </c>
      <c r="H152" s="1"/>
    </row>
    <row r="153" spans="1:8" x14ac:dyDescent="0.3">
      <c r="A153" s="26">
        <f>Prices!A153</f>
        <v>46161</v>
      </c>
      <c r="B153" s="37">
        <f>Prices!B153/MAX(Prices!B$2:B153)-1</f>
        <v>-0.31312261328773261</v>
      </c>
      <c r="C153" s="37">
        <f>Prices!C153/MAX(Prices!C$2:C153)-1</f>
        <v>-0.27984856065010755</v>
      </c>
      <c r="D153" s="37">
        <f>Prices!D153/MAX(Prices!D$2:D153)-1</f>
        <v>-2.0256131363811658E-2</v>
      </c>
      <c r="E153" s="37">
        <f>Prices!E153/MAX(Prices!E$2:E153)-1</f>
        <v>-5.4976074830361155E-2</v>
      </c>
      <c r="F153" s="37">
        <f>Prices!F153/MAX(Prices!F$2:F153)-1</f>
        <v>-8.8181449437022219E-2</v>
      </c>
      <c r="G153" s="37">
        <f>Prices!G153/MAX(Prices!G$2:G153)-1</f>
        <v>-7.7597012006161425E-2</v>
      </c>
      <c r="H153" s="1"/>
    </row>
    <row r="154" spans="1:8" x14ac:dyDescent="0.3">
      <c r="A154" s="26">
        <f>Prices!A154</f>
        <v>46162</v>
      </c>
      <c r="B154" s="37">
        <f>Prices!B154/MAX(Prices!B$2:B154)-1</f>
        <v>-0.32029002949690411</v>
      </c>
      <c r="C154" s="37">
        <f>Prices!C154/MAX(Prices!C$2:C154)-1</f>
        <v>-0.2874118744675962</v>
      </c>
      <c r="D154" s="37">
        <f>Prices!D154/MAX(Prices!D$2:D154)-1</f>
        <v>-3.1429072664117097E-2</v>
      </c>
      <c r="E154" s="37">
        <f>Prices!E154/MAX(Prices!E$2:E154)-1</f>
        <v>-7.3666768795450976E-2</v>
      </c>
      <c r="F154" s="37">
        <f>Prices!F154/MAX(Prices!F$2:F154)-1</f>
        <v>-8.5512782439582713E-2</v>
      </c>
      <c r="G154" s="37">
        <f>Prices!G154/MAX(Prices!G$2:G154)-1</f>
        <v>-8.2843366013505948E-2</v>
      </c>
      <c r="H154" s="1"/>
    </row>
    <row r="155" spans="1:8" x14ac:dyDescent="0.3">
      <c r="A155" s="26">
        <f>Prices!A155</f>
        <v>46163</v>
      </c>
      <c r="B155" s="37">
        <f>Prices!B155/MAX(Prices!B$2:B155)-1</f>
        <v>-0.34448005920285796</v>
      </c>
      <c r="C155" s="37">
        <f>Prices!C155/MAX(Prices!C$2:C155)-1</f>
        <v>-0.31928661249104218</v>
      </c>
      <c r="D155" s="37">
        <f>Prices!D155/MAX(Prices!D$2:D155)-1</f>
        <v>-1.0479632293603824E-2</v>
      </c>
      <c r="E155" s="37">
        <f>Prices!E155/MAX(Prices!E$2:E155)-1</f>
        <v>-6.5421371349271285E-2</v>
      </c>
      <c r="F155" s="37">
        <f>Prices!F155/MAX(Prices!F$2:F155)-1</f>
        <v>-9.3963787614850025E-2</v>
      </c>
      <c r="G155" s="37">
        <f>Prices!G155/MAX(Prices!G$2:G155)-1</f>
        <v>-9.2304133691676116E-2</v>
      </c>
      <c r="H155" s="1"/>
    </row>
    <row r="156" spans="1:8" x14ac:dyDescent="0.3">
      <c r="A156" s="26">
        <f>Prices!A156</f>
        <v>46164</v>
      </c>
      <c r="B156" s="37">
        <f>Prices!B156/MAX(Prices!B$2:B156)-1</f>
        <v>-0.34089635109827221</v>
      </c>
      <c r="C156" s="37">
        <f>Prices!C156/MAX(Prices!C$2:C156)-1</f>
        <v>-0.31388401368362706</v>
      </c>
      <c r="D156" s="37">
        <f>Prices!D156/MAX(Prices!D$2:D156)-1</f>
        <v>0</v>
      </c>
      <c r="E156" s="37">
        <f>Prices!E156/MAX(Prices!E$2:E156)-1</f>
        <v>-5.3875562083787631E-2</v>
      </c>
      <c r="F156" s="37">
        <f>Prices!F156/MAX(Prices!F$2:F156)-1</f>
        <v>-8.9960560768648556E-2</v>
      </c>
      <c r="G156" s="37">
        <f>Prices!G156/MAX(Prices!G$2:G156)-1</f>
        <v>-8.4455553342795753E-2</v>
      </c>
      <c r="H156" s="1"/>
    </row>
    <row r="157" spans="1:8" x14ac:dyDescent="0.3">
      <c r="A157" s="26">
        <f>Prices!A157</f>
        <v>46168</v>
      </c>
      <c r="B157" s="37">
        <f>Prices!B157/MAX(Prices!B$2:B157)-1</f>
        <v>-0.34448005920285796</v>
      </c>
      <c r="C157" s="37">
        <f>Prices!C157/MAX(Prices!C$2:C157)-1</f>
        <v>-0.31064267074110641</v>
      </c>
      <c r="D157" s="37">
        <f>Prices!D157/MAX(Prices!D$2:D157)-1</f>
        <v>0</v>
      </c>
      <c r="E157" s="37">
        <f>Prices!E157/MAX(Prices!E$2:E157)-1</f>
        <v>-7.3117075632372353E-2</v>
      </c>
      <c r="F157" s="37">
        <f>Prices!F157/MAX(Prices!F$2:F157)-1</f>
        <v>-9.796678811100934E-2</v>
      </c>
      <c r="G157" s="37">
        <f>Prices!G157/MAX(Prices!G$2:G157)-1</f>
        <v>-8.4690825041615958E-2</v>
      </c>
      <c r="H157" s="1"/>
    </row>
    <row r="158" spans="1:8" x14ac:dyDescent="0.3">
      <c r="A158" s="26">
        <f>Prices!A158</f>
        <v>46169</v>
      </c>
      <c r="B158" s="37">
        <f>Prices!B158/MAX(Prices!B$2:B158)-1</f>
        <v>-0.35134883306998066</v>
      </c>
      <c r="C158" s="37">
        <f>Prices!C158/MAX(Prices!C$2:C158)-1</f>
        <v>-0.32847086820720151</v>
      </c>
      <c r="D158" s="37">
        <f>Prices!D158/MAX(Prices!D$2:D158)-1</f>
        <v>0</v>
      </c>
      <c r="E158" s="37">
        <f>Prices!E158/MAX(Prices!E$2:E158)-1</f>
        <v>-7.0368609816979122E-2</v>
      </c>
      <c r="F158" s="37">
        <f>Prices!F158/MAX(Prices!F$2:F158)-1</f>
        <v>-0.10552823762046359</v>
      </c>
      <c r="G158" s="37">
        <f>Prices!G158/MAX(Prices!G$2:G158)-1</f>
        <v>-9.4388258864929742E-2</v>
      </c>
      <c r="H158" s="1"/>
    </row>
    <row r="159" spans="1:8" x14ac:dyDescent="0.3">
      <c r="A159" s="26">
        <f>Prices!A159</f>
        <v>46170</v>
      </c>
      <c r="B159" s="37">
        <f>Prices!B159/MAX(Prices!B$2:B159)-1</f>
        <v>-0.36538502314627475</v>
      </c>
      <c r="C159" s="37">
        <f>Prices!C159/MAX(Prices!C$2:C159)-1</f>
        <v>-0.34197709479832883</v>
      </c>
      <c r="D159" s="37">
        <f>Prices!D159/MAX(Prices!D$2:D159)-1</f>
        <v>-8.8677737274810431E-3</v>
      </c>
      <c r="E159" s="37">
        <f>Prices!E159/MAX(Prices!E$2:E159)-1</f>
        <v>-8.1097764280757878E-2</v>
      </c>
      <c r="F159" s="37">
        <f>Prices!F159/MAX(Prices!F$2:F159)-1</f>
        <v>-0.11887179895770339</v>
      </c>
      <c r="G159" s="37">
        <f>Prices!G159/MAX(Prices!G$2:G159)-1</f>
        <v>-0.10590389337208161</v>
      </c>
      <c r="H159" s="1"/>
    </row>
    <row r="160" spans="1:8" x14ac:dyDescent="0.3">
      <c r="A160" s="26">
        <f>Prices!A160</f>
        <v>46171</v>
      </c>
      <c r="B160" s="37">
        <f>Prices!B160/MAX(Prices!B$2:B160)-1</f>
        <v>-0.36209995738373779</v>
      </c>
      <c r="C160" s="37">
        <f>Prices!C160/MAX(Prices!C$2:C160)-1</f>
        <v>-0.34683937963952027</v>
      </c>
      <c r="D160" s="37">
        <f>Prices!D160/MAX(Prices!D$2:D160)-1</f>
        <v>-1.023183569839281E-2</v>
      </c>
      <c r="E160" s="37">
        <f>Prices!E160/MAX(Prices!E$2:E160)-1</f>
        <v>-7.997922880752617E-2</v>
      </c>
      <c r="F160" s="37">
        <f>Prices!F160/MAX(Prices!F$2:F160)-1</f>
        <v>-0.11086579796538476</v>
      </c>
      <c r="G160" s="37">
        <f>Prices!G160/MAX(Prices!G$2:G160)-1</f>
        <v>-9.9602769439048444E-2</v>
      </c>
      <c r="H160" s="1"/>
    </row>
    <row r="161" spans="1:8" x14ac:dyDescent="0.3">
      <c r="A161" s="26">
        <f>Prices!A161</f>
        <v>46174</v>
      </c>
      <c r="B161" s="37">
        <f>Prices!B161/MAX(Prices!B$2:B161)-1</f>
        <v>-0.34895969433359009</v>
      </c>
      <c r="C161" s="37">
        <f>Prices!C161/MAX(Prices!C$2:C161)-1</f>
        <v>-0.3365744959909136</v>
      </c>
      <c r="D161" s="37">
        <f>Prices!D161/MAX(Prices!D$2:D161)-1</f>
        <v>-2.0460929563678176E-3</v>
      </c>
      <c r="E161" s="37">
        <f>Prices!E161/MAX(Prices!E$2:E161)-1</f>
        <v>-8.2776130700813577E-2</v>
      </c>
      <c r="F161" s="37">
        <f>Prices!F161/MAX(Prices!F$2:F161)-1</f>
        <v>-0.10997601594952944</v>
      </c>
      <c r="G161" s="37">
        <f>Prices!G161/MAX(Prices!G$2:G161)-1</f>
        <v>-9.1887222844943883E-2</v>
      </c>
      <c r="H161" s="1"/>
    </row>
    <row r="162" spans="1:8" x14ac:dyDescent="0.3">
      <c r="A162" s="26">
        <f>Prices!A162</f>
        <v>46175</v>
      </c>
      <c r="B162" s="37">
        <f>Prices!B162/MAX(Prices!B$2:B162)-1</f>
        <v>-0.28086924034646099</v>
      </c>
      <c r="C162" s="37">
        <f>Prices!C162/MAX(Prices!C$2:C162)-1</f>
        <v>-0.2928144732750112</v>
      </c>
      <c r="D162" s="37">
        <f>Prices!D162/MAX(Prices!D$2:D162)-1</f>
        <v>0</v>
      </c>
      <c r="E162" s="37">
        <f>Prices!E162/MAX(Prices!E$2:E162)-1</f>
        <v>-8.165759522758187E-2</v>
      </c>
      <c r="F162" s="37">
        <f>Prices!F162/MAX(Prices!F$2:F162)-1</f>
        <v>-8.7291893771209161E-2</v>
      </c>
      <c r="G162" s="37">
        <f>Prices!G162/MAX(Prices!G$2:G162)-1</f>
        <v>-6.8998973966395205E-2</v>
      </c>
      <c r="H162" s="1"/>
    </row>
    <row r="163" spans="1:8" x14ac:dyDescent="0.3">
      <c r="A163" s="26">
        <f>Prices!A163</f>
        <v>46176</v>
      </c>
      <c r="B163" s="37">
        <f>Prices!B163/MAX(Prices!B$2:B163)-1</f>
        <v>-0.30356605834217076</v>
      </c>
      <c r="C163" s="37">
        <f>Prices!C163/MAX(Prices!C$2:C163)-1</f>
        <v>-0.31604526954852152</v>
      </c>
      <c r="D163" s="37">
        <f>Prices!D163/MAX(Prices!D$2:D163)-1</f>
        <v>-2.0377526966944837E-3</v>
      </c>
      <c r="E163" s="37">
        <f>Prices!E163/MAX(Prices!E$2:E163)-1</f>
        <v>-7.997922880752617E-2</v>
      </c>
      <c r="F163" s="37">
        <f>Prices!F163/MAX(Prices!F$2:F163)-1</f>
        <v>-8.9515782935741917E-2</v>
      </c>
      <c r="G163" s="37">
        <f>Prices!G163/MAX(Prices!G$2:G163)-1</f>
        <v>-8.3483674312287204E-2</v>
      </c>
      <c r="H163" s="1"/>
    </row>
    <row r="164" spans="1:8" x14ac:dyDescent="0.3">
      <c r="A164" s="26">
        <f>Prices!A164</f>
        <v>46177</v>
      </c>
      <c r="B164" s="37">
        <f>Prices!B164/MAX(Prices!B$2:B164)-1</f>
        <v>-0.31461582499797669</v>
      </c>
      <c r="C164" s="37">
        <f>Prices!C164/MAX(Prices!C$2:C164)-1</f>
        <v>-0.33279283908216939</v>
      </c>
      <c r="D164" s="37">
        <f>Prices!D164/MAX(Prices!D$2:D164)-1</f>
        <v>-5.4346898554050727E-3</v>
      </c>
      <c r="E164" s="37">
        <f>Prices!E164/MAX(Prices!E$2:E164)-1</f>
        <v>-0.14205963720251236</v>
      </c>
      <c r="F164" s="37">
        <f>Prices!F164/MAX(Prices!F$2:F164)-1</f>
        <v>-0.10864168245080963</v>
      </c>
      <c r="G164" s="37">
        <f>Prices!G164/MAX(Prices!G$2:G164)-1</f>
        <v>-9.7063811630067165E-2</v>
      </c>
      <c r="H164" s="1"/>
    </row>
    <row r="165" spans="1:8" x14ac:dyDescent="0.3">
      <c r="A165" s="26">
        <f>Prices!A165</f>
        <v>46178</v>
      </c>
      <c r="B165" s="37">
        <f>Prices!B165/MAX(Prices!B$2:B165)-1</f>
        <v>-0.32327645291739227</v>
      </c>
      <c r="C165" s="37">
        <f>Prices!C165/MAX(Prices!C$2:C165)-1</f>
        <v>-0.33873575185580818</v>
      </c>
      <c r="D165" s="37">
        <f>Prices!D165/MAX(Prices!D$2:D165)-1</f>
        <v>-3.6685009854258155E-2</v>
      </c>
      <c r="E165" s="37">
        <f>Prices!E165/MAX(Prices!E$2:E165)-1</f>
        <v>-0.17226122140018563</v>
      </c>
      <c r="F165" s="37">
        <f>Prices!F165/MAX(Prices!F$2:F165)-1</f>
        <v>-0.11842702112479675</v>
      </c>
      <c r="G165" s="37">
        <f>Prices!G165/MAX(Prices!G$2:G165)-1</f>
        <v>-0.10748465917754602</v>
      </c>
      <c r="H165" s="1"/>
    </row>
    <row r="166" spans="1:8" x14ac:dyDescent="0.3">
      <c r="A166" s="26">
        <f>Prices!A166</f>
        <v>46181</v>
      </c>
      <c r="B166" s="37">
        <f>Prices!B166/MAX(Prices!B$2:B166)-1</f>
        <v>-0.33343029254705192</v>
      </c>
      <c r="C166" s="37">
        <f>Prices!C166/MAX(Prices!C$2:C166)-1</f>
        <v>-0.35818489122057418</v>
      </c>
      <c r="D166" s="37">
        <f>Prices!D166/MAX(Prices!D$2:D166)-1</f>
        <v>-3.3288072695547566E-2</v>
      </c>
      <c r="E166" s="37">
        <f>Prices!E166/MAX(Prices!E$2:E166)-1</f>
        <v>-0.18736201349902226</v>
      </c>
      <c r="F166" s="37">
        <f>Prices!F166/MAX(Prices!F$2:F166)-1</f>
        <v>-0.13977703615443959</v>
      </c>
      <c r="G166" s="37">
        <f>Prices!G166/MAX(Prices!G$2:G166)-1</f>
        <v>-0.11838596499357645</v>
      </c>
      <c r="H166" s="1"/>
    </row>
    <row r="167" spans="1:8" x14ac:dyDescent="0.3">
      <c r="A167" s="26">
        <f>Prices!A167</f>
        <v>46182</v>
      </c>
      <c r="B167" s="37">
        <f>Prices!B167/MAX(Prices!B$2:B167)-1</f>
        <v>-0.32327645291739227</v>
      </c>
      <c r="C167" s="37">
        <f>Prices!C167/MAX(Prices!C$2:C167)-1</f>
        <v>-0.3673691469367335</v>
      </c>
      <c r="D167" s="37">
        <f>Prices!D167/MAX(Prices!D$2:D167)-1</f>
        <v>-3.4646574493343851E-2</v>
      </c>
      <c r="E167" s="37">
        <f>Prices!E167/MAX(Prices!E$2:E167)-1</f>
        <v>-0.20581841201755402</v>
      </c>
      <c r="F167" s="37">
        <f>Prices!F167/MAX(Prices!F$2:F167)-1</f>
        <v>-0.14600415216517404</v>
      </c>
      <c r="G167" s="37">
        <f>Prices!G167/MAX(Prices!G$2:G167)-1</f>
        <v>-0.12164539746293301</v>
      </c>
      <c r="H167" s="1"/>
    </row>
    <row r="168" spans="1:8" x14ac:dyDescent="0.3">
      <c r="A168" s="26">
        <f>Prices!A168</f>
        <v>46183</v>
      </c>
      <c r="B168" s="37">
        <f>Prices!B168/MAX(Prices!B$2:B168)-1</f>
        <v>-0.30476062771036594</v>
      </c>
      <c r="C168" s="37">
        <f>Prices!C168/MAX(Prices!C$2:C168)-1</f>
        <v>-0.38612977811430971</v>
      </c>
      <c r="D168" s="37">
        <f>Prices!D168/MAX(Prices!D$2:D168)-1</f>
        <v>-8.0842462260615422E-2</v>
      </c>
      <c r="E168" s="37">
        <f>Prices!E168/MAX(Prices!E$2:E168)-1</f>
        <v>-0.21420686485658413</v>
      </c>
      <c r="F168" s="37">
        <f>Prices!F168/MAX(Prices!F$2:F168)-1</f>
        <v>-0.14822804132970702</v>
      </c>
      <c r="G168" s="37">
        <f>Prices!G168/MAX(Prices!G$2:G168)-1</f>
        <v>-0.12729252964569659</v>
      </c>
      <c r="H168" s="1"/>
    </row>
    <row r="169" spans="1:8" x14ac:dyDescent="0.3">
      <c r="A169" s="26">
        <f>Prices!A169</f>
        <v>46184</v>
      </c>
      <c r="B169" s="37">
        <f>Prices!B169/MAX(Prices!B$2:B169)-1</f>
        <v>-0.31730360607641606</v>
      </c>
      <c r="C169" s="37">
        <f>Prices!C169/MAX(Prices!C$2:C169)-1</f>
        <v>-0.41912192219803401</v>
      </c>
      <c r="D169" s="37">
        <f>Prices!D169/MAX(Prices!D$2:D169)-1</f>
        <v>-5.9103020174775756E-2</v>
      </c>
      <c r="E169" s="37">
        <f>Prices!E169/MAX(Prices!E$2:E169)-1</f>
        <v>-0.17505699687305687</v>
      </c>
      <c r="F169" s="37">
        <f>Prices!F169/MAX(Prices!F$2:F169)-1</f>
        <v>-0.16824349651058779</v>
      </c>
      <c r="G169" s="37">
        <f>Prices!G169/MAX(Prices!G$2:G169)-1</f>
        <v>-0.13296584523981325</v>
      </c>
      <c r="H169" s="1"/>
    </row>
    <row r="170" spans="1:8" x14ac:dyDescent="0.3">
      <c r="A170" s="26">
        <f>Prices!A170</f>
        <v>46185</v>
      </c>
      <c r="B170" s="37">
        <f>Prices!B170/MAX(Prices!B$2:B170)-1</f>
        <v>-0.30774705113085399</v>
      </c>
      <c r="C170" s="37">
        <f>Prices!C170/MAX(Prices!C$2:C170)-1</f>
        <v>-0.40397798720878353</v>
      </c>
      <c r="D170" s="37">
        <f>Prices!D170/MAX(Prices!D$2:D170)-1</f>
        <v>-2.9891135536836977E-2</v>
      </c>
      <c r="E170" s="37">
        <f>Prices!E170/MAX(Prices!E$2:E170)-1</f>
        <v>-0.16610871308720299</v>
      </c>
      <c r="F170" s="37">
        <f>Prices!F170/MAX(Prices!F$2:F170)-1</f>
        <v>-0.15356537532458592</v>
      </c>
      <c r="G170" s="37">
        <f>Prices!G170/MAX(Prices!G$2:G170)-1</f>
        <v>-0.11620350990148776</v>
      </c>
      <c r="H170" s="1"/>
    </row>
    <row r="171" spans="1:8" x14ac:dyDescent="0.3">
      <c r="A171" s="26">
        <f>Prices!A171</f>
        <v>46188</v>
      </c>
      <c r="B171" s="37">
        <f>Prices!B171/MAX(Prices!B$2:B171)-1</f>
        <v>-0.3137198979718302</v>
      </c>
      <c r="C171" s="37">
        <f>Prices!C171/MAX(Prices!C$2:C171)-1</f>
        <v>-0.40884568059818549</v>
      </c>
      <c r="D171" s="37">
        <f>Prices!D171/MAX(Prices!D$2:D171)-1</f>
        <v>-9.5108779130136378E-3</v>
      </c>
      <c r="E171" s="37">
        <f>Prices!E171/MAX(Prices!E$2:E171)-1</f>
        <v>-0.14429670814897577</v>
      </c>
      <c r="F171" s="37">
        <f>Prices!F171/MAX(Prices!F$2:F171)-1</f>
        <v>-0.13977703615443959</v>
      </c>
      <c r="G171" s="37">
        <f>Prices!G171/MAX(Prices!G$2:G171)-1</f>
        <v>-0.11174949459723205</v>
      </c>
      <c r="H171" s="1"/>
    </row>
    <row r="172" spans="1:8" x14ac:dyDescent="0.3">
      <c r="A172" s="26">
        <f>Prices!A172</f>
        <v>46189</v>
      </c>
      <c r="B172" s="37">
        <f>Prices!B172/MAX(Prices!B$2:B172)-1</f>
        <v>-0.33193708083680784</v>
      </c>
      <c r="C172" s="37">
        <f>Prices!C172/MAX(Prices!C$2:C172)-1</f>
        <v>-0.42128534148221264</v>
      </c>
      <c r="D172" s="37">
        <f>Prices!D172/MAX(Prices!D$2:D172)-1</f>
        <v>-8.1523761152174634E-3</v>
      </c>
      <c r="E172" s="37">
        <f>Prices!E172/MAX(Prices!E$2:E172)-1</f>
        <v>-0.15883879572140458</v>
      </c>
      <c r="F172" s="37">
        <f>Prices!F172/MAX(Prices!F$2:F172)-1</f>
        <v>-0.14155614748606593</v>
      </c>
      <c r="G172" s="37">
        <f>Prices!G172/MAX(Prices!G$2:G172)-1</f>
        <v>-0.12421801506086416</v>
      </c>
      <c r="H172" s="1"/>
    </row>
    <row r="173" spans="1:8" x14ac:dyDescent="0.3">
      <c r="A173" s="26">
        <f>Prices!A173</f>
        <v>46190</v>
      </c>
      <c r="B173" s="37">
        <f>Prices!B173/MAX(Prices!B$2:B173)-1</f>
        <v>-0.334923504257296</v>
      </c>
      <c r="C173" s="37">
        <f>Prices!C173/MAX(Prices!C$2:C173)-1</f>
        <v>-0.42182619630325735</v>
      </c>
      <c r="D173" s="37">
        <f>Prices!D173/MAX(Prices!D$2:D173)-1</f>
        <v>0</v>
      </c>
      <c r="E173" s="37">
        <f>Prices!E173/MAX(Prices!E$2:E173)-1</f>
        <v>-0.16051603572104411</v>
      </c>
      <c r="F173" s="37">
        <f>Prices!F173/MAX(Prices!F$2:F173)-1</f>
        <v>-0.14733848566389374</v>
      </c>
      <c r="G173" s="37">
        <f>Prices!G173/MAX(Prices!G$2:G173)-1</f>
        <v>-0.13071788692554909</v>
      </c>
      <c r="H173" s="1"/>
    </row>
    <row r="174" spans="1:8" x14ac:dyDescent="0.3">
      <c r="A174" s="26">
        <f>Prices!A174</f>
        <v>46191</v>
      </c>
      <c r="B174" s="37">
        <f>Prices!B174/MAX(Prices!B$2:B174)-1</f>
        <v>-0.34268820515056508</v>
      </c>
      <c r="C174" s="37">
        <f>Prices!C174/MAX(Prices!C$2:C174)-1</f>
        <v>-0.43264329272415047</v>
      </c>
      <c r="D174" s="37">
        <f>Prices!D174/MAX(Prices!D$2:D174)-1</f>
        <v>0</v>
      </c>
      <c r="E174" s="37">
        <f>Prices!E174/MAX(Prices!E$2:E174)-1</f>
        <v>-0.17561682781988086</v>
      </c>
      <c r="F174" s="37">
        <f>Prices!F174/MAX(Prices!F$2:F174)-1</f>
        <v>-0.16646438517896145</v>
      </c>
      <c r="G174" s="37">
        <f>Prices!G174/MAX(Prices!G$2:G174)-1</f>
        <v>-0.14456758859519969</v>
      </c>
      <c r="H174" s="1"/>
    </row>
    <row r="175" spans="1:8" x14ac:dyDescent="0.3">
      <c r="A175" s="26">
        <f>Prices!A175</f>
        <v>46195</v>
      </c>
      <c r="B175" s="37">
        <f>Prices!B175/MAX(Prices!B$2:B175)-1</f>
        <v>-0.35343932946432222</v>
      </c>
      <c r="C175" s="37">
        <f>Prices!C175/MAX(Prices!C$2:C175)-1</f>
        <v>-0.44346038914504371</v>
      </c>
      <c r="D175" s="37">
        <f>Prices!D175/MAX(Prices!D$2:D175)-1</f>
        <v>-7.382843639100467E-3</v>
      </c>
      <c r="E175" s="37">
        <f>Prices!E175/MAX(Prices!E$2:E175)-1</f>
        <v>-0.16946431950689822</v>
      </c>
      <c r="F175" s="37">
        <f>Prices!F175/MAX(Prices!F$2:F175)-1</f>
        <v>-0.160237269168227</v>
      </c>
      <c r="G175" s="37">
        <f>Prices!G175/MAX(Prices!G$2:G175)-1</f>
        <v>-0.15015577860451534</v>
      </c>
      <c r="H175" s="1"/>
    </row>
    <row r="176" spans="1:8" x14ac:dyDescent="0.3">
      <c r="A176" s="26">
        <f>Prices!A176</f>
        <v>46196</v>
      </c>
      <c r="B176" s="37">
        <f>Prices!B176/MAX(Prices!B$2:B176)-1</f>
        <v>-0.38061578259076412</v>
      </c>
      <c r="C176" s="37">
        <f>Prices!C176/MAX(Prices!C$2:C176)-1</f>
        <v>-0.46482415457630788</v>
      </c>
      <c r="D176" s="37">
        <f>Prices!D176/MAX(Prices!D$2:D176)-1</f>
        <v>-2.0138093638762955E-3</v>
      </c>
      <c r="E176" s="37">
        <f>Prices!E176/MAX(Prices!E$2:E176)-1</f>
        <v>-0.18400640707932703</v>
      </c>
      <c r="F176" s="37">
        <f>Prices!F176/MAX(Prices!F$2:F176)-1</f>
        <v>-0.17491539035422876</v>
      </c>
      <c r="G176" s="37">
        <f>Prices!G176/MAX(Prices!G$2:G176)-1</f>
        <v>-0.16561054162519184</v>
      </c>
      <c r="H176" s="1"/>
    </row>
    <row r="177" spans="1:8" x14ac:dyDescent="0.3">
      <c r="A177" s="26">
        <f>Prices!A177</f>
        <v>46197</v>
      </c>
      <c r="B177" s="37">
        <f>Prices!B177/MAX(Prices!B$2:B177)-1</f>
        <v>-0.35971081864734733</v>
      </c>
      <c r="C177" s="37">
        <f>Prices!C177/MAX(Prices!C$2:C177)-1</f>
        <v>-0.46239030788160684</v>
      </c>
      <c r="D177" s="37">
        <f>Prices!D177/MAX(Prices!D$2:D177)-1</f>
        <v>-5.369708692291808E-3</v>
      </c>
      <c r="E177" s="37">
        <f>Prices!E177/MAX(Prices!E$2:E177)-1</f>
        <v>-0.17617553234628869</v>
      </c>
      <c r="F177" s="37">
        <f>Prices!F177/MAX(Prices!F$2:F177)-1</f>
        <v>-0.17447061252132223</v>
      </c>
      <c r="G177" s="37">
        <f>Prices!G177/MAX(Prices!G$2:G177)-1</f>
        <v>-0.16289672024722979</v>
      </c>
      <c r="H177" s="1"/>
    </row>
    <row r="178" spans="1:8" x14ac:dyDescent="0.3">
      <c r="A178" s="26">
        <f>Prices!A178</f>
        <v>46198</v>
      </c>
      <c r="B178" s="37">
        <f>Prices!B178/MAX(Prices!B$2:B178)-1</f>
        <v>-0.37076058530315337</v>
      </c>
      <c r="C178" s="37">
        <f>Prices!C178/MAX(Prices!C$2:C178)-1</f>
        <v>-0.48618792000757205</v>
      </c>
      <c r="D178" s="37">
        <f>Prices!D178/MAX(Prices!D$2:D178)-1</f>
        <v>-4.6979892929546185E-3</v>
      </c>
      <c r="E178" s="37">
        <f>Prices!E178/MAX(Prices!E$2:E178)-1</f>
        <v>-0.19239485991835692</v>
      </c>
      <c r="F178" s="37">
        <f>Prices!F178/MAX(Prices!F$2:F178)-1</f>
        <v>-0.18470072902821588</v>
      </c>
      <c r="G178" s="37">
        <f>Prices!G178/MAX(Prices!G$2:G178)-1</f>
        <v>-0.17488429259834548</v>
      </c>
      <c r="H178" s="1"/>
    </row>
    <row r="179" spans="1:8" x14ac:dyDescent="0.3">
      <c r="A179" s="26">
        <f>Prices!A179</f>
        <v>46199</v>
      </c>
      <c r="B179" s="37">
        <f>Prices!B179/MAX(Prices!B$2:B179)-1</f>
        <v>-0.38509541772149636</v>
      </c>
      <c r="C179" s="37">
        <f>Prices!C179/MAX(Prices!C$2:C179)-1</f>
        <v>-0.51593493516502842</v>
      </c>
      <c r="D179" s="37">
        <f>Prices!D179/MAX(Prices!D$2:D179)-1</f>
        <v>-8.7249336036396841E-3</v>
      </c>
      <c r="E179" s="37">
        <f>Prices!E179/MAX(Prices!E$2:E179)-1</f>
        <v>-0.20805548296401766</v>
      </c>
      <c r="F179" s="37">
        <f>Prices!F179/MAX(Prices!F$2:F179)-1</f>
        <v>-0.194486067702203</v>
      </c>
      <c r="G179" s="37">
        <f>Prices!G179/MAX(Prices!G$2:G179)-1</f>
        <v>-0.18936689769924864</v>
      </c>
      <c r="H179" s="1"/>
    </row>
    <row r="180" spans="1:8" x14ac:dyDescent="0.3">
      <c r="A180" s="26">
        <f>Prices!A180</f>
        <v>46202</v>
      </c>
      <c r="B180" s="37">
        <f>Prices!B180/MAX(Prices!B$2:B180)-1</f>
        <v>-0.37255243935544624</v>
      </c>
      <c r="C180" s="37">
        <f>Prices!C180/MAX(Prices!C$2:C180)-1</f>
        <v>-0.49700501642846517</v>
      </c>
      <c r="D180" s="37">
        <f>Prices!D180/MAX(Prices!D$2:D180)-1</f>
        <v>-9.395978585909126E-3</v>
      </c>
      <c r="E180" s="37">
        <f>Prices!E180/MAX(Prices!E$2:E180)-1</f>
        <v>-0.19239485991835692</v>
      </c>
      <c r="F180" s="37">
        <f>Prices!F180/MAX(Prices!F$2:F180)-1</f>
        <v>-0.18381117336240282</v>
      </c>
      <c r="G180" s="37">
        <f>Prices!G180/MAX(Prices!G$2:G180)-1</f>
        <v>-0.17668028583060402</v>
      </c>
      <c r="H180" s="1"/>
    </row>
    <row r="181" spans="1:8" x14ac:dyDescent="0.3">
      <c r="A181" s="26">
        <f>Prices!A181</f>
        <v>46203</v>
      </c>
      <c r="B181" s="37">
        <f>Prices!B181/MAX(Prices!B$2:B181)-1</f>
        <v>-0.35821760693710325</v>
      </c>
      <c r="C181" s="37">
        <f>Prices!C181/MAX(Prices!C$2:C181)-1</f>
        <v>-0.4978162986600323</v>
      </c>
      <c r="D181" s="37">
        <f>Prices!D181/MAX(Prices!D$2:D181)-1</f>
        <v>-7.382843639100467E-3</v>
      </c>
      <c r="E181" s="37">
        <f>Prices!E181/MAX(Prices!E$2:E181)-1</f>
        <v>-0.20078443917780309</v>
      </c>
      <c r="F181" s="37">
        <f>Prices!F181/MAX(Prices!F$2:F181)-1</f>
        <v>-0.19270695637057667</v>
      </c>
      <c r="G181" s="37">
        <f>Prices!G181/MAX(Prices!G$2:G181)-1</f>
        <v>-0.18188837122512391</v>
      </c>
      <c r="H181" s="1"/>
    </row>
    <row r="182" spans="1:8" x14ac:dyDescent="0.3">
      <c r="A182" s="26">
        <f>Prices!A182</f>
        <v>46205</v>
      </c>
      <c r="B182" s="37">
        <f>Prices!B182/MAX(Prices!B$2:B182)-1</f>
        <v>-0.35762032225300566</v>
      </c>
      <c r="C182" s="37">
        <f>Prices!C182/MAX(Prices!C$2:C182)-1</f>
        <v>-0.48889219411279528</v>
      </c>
      <c r="D182" s="37">
        <f>Prices!D182/MAX(Prices!D$2:D182)-1</f>
        <v>0</v>
      </c>
      <c r="E182" s="37">
        <f>Prices!E182/MAX(Prices!E$2:E182)-1</f>
        <v>-0.18568364707896656</v>
      </c>
      <c r="F182" s="37">
        <f>Prices!F182/MAX(Prices!F$2:F182)-1</f>
        <v>-0.18247683986368302</v>
      </c>
      <c r="G182" s="37">
        <f>Prices!G182/MAX(Prices!G$2:G182)-1</f>
        <v>-0.17566664492045514</v>
      </c>
      <c r="H182" s="1"/>
    </row>
    <row r="183" spans="1:8" x14ac:dyDescent="0.3">
      <c r="A183" s="26">
        <f>Prices!A183</f>
        <v>46206</v>
      </c>
      <c r="B183" s="37">
        <f>Prices!B183/MAX(Prices!B$2:B183)-1</f>
        <v>-0.35612711054276158</v>
      </c>
      <c r="C183" s="37">
        <f>Prices!C183/MAX(Prices!C$2:C183)-1</f>
        <v>-0.49105561339697401</v>
      </c>
      <c r="D183" s="37">
        <f>Prices!D183/MAX(Prices!D$2:D183)-1</f>
        <v>0</v>
      </c>
      <c r="E183" s="37">
        <f>Prices!E183/MAX(Prices!E$2:E183)-1</f>
        <v>-0.18065080065963179</v>
      </c>
      <c r="F183" s="37">
        <f>Prices!F183/MAX(Prices!F$2:F183)-1</f>
        <v>-0.16601960734605481</v>
      </c>
      <c r="G183" s="37">
        <f>Prices!G183/MAX(Prices!G$2:G183)-1</f>
        <v>-0.16511890990853451</v>
      </c>
      <c r="H183" s="1"/>
    </row>
    <row r="184" spans="1:8" x14ac:dyDescent="0.3">
      <c r="A184" s="26">
        <f>Prices!A184</f>
        <v>46209</v>
      </c>
      <c r="B184" s="37">
        <f>Prices!B184/MAX(Prices!B$2:B184)-1</f>
        <v>-0.32506830696968514</v>
      </c>
      <c r="C184" s="37">
        <f>Prices!C184/MAX(Prices!C$2:C184)-1</f>
        <v>-0.48104979920764768</v>
      </c>
      <c r="D184" s="37">
        <f>Prices!D184/MAX(Prices!D$2:D184)-1</f>
        <v>0</v>
      </c>
      <c r="E184" s="37">
        <f>Prices!E184/MAX(Prices!E$2:E184)-1</f>
        <v>-0.17226122140018563</v>
      </c>
      <c r="F184" s="37">
        <f>Prices!F184/MAX(Prices!F$2:F184)-1</f>
        <v>-0.16290616251570877</v>
      </c>
      <c r="G184" s="37">
        <f>Prices!G184/MAX(Prices!G$2:G184)-1</f>
        <v>-0.15559766616596038</v>
      </c>
      <c r="H184" s="1"/>
    </row>
    <row r="185" spans="1:8" x14ac:dyDescent="0.3">
      <c r="A185" s="26">
        <f>Prices!A185</f>
        <v>46210</v>
      </c>
      <c r="B185" s="37">
        <f>Prices!B185/MAX(Prices!B$2:B185)-1</f>
        <v>-0.31133075923543985</v>
      </c>
      <c r="C185" s="37">
        <f>Prices!C185/MAX(Prices!C$2:C185)-1</f>
        <v>-0.48186108143921469</v>
      </c>
      <c r="D185" s="37">
        <f>Prices!D185/MAX(Prices!D$2:D185)-1</f>
        <v>0</v>
      </c>
      <c r="E185" s="37">
        <f>Prices!E185/MAX(Prices!E$2:E185)-1</f>
        <v>-0.18792071802542998</v>
      </c>
      <c r="F185" s="37">
        <f>Prices!F185/MAX(Prices!F$2:F185)-1</f>
        <v>-0.16424049601442847</v>
      </c>
      <c r="G185" s="37">
        <f>Prices!G185/MAX(Prices!G$2:G185)-1</f>
        <v>-0.1598678791427508</v>
      </c>
      <c r="H185" s="1"/>
    </row>
    <row r="186" spans="1:8" x14ac:dyDescent="0.3">
      <c r="A186" s="26">
        <f>Prices!A186</f>
        <v>46211</v>
      </c>
      <c r="B186" s="37">
        <f>Prices!B186/MAX(Prices!B$2:B186)-1</f>
        <v>-0.28505023313514433</v>
      </c>
      <c r="C186" s="37">
        <f>Prices!C186/MAX(Prices!C$2:C186)-1</f>
        <v>-0.41858106737698941</v>
      </c>
      <c r="D186" s="37">
        <f>Prices!D186/MAX(Prices!D$2:D186)-1</f>
        <v>-9.1324260776254329E-3</v>
      </c>
      <c r="E186" s="37">
        <f>Prices!E186/MAX(Prices!E$2:E186)-1</f>
        <v>-0.17561682781988086</v>
      </c>
      <c r="F186" s="37">
        <f>Prices!F186/MAX(Prices!F$2:F186)-1</f>
        <v>-0.15312082384172154</v>
      </c>
      <c r="G186" s="37">
        <f>Prices!G186/MAX(Prices!G$2:G186)-1</f>
        <v>-0.13474745422191836</v>
      </c>
      <c r="H186" s="1"/>
    </row>
    <row r="187" spans="1:8" x14ac:dyDescent="0.3">
      <c r="A187" s="26">
        <f>Prices!A187</f>
        <v>46212</v>
      </c>
      <c r="B187" s="37">
        <f>Prices!B187/MAX(Prices!B$2:B187)-1</f>
        <v>-0.29878778086938962</v>
      </c>
      <c r="C187" s="37">
        <f>Prices!C187/MAX(Prices!C$2:C187)-1</f>
        <v>-0.41587679327176608</v>
      </c>
      <c r="D187" s="37">
        <f>Prices!D187/MAX(Prices!D$2:D187)-1</f>
        <v>-6.5235360554499744E-3</v>
      </c>
      <c r="E187" s="37">
        <f>Prices!E187/MAX(Prices!E$2:E187)-1</f>
        <v>-0.19127632444512521</v>
      </c>
      <c r="F187" s="37">
        <f>Prices!F187/MAX(Prices!F$2:F187)-1</f>
        <v>-0.15401037950753482</v>
      </c>
      <c r="G187" s="37">
        <f>Prices!G187/MAX(Prices!G$2:G187)-1</f>
        <v>-0.1408001092731046</v>
      </c>
      <c r="H187" s="1"/>
    </row>
    <row r="188" spans="1:8" x14ac:dyDescent="0.3">
      <c r="A188" s="26">
        <f>Prices!A188</f>
        <v>46213</v>
      </c>
      <c r="B188" s="37">
        <f>Prices!B188/MAX(Prices!B$2:B188)-1</f>
        <v>-0.31282397094568382</v>
      </c>
      <c r="C188" s="37">
        <f>Prices!C188/MAX(Prices!C$2:C188)-1</f>
        <v>-0.40397798720878353</v>
      </c>
      <c r="D188" s="37">
        <f>Prices!D188/MAX(Prices!D$2:D188)-1</f>
        <v>0</v>
      </c>
      <c r="E188" s="37">
        <f>Prices!E188/MAX(Prices!E$2:E188)-1</f>
        <v>-0.18736201349902226</v>
      </c>
      <c r="F188" s="37">
        <f>Prices!F188/MAX(Prices!F$2:F188)-1</f>
        <v>-0.14378003665059891</v>
      </c>
      <c r="G188" s="37">
        <f>Prices!G188/MAX(Prices!G$2:G188)-1</f>
        <v>-0.13561779610704772</v>
      </c>
      <c r="H188" s="1"/>
    </row>
    <row r="189" spans="1:8" x14ac:dyDescent="0.3">
      <c r="A189" s="26">
        <f>Prices!A189</f>
        <v>46216</v>
      </c>
      <c r="B189" s="37">
        <f>Prices!B189/MAX(Prices!B$2:B189)-1</f>
        <v>-0.31670632139231836</v>
      </c>
      <c r="C189" s="37">
        <f>Prices!C189/MAX(Prices!C$2:C189)-1</f>
        <v>-0.40127371310356019</v>
      </c>
      <c r="D189" s="37">
        <f>Prices!D189/MAX(Prices!D$2:D189)-1</f>
        <v>0</v>
      </c>
      <c r="E189" s="37">
        <f>Prices!E189/MAX(Prices!E$2:E189)-1</f>
        <v>-0.1901577889718935</v>
      </c>
      <c r="F189" s="37">
        <f>Prices!F189/MAX(Prices!F$2:F189)-1</f>
        <v>-0.13799792482281326</v>
      </c>
      <c r="G189" s="37">
        <f>Prices!G189/MAX(Prices!G$2:G189)-1</f>
        <v>-0.13423759458895901</v>
      </c>
      <c r="H189" s="1"/>
    </row>
    <row r="190" spans="1:8" x14ac:dyDescent="0.3">
      <c r="A190" s="26">
        <f>Prices!A190</f>
        <v>46217</v>
      </c>
      <c r="B190" s="37">
        <f>Prices!B190/MAX(Prices!B$2:B190)-1</f>
        <v>-0.31879681778666014</v>
      </c>
      <c r="C190" s="37">
        <f>Prices!C190/MAX(Prices!C$2:C190)-1</f>
        <v>-0.40073285828251559</v>
      </c>
      <c r="D190" s="37">
        <f>Prices!D190/MAX(Prices!D$2:D190)-1</f>
        <v>-7.8018827489597653E-3</v>
      </c>
      <c r="E190" s="37">
        <f>Prices!E190/MAX(Prices!E$2:E190)-1</f>
        <v>-0.17114268592695392</v>
      </c>
      <c r="F190" s="37">
        <f>Prices!F190/MAX(Prices!F$2:F190)-1</f>
        <v>-0.13488425364242485</v>
      </c>
      <c r="G190" s="37">
        <f>Prices!G190/MAX(Prices!G$2:G190)-1</f>
        <v>-0.12969635487940978</v>
      </c>
      <c r="H190" s="1"/>
    </row>
    <row r="191" spans="1:8" x14ac:dyDescent="0.3">
      <c r="A191" s="26">
        <f>Prices!A191</f>
        <v>46218</v>
      </c>
      <c r="B191" s="37">
        <f>Prices!B191/MAX(Prices!B$2:B191)-1</f>
        <v>-0.29221764934431582</v>
      </c>
      <c r="C191" s="37">
        <f>Prices!C191/MAX(Prices!C$2:C191)-1</f>
        <v>-0.38667063293535431</v>
      </c>
      <c r="D191" s="37">
        <f>Prices!D191/MAX(Prices!D$2:D191)-1</f>
        <v>0</v>
      </c>
      <c r="E191" s="37">
        <f>Prices!E191/MAX(Prices!E$2:E191)-1</f>
        <v>-0.14765231456867101</v>
      </c>
      <c r="F191" s="37">
        <f>Prices!F191/MAX(Prices!F$2:F191)-1</f>
        <v>-0.12509891496843784</v>
      </c>
      <c r="G191" s="37">
        <f>Prices!G191/MAX(Prices!G$2:G191)-1</f>
        <v>-0.11752644615722019</v>
      </c>
      <c r="H191" s="1"/>
    </row>
    <row r="192" spans="1:8" x14ac:dyDescent="0.3">
      <c r="A192" s="26">
        <f>Prices!A192</f>
        <v>46219</v>
      </c>
      <c r="B192" s="37">
        <f>Prices!B192/MAX(Prices!B$2:B192)-1</f>
        <v>-0.27728553224187524</v>
      </c>
      <c r="C192" s="37">
        <f>Prices!C192/MAX(Prices!C$2:C192)-1</f>
        <v>-0.36774071419879117</v>
      </c>
      <c r="D192" s="37">
        <f>Prices!D192/MAX(Prices!D$2:D192)-1</f>
        <v>0</v>
      </c>
      <c r="E192" s="37">
        <f>Prices!E192/MAX(Prices!E$2:E192)-1</f>
        <v>-0.14877085004190271</v>
      </c>
      <c r="F192" s="37">
        <f>Prices!F192/MAX(Prices!F$2:F192)-1</f>
        <v>-0.11887179895770339</v>
      </c>
      <c r="G192" s="37">
        <f>Prices!G192/MAX(Prices!G$2:G192)-1</f>
        <v>-0.10581667254229143</v>
      </c>
      <c r="H192" s="1"/>
    </row>
    <row r="193" spans="1:8" x14ac:dyDescent="0.3">
      <c r="A193" s="26">
        <f>Prices!A193</f>
        <v>46220</v>
      </c>
      <c r="B193" s="37">
        <f>Prices!B193/MAX(Prices!B$2:B193)-1</f>
        <v>-0.31073347455134215</v>
      </c>
      <c r="C193" s="37">
        <f>Prices!C193/MAX(Prices!C$2:C193)-1</f>
        <v>-0.39099747150371167</v>
      </c>
      <c r="D193" s="37">
        <f>Prices!D193/MAX(Prices!D$2:D193)-1</f>
        <v>0</v>
      </c>
      <c r="E193" s="37">
        <f>Prices!E193/MAX(Prices!E$2:E193)-1</f>
        <v>-0.15492335835488547</v>
      </c>
      <c r="F193" s="37">
        <f>Prices!F193/MAX(Prices!F$2:F193)-1</f>
        <v>-0.13043647531335911</v>
      </c>
      <c r="G193" s="37">
        <f>Prices!G193/MAX(Prices!G$2:G193)-1</f>
        <v>-0.12177626803815544</v>
      </c>
      <c r="H193" s="1"/>
    </row>
    <row r="194" spans="1:8" x14ac:dyDescent="0.3">
      <c r="A194" s="26">
        <f>Prices!A194</f>
        <v>46223</v>
      </c>
      <c r="B194" s="37">
        <f>Prices!B194/MAX(Prices!B$2:B194)-1</f>
        <v>-0.28654344484538841</v>
      </c>
      <c r="C194" s="37">
        <f>Prices!C194/MAX(Prices!C$2:C194)-1</f>
        <v>-0.36828156901983589</v>
      </c>
      <c r="D194" s="37">
        <f>Prices!D194/MAX(Prices!D$2:D194)-1</f>
        <v>0</v>
      </c>
      <c r="E194" s="37">
        <f>Prices!E194/MAX(Prices!E$2:E194)-1</f>
        <v>-0.15268628740842194</v>
      </c>
      <c r="F194" s="37">
        <f>Prices!F194/MAX(Prices!F$2:F194)-1</f>
        <v>-0.11620313196026377</v>
      </c>
      <c r="G194" s="37">
        <f>Prices!G194/MAX(Prices!G$2:G194)-1</f>
        <v>-0.1010093653231906</v>
      </c>
      <c r="H194" s="1"/>
    </row>
    <row r="195" spans="1:8" x14ac:dyDescent="0.3">
      <c r="A195" s="26">
        <f>Prices!A195</f>
        <v>46224</v>
      </c>
      <c r="B195" s="37">
        <f>Prices!B195/MAX(Prices!B$2:B195)-1</f>
        <v>-0.29221764934431582</v>
      </c>
      <c r="C195" s="37">
        <f>Prices!C195/MAX(Prices!C$2:C195)-1</f>
        <v>-0.36719985937774657</v>
      </c>
      <c r="D195" s="37">
        <f>Prices!D195/MAX(Prices!D$2:D195)-1</f>
        <v>-8.2383747661325391E-3</v>
      </c>
      <c r="E195" s="37">
        <f>Prices!E195/MAX(Prices!E$2:E195)-1</f>
        <v>-0.13926386172964111</v>
      </c>
      <c r="F195" s="37">
        <f>Prices!F195/MAX(Prices!F$2:F195)-1</f>
        <v>-0.1113105757982914</v>
      </c>
      <c r="G195" s="37">
        <f>Prices!G195/MAX(Prices!G$2:G195)-1</f>
        <v>-0.10139415027192877</v>
      </c>
      <c r="H195" s="1"/>
    </row>
    <row r="196" spans="1:8" x14ac:dyDescent="0.3">
      <c r="A196" s="26">
        <f>Prices!A196</f>
        <v>46225</v>
      </c>
      <c r="B196" s="37">
        <f>Prices!B196/MAX(Prices!B$2:B196)-1</f>
        <v>-0.34209092046646739</v>
      </c>
      <c r="C196" s="37">
        <f>Prices!C196/MAX(Prices!C$2:C196)-1</f>
        <v>-0.38558892329326511</v>
      </c>
      <c r="D196" s="37">
        <f>Prices!D196/MAX(Prices!D$2:D196)-1</f>
        <v>0</v>
      </c>
      <c r="E196" s="37">
        <f>Prices!E196/MAX(Prices!E$2:E196)-1</f>
        <v>-0.13982256625604883</v>
      </c>
      <c r="F196" s="37">
        <f>Prices!F196/MAX(Prices!F$2:F196)-1</f>
        <v>-0.10908646028371627</v>
      </c>
      <c r="G196" s="37">
        <f>Prices!G196/MAX(Prices!G$2:G196)-1</f>
        <v>-0.10996208972412569</v>
      </c>
      <c r="H196" s="1"/>
    </row>
    <row r="197" spans="1:8" x14ac:dyDescent="0.3">
      <c r="A197" s="26">
        <f>Prices!A197</f>
        <v>46226</v>
      </c>
      <c r="B197" s="37">
        <f>Prices!B197/MAX(Prices!B$2:B197)-1</f>
        <v>-0.33522214659934479</v>
      </c>
      <c r="C197" s="37">
        <f>Prices!C197/MAX(Prices!C$2:C197)-1</f>
        <v>-0.37855781061968441</v>
      </c>
      <c r="D197" s="37">
        <f>Prices!D197/MAX(Prices!D$2:D197)-1</f>
        <v>0</v>
      </c>
      <c r="E197" s="37">
        <f>Prices!E197/MAX(Prices!E$2:E197)-1</f>
        <v>-0.12080746321110913</v>
      </c>
      <c r="F197" s="37">
        <f>Prices!F197/MAX(Prices!F$2:F197)-1</f>
        <v>-9.6632454612289642E-2</v>
      </c>
      <c r="G197" s="37">
        <f>Prices!G197/MAX(Prices!G$2:G197)-1</f>
        <v>-9.8586614950013529E-2</v>
      </c>
      <c r="H197" s="1"/>
    </row>
    <row r="198" spans="1:8" x14ac:dyDescent="0.3">
      <c r="A198" s="26">
        <f>Prices!A198</f>
        <v>46227</v>
      </c>
      <c r="B198" s="37">
        <f>Prices!B198/MAX(Prices!B$2:B198)-1</f>
        <v>-0.35105019072793175</v>
      </c>
      <c r="C198" s="37">
        <f>Prices!C198/MAX(Prices!C$2:C198)-1</f>
        <v>-0.40505969685087284</v>
      </c>
      <c r="D198" s="37">
        <f>Prices!D198/MAX(Prices!D$2:D198)-1</f>
        <v>-6.1910681863708295E-4</v>
      </c>
      <c r="E198" s="37">
        <f>Prices!E198/MAX(Prices!E$2:E198)-1</f>
        <v>-0.12640014057726778</v>
      </c>
      <c r="F198" s="37">
        <f>Prices!F198/MAX(Prices!F$2:F198)-1</f>
        <v>-0.1126449092970111</v>
      </c>
      <c r="G198" s="37">
        <f>Prices!G198/MAX(Prices!G$2:G198)-1</f>
        <v>-0.10743884625256028</v>
      </c>
      <c r="H198" s="1"/>
    </row>
    <row r="199" spans="1:8" x14ac:dyDescent="0.3">
      <c r="A199" s="26">
        <f>Prices!A199</f>
        <v>46230</v>
      </c>
      <c r="B199" s="37">
        <f>Prices!B199/MAX(Prices!B$2:B199)-1</f>
        <v>-0.33850721236188164</v>
      </c>
      <c r="C199" s="37">
        <f>Prices!C199/MAX(Prices!C$2:C199)-1</f>
        <v>-0.39965114864042628</v>
      </c>
      <c r="D199" s="37">
        <f>Prices!D199/MAX(Prices!D$2:D199)-1</f>
        <v>0</v>
      </c>
      <c r="E199" s="37">
        <f>Prices!E199/MAX(Prices!E$2:E199)-1</f>
        <v>-0.12807738057690754</v>
      </c>
      <c r="F199" s="37">
        <f>Prices!F199/MAX(Prices!F$2:F199)-1</f>
        <v>-0.10953123811662291</v>
      </c>
      <c r="G199" s="37">
        <f>Prices!G199/MAX(Prices!G$2:G199)-1</f>
        <v>-9.8716434327238201E-2</v>
      </c>
      <c r="H199" s="1"/>
    </row>
    <row r="200" spans="1:8" x14ac:dyDescent="0.3">
      <c r="A200" s="26">
        <f>Prices!A200</f>
        <v>46231</v>
      </c>
      <c r="B200" s="37">
        <f>Prices!B200/MAX(Prices!B$2:B200)-1</f>
        <v>-0.33223572317885663</v>
      </c>
      <c r="C200" s="37">
        <f>Prices!C200/MAX(Prices!C$2:C200)-1</f>
        <v>-0.39424260042997961</v>
      </c>
      <c r="D200" s="37">
        <f>Prices!D200/MAX(Prices!D$2:D200)-1</f>
        <v>-4.9139215019402549E-3</v>
      </c>
      <c r="E200" s="37">
        <f>Prices!E200/MAX(Prices!E$2:E200)-1</f>
        <v>-0.12863721152373131</v>
      </c>
      <c r="F200" s="37">
        <f>Prices!F200/MAX(Prices!F$2:F200)-1</f>
        <v>-0.10152501077426213</v>
      </c>
      <c r="G200" s="37">
        <f>Prices!G200/MAX(Prices!G$2:G200)-1</f>
        <v>-9.5009713534315088E-2</v>
      </c>
      <c r="H200" s="1"/>
    </row>
    <row r="201" spans="1:8" x14ac:dyDescent="0.3">
      <c r="A201" s="26">
        <f>Prices!A201</f>
        <v>46232</v>
      </c>
      <c r="B201" s="37">
        <f>Prices!B201/MAX(Prices!B$2:B201)-1</f>
        <v>-0.30356605834217076</v>
      </c>
      <c r="C201" s="37">
        <f>Prices!C201/MAX(Prices!C$2:C201)-1</f>
        <v>-0.38558892329326511</v>
      </c>
      <c r="D201" s="37">
        <f>Prices!D201/MAX(Prices!D$2:D201)-1</f>
        <v>0</v>
      </c>
      <c r="E201" s="37">
        <f>Prices!E201/MAX(Prices!E$2:E201)-1</f>
        <v>-0.12584030963044401</v>
      </c>
      <c r="F201" s="37">
        <f>Prices!F201/MAX(Prices!F$2:F201)-1</f>
        <v>-9.3074231949036967E-2</v>
      </c>
      <c r="G201" s="37">
        <f>Prices!G201/MAX(Prices!G$2:G201)-1</f>
        <v>-7.7236948087888391E-2</v>
      </c>
      <c r="H201" s="1"/>
    </row>
    <row r="202" spans="1:8" x14ac:dyDescent="0.3">
      <c r="A202" s="26">
        <f>Prices!A202</f>
        <v>46233</v>
      </c>
      <c r="B202" s="37">
        <f>Prices!B202/MAX(Prices!B$2:B202)-1</f>
        <v>-0.29550271510685278</v>
      </c>
      <c r="C202" s="37">
        <f>Prices!C202/MAX(Prices!C$2:C202)-1</f>
        <v>-0.39532431007206892</v>
      </c>
      <c r="D202" s="37">
        <f>Prices!D202/MAX(Prices!D$2:D202)-1</f>
        <v>-1.2141557133348302E-3</v>
      </c>
      <c r="E202" s="37">
        <f>Prices!E202/MAX(Prices!E$2:E202)-1</f>
        <v>-0.10906227753196773</v>
      </c>
      <c r="F202" s="37">
        <f>Prices!F202/MAX(Prices!F$2:F202)-1</f>
        <v>-9.44083390977144E-2</v>
      </c>
      <c r="G202" s="37">
        <f>Prices!G202/MAX(Prices!G$2:G202)-1</f>
        <v>-7.5414835803337632E-2</v>
      </c>
      <c r="H202" s="1"/>
    </row>
    <row r="203" spans="1:8" x14ac:dyDescent="0.3">
      <c r="A203" s="26">
        <f>Prices!A203</f>
        <v>46234</v>
      </c>
      <c r="B203" s="37">
        <f>Prices!B203/MAX(Prices!B$2:B203)-1</f>
        <v>-0.29042579529202295</v>
      </c>
      <c r="C203" s="37">
        <f>Prices!C203/MAX(Prices!C$2:C203)-1</f>
        <v>-0.36719985937774657</v>
      </c>
      <c r="D203" s="37">
        <f>Prices!D203/MAX(Prices!D$2:D203)-1</f>
        <v>0</v>
      </c>
      <c r="E203" s="37">
        <f>Prices!E203/MAX(Prices!E$2:E203)-1</f>
        <v>-0.11353641942489467</v>
      </c>
      <c r="F203" s="37">
        <f>Prices!F203/MAX(Prices!F$2:F203)-1</f>
        <v>-9.1294894267368365E-2</v>
      </c>
      <c r="G203" s="37">
        <f>Prices!G203/MAX(Prices!G$2:G203)-1</f>
        <v>-7.4501337592244199E-2</v>
      </c>
      <c r="H203" s="1"/>
    </row>
    <row r="204" spans="1:8" x14ac:dyDescent="0.3">
      <c r="A204" s="26">
        <f>Prices!A204</f>
        <v>46237</v>
      </c>
      <c r="B204" s="37">
        <f>Prices!B204/MAX(Prices!B$2:B204)-1</f>
        <v>-0.26772897729631329</v>
      </c>
      <c r="C204" s="37">
        <f>Prices!C204/MAX(Prices!C$2:C204)-1</f>
        <v>-0.32284976405208432</v>
      </c>
      <c r="D204" s="37">
        <f>Prices!D204/MAX(Prices!D$2:D204)-1</f>
        <v>0</v>
      </c>
      <c r="E204" s="37">
        <f>Prices!E204/MAX(Prices!E$2:E204)-1</f>
        <v>-0.12136616773751685</v>
      </c>
      <c r="F204" s="37">
        <f>Prices!F204/MAX(Prices!F$2:F204)-1</f>
        <v>-9.0405338601555196E-2</v>
      </c>
      <c r="G204" s="37">
        <f>Prices!G204/MAX(Prices!G$2:G204)-1</f>
        <v>-7.0033005972399365E-2</v>
      </c>
      <c r="H204" s="1"/>
    </row>
    <row r="205" spans="1:8" x14ac:dyDescent="0.3">
      <c r="A205" s="26">
        <f>Prices!A205</f>
        <v>46238</v>
      </c>
      <c r="B205" s="37">
        <f>Prices!B205/MAX(Prices!B$2:B205)-1</f>
        <v>-0.27190997008499662</v>
      </c>
      <c r="C205" s="37">
        <f>Prices!C205/MAX(Prices!C$2:C205)-1</f>
        <v>-0.31960463512581638</v>
      </c>
      <c r="D205" s="37">
        <f>Prices!D205/MAX(Prices!D$2:D205)-1</f>
        <v>-1.0107364611319336E-2</v>
      </c>
      <c r="E205" s="37">
        <f>Prices!E205/MAX(Prices!E$2:E205)-1</f>
        <v>-0.12695884510367572</v>
      </c>
      <c r="F205" s="37">
        <f>Prices!F205/MAX(Prices!F$2:F205)-1</f>
        <v>-9.2629227766088063E-2</v>
      </c>
      <c r="G205" s="37">
        <f>Prices!G205/MAX(Prices!G$2:G205)-1</f>
        <v>-7.5627971560646268E-2</v>
      </c>
      <c r="H205" s="1"/>
    </row>
    <row r="206" spans="1:8" x14ac:dyDescent="0.3">
      <c r="A206" s="26">
        <f>Prices!A206</f>
        <v>46239</v>
      </c>
      <c r="B206" s="37">
        <f>Prices!B206/MAX(Prices!B$2:B206)-1</f>
        <v>-0.26504119621787392</v>
      </c>
      <c r="C206" s="37">
        <f>Prices!C206/MAX(Prices!C$2:C206)-1</f>
        <v>-0.30716497424178923</v>
      </c>
      <c r="D206" s="37">
        <f>Prices!D206/MAX(Prices!D$2:D206)-1</f>
        <v>-3.6266548136040244E-2</v>
      </c>
      <c r="E206" s="37">
        <f>Prices!E206/MAX(Prices!E$2:E206)-1</f>
        <v>-0.13031445152337096</v>
      </c>
      <c r="F206" s="37">
        <f>Prices!F206/MAX(Prices!F$2:F206)-1</f>
        <v>-7.7951332930128459E-2</v>
      </c>
      <c r="G206" s="37">
        <f>Prices!G206/MAX(Prices!G$2:G206)-1</f>
        <v>-7.3378965623887571E-2</v>
      </c>
      <c r="H206" s="1"/>
    </row>
    <row r="207" spans="1:8" x14ac:dyDescent="0.3">
      <c r="A207" s="26">
        <f>Prices!A207</f>
        <v>46240</v>
      </c>
      <c r="B207" s="37">
        <f>Prices!B207/MAX(Prices!B$2:B207)-1</f>
        <v>-0.28445294845104674</v>
      </c>
      <c r="C207" s="37">
        <f>Prices!C207/MAX(Prices!C$2:C207)-1</f>
        <v>-0.32717660262044157</v>
      </c>
      <c r="D207" s="37">
        <f>Prices!D207/MAX(Prices!D$2:D207)-1</f>
        <v>-4.8157249037984129E-2</v>
      </c>
      <c r="E207" s="37">
        <f>Prices!E207/MAX(Prices!E$2:E207)-1</f>
        <v>-0.1817693361328635</v>
      </c>
      <c r="F207" s="37">
        <f>Prices!F207/MAX(Prices!F$2:F207)-1</f>
        <v>-8.8181449437022219E-2</v>
      </c>
      <c r="G207" s="37">
        <f>Prices!G207/MAX(Prices!G$2:G207)-1</f>
        <v>-8.7163997163653417E-2</v>
      </c>
      <c r="H207" s="1"/>
    </row>
    <row r="208" spans="1:8" x14ac:dyDescent="0.3">
      <c r="A208" s="26">
        <f>Prices!A208</f>
        <v>46241</v>
      </c>
      <c r="B208" s="37">
        <f>Prices!B208/MAX(Prices!B$2:B208)-1</f>
        <v>-0.28505023313514433</v>
      </c>
      <c r="C208" s="37">
        <f>Prices!C208/MAX(Prices!C$2:C208)-1</f>
        <v>-0.33042173154670962</v>
      </c>
      <c r="D208" s="37">
        <f>Prices!D208/MAX(Prices!D$2:D208)-1</f>
        <v>-4.1617154440507398E-2</v>
      </c>
      <c r="E208" s="37">
        <f>Prices!E208/MAX(Prices!E$2:E208)-1</f>
        <v>-0.17058285498012993</v>
      </c>
      <c r="F208" s="37">
        <f>Prices!F208/MAX(Prices!F$2:F208)-1</f>
        <v>-8.462300042372739E-2</v>
      </c>
      <c r="G208" s="37">
        <f>Prices!G208/MAX(Prices!G$2:G208)-1</f>
        <v>-8.2238741238595536E-2</v>
      </c>
      <c r="H208" s="1"/>
    </row>
    <row r="209" spans="1:8" x14ac:dyDescent="0.3">
      <c r="A209" s="26">
        <f>Prices!A209</f>
        <v>46244</v>
      </c>
      <c r="B209" s="37">
        <f>Prices!B209/MAX(Prices!B$2:B209)-1</f>
        <v>-0.28116788268850978</v>
      </c>
      <c r="C209" s="37">
        <f>Prices!C209/MAX(Prices!C$2:C209)-1</f>
        <v>-0.31473694173641442</v>
      </c>
      <c r="D209" s="37">
        <f>Prices!D209/MAX(Prices!D$2:D209)-1</f>
        <v>-3.3888168982614153E-2</v>
      </c>
      <c r="E209" s="37">
        <f>Prices!E209/MAX(Prices!E$2:E209)-1</f>
        <v>-0.16666854403402676</v>
      </c>
      <c r="F209" s="37">
        <f>Prices!F209/MAX(Prices!F$2:F209)-1</f>
        <v>-7.3058550418113932E-2</v>
      </c>
      <c r="G209" s="37">
        <f>Prices!G209/MAX(Prices!G$2:G209)-1</f>
        <v>-7.2604157613939013E-2</v>
      </c>
      <c r="H209" s="1"/>
    </row>
    <row r="210" spans="1:8" x14ac:dyDescent="0.3">
      <c r="A210" s="26">
        <f>Prices!A210</f>
        <v>46245</v>
      </c>
      <c r="B210" s="37">
        <f>Prices!B210/MAX(Prices!B$2:B210)-1</f>
        <v>-0.29699592681709674</v>
      </c>
      <c r="C210" s="37">
        <f>Prices!C210/MAX(Prices!C$2:C210)-1</f>
        <v>-0.31635950619954845</v>
      </c>
      <c r="D210" s="37">
        <f>Prices!D210/MAX(Prices!D$2:D210)-1</f>
        <v>-3.864432985687305E-2</v>
      </c>
      <c r="E210" s="37">
        <f>Prices!E210/MAX(Prices!E$2:E210)-1</f>
        <v>-0.18512494255255874</v>
      </c>
      <c r="F210" s="37">
        <f>Prices!F210/MAX(Prices!F$2:F210)-1</f>
        <v>-9.841156594391598E-2</v>
      </c>
      <c r="G210" s="37">
        <f>Prices!G210/MAX(Prices!G$2:G210)-1</f>
        <v>-8.2782539549769441E-2</v>
      </c>
      <c r="H210" s="1"/>
    </row>
    <row r="211" spans="1:8" x14ac:dyDescent="0.3">
      <c r="A211" s="26">
        <f>Prices!A211</f>
        <v>46246</v>
      </c>
      <c r="B211" s="37">
        <f>Prices!B211/MAX(Prices!B$2:B211)-1</f>
        <v>-0.31073347455134215</v>
      </c>
      <c r="C211" s="37">
        <f>Prices!C211/MAX(Prices!C$2:C211)-1</f>
        <v>-0.3369119893992456</v>
      </c>
      <c r="D211" s="37">
        <f>Prices!D211/MAX(Prices!D$2:D211)-1</f>
        <v>-4.0428263580090884E-2</v>
      </c>
      <c r="E211" s="37">
        <f>Prices!E211/MAX(Prices!E$2:E211)-1</f>
        <v>-0.18736201349902226</v>
      </c>
      <c r="F211" s="37">
        <f>Prices!F211/MAX(Prices!F$2:F211)-1</f>
        <v>-9.5742898946476362E-2</v>
      </c>
      <c r="G211" s="37">
        <f>Prices!G211/MAX(Prices!G$2:G211)-1</f>
        <v>-9.0385861818850444E-2</v>
      </c>
      <c r="H211" s="1"/>
    </row>
    <row r="212" spans="1:8" x14ac:dyDescent="0.3">
      <c r="A212" s="26">
        <f>Prices!A212</f>
        <v>46247</v>
      </c>
      <c r="B212" s="37">
        <f>Prices!B212/MAX(Prices!B$2:B212)-1</f>
        <v>-0.3414936357823698</v>
      </c>
      <c r="C212" s="37">
        <f>Prices!C212/MAX(Prices!C$2:C212)-1</f>
        <v>-0.34069797314655814</v>
      </c>
      <c r="D212" s="37">
        <f>Prices!D212/MAX(Prices!D$2:D212)-1</f>
        <v>-2.6184873126227415E-2</v>
      </c>
      <c r="E212" s="37">
        <f>Prices!E212/MAX(Prices!E$2:E212)-1</f>
        <v>-0.18848054897225397</v>
      </c>
      <c r="F212" s="37">
        <f>Prices!F212/MAX(Prices!F$2:F212)-1</f>
        <v>-9.2184449933181534E-2</v>
      </c>
      <c r="G212" s="37">
        <f>Prices!G212/MAX(Prices!G$2:G212)-1</f>
        <v>-9.1946930176118102E-2</v>
      </c>
      <c r="H212" s="1"/>
    </row>
    <row r="213" spans="1:8" x14ac:dyDescent="0.3">
      <c r="A213" s="26">
        <f>Prices!A213</f>
        <v>46248</v>
      </c>
      <c r="B213" s="37">
        <f>Prices!B213/MAX(Prices!B$2:B213)-1</f>
        <v>-0.34298684749261388</v>
      </c>
      <c r="C213" s="37">
        <f>Prices!C213/MAX(Prices!C$2:C213)-1</f>
        <v>-0.35151506956745138</v>
      </c>
      <c r="D213" s="37">
        <f>Prices!D213/MAX(Prices!D$2:D213)-1</f>
        <v>-3.9328390176057382E-2</v>
      </c>
      <c r="E213" s="37">
        <f>Prices!E213/MAX(Prices!E$2:E213)-1</f>
        <v>-0.2125296248569446</v>
      </c>
      <c r="F213" s="37">
        <f>Prices!F213/MAX(Prices!F$2:F213)-1</f>
        <v>-9.6187676779383002E-2</v>
      </c>
      <c r="G213" s="37">
        <f>Prices!G213/MAX(Prices!G$2:G213)-1</f>
        <v>-0.10194619011842565</v>
      </c>
      <c r="H213" s="1"/>
    </row>
    <row r="214" spans="1:8" x14ac:dyDescent="0.3">
      <c r="A214" s="26">
        <f>Prices!A214</f>
        <v>46251</v>
      </c>
      <c r="B214" s="37">
        <f>Prices!B214/MAX(Prices!B$2:B214)-1</f>
        <v>-0.33343029254705192</v>
      </c>
      <c r="C214" s="37">
        <f>Prices!C214/MAX(Prices!C$2:C214)-1</f>
        <v>-0.33907540868342423</v>
      </c>
      <c r="D214" s="37">
        <f>Prices!D214/MAX(Prices!D$2:D214)-1</f>
        <v>-2.3197710160356877E-2</v>
      </c>
      <c r="E214" s="37">
        <f>Prices!E214/MAX(Prices!E$2:E214)-1</f>
        <v>-0.17897243423957609</v>
      </c>
      <c r="F214" s="37">
        <f>Prices!F214/MAX(Prices!F$2:F214)-1</f>
        <v>-9.6632454612289642E-2</v>
      </c>
      <c r="G214" s="37">
        <f>Prices!G214/MAX(Prices!G$2:G214)-1</f>
        <v>-8.9918879622590486E-2</v>
      </c>
      <c r="H214" s="1"/>
    </row>
    <row r="215" spans="1:8" x14ac:dyDescent="0.3">
      <c r="A215" s="26">
        <f>Prices!A215</f>
        <v>46252</v>
      </c>
      <c r="B215" s="37">
        <f>Prices!B215/MAX(Prices!B$2:B215)-1</f>
        <v>-0.33940313938802813</v>
      </c>
      <c r="C215" s="37">
        <f>Prices!C215/MAX(Prices!C$2:C215)-1</f>
        <v>-0.31473694173641442</v>
      </c>
      <c r="D215" s="37">
        <f>Prices!D215/MAX(Prices!D$2:D215)-1</f>
        <v>-3.156176646479425E-2</v>
      </c>
      <c r="E215" s="37">
        <f>Prices!E215/MAX(Prices!E$2:E215)-1</f>
        <v>-0.18848054897225397</v>
      </c>
      <c r="F215" s="37">
        <f>Prices!F215/MAX(Prices!F$2:F215)-1</f>
        <v>-9.9301121609729148E-2</v>
      </c>
      <c r="G215" s="37">
        <f>Prices!G215/MAX(Prices!G$2:G215)-1</f>
        <v>-8.9278152989912152E-2</v>
      </c>
      <c r="H215" s="1"/>
    </row>
    <row r="216" spans="1:8" x14ac:dyDescent="0.3">
      <c r="A216" s="26">
        <f>Prices!A216</f>
        <v>46253</v>
      </c>
      <c r="B216" s="37">
        <f>Prices!B216/MAX(Prices!B$2:B216)-1</f>
        <v>-0.33223572317885663</v>
      </c>
      <c r="C216" s="37">
        <f>Prices!C216/MAX(Prices!C$2:C216)-1</f>
        <v>-0.32825831226253099</v>
      </c>
      <c r="D216" s="37">
        <f>Prices!D216/MAX(Prices!D$2:D216)-1</f>
        <v>-3.6938659803361196E-2</v>
      </c>
      <c r="E216" s="37">
        <f>Prices!E216/MAX(Prices!E$2:E216)-1</f>
        <v>-0.18344657613250304</v>
      </c>
      <c r="F216" s="37">
        <f>Prices!F216/MAX(Prices!F$2:F216)-1</f>
        <v>-7.7951332930128459E-2</v>
      </c>
      <c r="G216" s="37">
        <f>Prices!G216/MAX(Prices!G$2:G216)-1</f>
        <v>-8.8422896153601549E-2</v>
      </c>
      <c r="H216" s="1"/>
    </row>
    <row r="217" spans="1:8" x14ac:dyDescent="0.3">
      <c r="A217" s="26">
        <f>Prices!A217</f>
        <v>46254</v>
      </c>
      <c r="B217" s="37">
        <f>Prices!B217/MAX(Prices!B$2:B217)-1</f>
        <v>-0.32596423399583163</v>
      </c>
      <c r="C217" s="37">
        <f>Prices!C217/MAX(Prices!C$2:C217)-1</f>
        <v>-0.31744121584163776</v>
      </c>
      <c r="D217" s="37">
        <f>Prices!D217/MAX(Prices!D$2:D217)-1</f>
        <v>-4.2315553141927809E-2</v>
      </c>
      <c r="E217" s="37">
        <f>Prices!E217/MAX(Prices!E$2:E217)-1</f>
        <v>-0.18624347802579044</v>
      </c>
      <c r="F217" s="37">
        <f>Prices!F217/MAX(Prices!F$2:F217)-1</f>
        <v>-7.0834661253580955E-2</v>
      </c>
      <c r="G217" s="37">
        <f>Prices!G217/MAX(Prices!G$2:G217)-1</f>
        <v>-8.1149610725291699E-2</v>
      </c>
      <c r="H217" s="1"/>
    </row>
    <row r="218" spans="1:8" x14ac:dyDescent="0.3">
      <c r="A218" s="26">
        <f>Prices!A218</f>
        <v>46255</v>
      </c>
      <c r="B218" s="37">
        <f>Prices!B218/MAX(Prices!B$2:B218)-1</f>
        <v>-0.31760224841846485</v>
      </c>
      <c r="C218" s="37">
        <f>Prices!C218/MAX(Prices!C$2:C218)-1</f>
        <v>-0.33474857011506687</v>
      </c>
      <c r="D218" s="37">
        <f>Prices!D218/MAX(Prices!D$2:D218)-1</f>
        <v>-2.6782305719401434E-2</v>
      </c>
      <c r="E218" s="37">
        <f>Prices!E218/MAX(Prices!E$2:E218)-1</f>
        <v>-0.15939750024781241</v>
      </c>
      <c r="F218" s="37">
        <f>Prices!F218/MAX(Prices!F$2:F218)-1</f>
        <v>-6.371798957703334E-2</v>
      </c>
      <c r="G218" s="37">
        <f>Prices!G218/MAX(Prices!G$2:G218)-1</f>
        <v>-7.0030842792846104E-2</v>
      </c>
      <c r="H218" s="1"/>
    </row>
    <row r="219" spans="1:8" x14ac:dyDescent="0.3">
      <c r="A219" s="26">
        <f>Prices!A219</f>
        <v>46258</v>
      </c>
      <c r="B219" s="37">
        <f>Prices!B219/MAX(Prices!B$2:B219)-1</f>
        <v>-0.34298684749261388</v>
      </c>
      <c r="C219" s="37">
        <f>Prices!C219/MAX(Prices!C$2:C219)-1</f>
        <v>-0.39153832632475627</v>
      </c>
      <c r="D219" s="37">
        <f>Prices!D219/MAX(Prices!D$2:D219)-1</f>
        <v>-3.5146362023838806E-2</v>
      </c>
      <c r="E219" s="37">
        <f>Prices!E219/MAX(Prices!E$2:E219)-1</f>
        <v>-0.16555000856079505</v>
      </c>
      <c r="F219" s="37">
        <f>Prices!F219/MAX(Prices!F$2:F219)-1</f>
        <v>-7.0834661253580955E-2</v>
      </c>
      <c r="G219" s="37">
        <f>Prices!G219/MAX(Prices!G$2:G219)-1</f>
        <v>-8.7626996249132505E-2</v>
      </c>
      <c r="H219" s="1"/>
    </row>
    <row r="220" spans="1:8" x14ac:dyDescent="0.3">
      <c r="A220" s="26">
        <f>Prices!A220</f>
        <v>46259</v>
      </c>
      <c r="B220" s="37">
        <f>Prices!B220/MAX(Prices!B$2:B220)-1</f>
        <v>-0.34000042407212572</v>
      </c>
      <c r="C220" s="37">
        <f>Prices!C220/MAX(Prices!C$2:C220)-1</f>
        <v>-0.38234379436699706</v>
      </c>
      <c r="D220" s="37">
        <f>Prices!D220/MAX(Prices!D$2:D220)-1</f>
        <v>-2.4990007939879266E-2</v>
      </c>
      <c r="E220" s="37">
        <f>Prices!E220/MAX(Prices!E$2:E220)-1</f>
        <v>-0.16834578403366651</v>
      </c>
      <c r="F220" s="37">
        <f>Prices!F220/MAX(Prices!F$2:F220)-1</f>
        <v>-7.0834661253580955E-2</v>
      </c>
      <c r="G220" s="37">
        <f>Prices!G220/MAX(Prices!G$2:G220)-1</f>
        <v>-8.7849767988087635E-2</v>
      </c>
      <c r="H220" s="1"/>
    </row>
    <row r="221" spans="1:8" x14ac:dyDescent="0.3">
      <c r="A221" s="26">
        <f>Prices!A221</f>
        <v>46260</v>
      </c>
      <c r="B221" s="37">
        <f>Prices!B221/MAX(Prices!B$2:B221)-1</f>
        <v>-0.334923504257296</v>
      </c>
      <c r="C221" s="37">
        <f>Prices!C221/MAX(Prices!C$2:C221)-1</f>
        <v>-0.3693632786619252</v>
      </c>
      <c r="D221" s="37">
        <f>Prices!D221/MAX(Prices!D$2:D221)-1</f>
        <v>-3.3951496837490658E-2</v>
      </c>
      <c r="E221" s="37">
        <f>Prices!E221/MAX(Prices!E$2:E221)-1</f>
        <v>-0.17002415045372221</v>
      </c>
      <c r="F221" s="37">
        <f>Prices!F221/MAX(Prices!F$2:F221)-1</f>
        <v>-6.4162767409939869E-2</v>
      </c>
      <c r="G221" s="37">
        <f>Prices!G221/MAX(Prices!G$2:G221)-1</f>
        <v>-8.2777161992664938E-2</v>
      </c>
      <c r="H221" s="1"/>
    </row>
    <row r="222" spans="1:8" x14ac:dyDescent="0.3">
      <c r="A222" s="26">
        <f>Prices!A222</f>
        <v>46261</v>
      </c>
      <c r="B222" s="37">
        <f>Prices!B222/MAX(Prices!B$2:B222)-1</f>
        <v>-0.33133979615271014</v>
      </c>
      <c r="C222" s="37">
        <f>Prices!C222/MAX(Prices!C$2:C222)-1</f>
        <v>-0.37531268169341647</v>
      </c>
      <c r="D222" s="37">
        <f>Prices!D222/MAX(Prices!D$2:D222)-1</f>
        <v>-3.3354064244316417E-2</v>
      </c>
      <c r="E222" s="37">
        <f>Prices!E222/MAX(Prices!E$2:E222)-1</f>
        <v>-0.16499017761397128</v>
      </c>
      <c r="F222" s="37">
        <f>Prices!F222/MAX(Prices!F$2:F222)-1</f>
        <v>-6.1049322579593723E-2</v>
      </c>
      <c r="G222" s="37">
        <f>Prices!G222/MAX(Prices!G$2:G222)-1</f>
        <v>-8.5896091480656023E-2</v>
      </c>
      <c r="H222" s="1"/>
    </row>
    <row r="223" spans="1:8" x14ac:dyDescent="0.3">
      <c r="A223" s="26">
        <f>Prices!A223</f>
        <v>46262</v>
      </c>
      <c r="B223" s="37">
        <f>Prices!B223/MAX(Prices!B$2:B223)-1</f>
        <v>-0.32029002949690411</v>
      </c>
      <c r="C223" s="37">
        <f>Prices!C223/MAX(Prices!C$2:C223)-1</f>
        <v>-0.38396635883013108</v>
      </c>
      <c r="D223" s="37">
        <f>Prices!D223/MAX(Prices!D$2:D223)-1</f>
        <v>-3.5743794617012825E-2</v>
      </c>
      <c r="E223" s="37">
        <f>Prices!E223/MAX(Prices!E$2:E223)-1</f>
        <v>-0.15548318930170935</v>
      </c>
      <c r="F223" s="37">
        <f>Prices!F223/MAX(Prices!F$2:F223)-1</f>
        <v>-5.7046095733392255E-2</v>
      </c>
      <c r="G223" s="37">
        <f>Prices!G223/MAX(Prices!G$2:G223)-1</f>
        <v>-8.5214997414660765E-2</v>
      </c>
      <c r="H223" s="1"/>
    </row>
    <row r="224" spans="1:8" x14ac:dyDescent="0.3">
      <c r="A224" s="26">
        <f>Prices!A224</f>
        <v>46265</v>
      </c>
      <c r="B224" s="37">
        <f>Prices!B224/MAX(Prices!B$2:B224)-1</f>
        <v>-0.32357509525944106</v>
      </c>
      <c r="C224" s="37">
        <f>Prices!C224/MAX(Prices!C$2:C224)-1</f>
        <v>-0.38234379436699706</v>
      </c>
      <c r="D224" s="37">
        <f>Prices!D224/MAX(Prices!D$2:D224)-1</f>
        <v>-3.8133524989709233E-2</v>
      </c>
      <c r="E224" s="37">
        <f>Prices!E224/MAX(Prices!E$2:E224)-1</f>
        <v>-0.14709361004226329</v>
      </c>
      <c r="F224" s="37">
        <f>Prices!F224/MAX(Prices!F$2:F224)-1</f>
        <v>-5.437742873595286E-2</v>
      </c>
      <c r="G224" s="37">
        <f>Prices!G224/MAX(Prices!G$2:G224)-1</f>
        <v>-8.5851397688232578E-2</v>
      </c>
      <c r="H224" s="1"/>
    </row>
    <row r="225" spans="1:8" x14ac:dyDescent="0.3">
      <c r="A225" s="26">
        <f>Prices!A225</f>
        <v>46266</v>
      </c>
      <c r="B225" s="37">
        <f>Prices!B225/MAX(Prices!B$2:B225)-1</f>
        <v>-0.34089635109827221</v>
      </c>
      <c r="C225" s="37">
        <f>Prices!C225/MAX(Prices!C$2:C225)-1</f>
        <v>-0.40289627756669422</v>
      </c>
      <c r="D225" s="37">
        <f>Prices!D225/MAX(Prices!D$2:D225)-1</f>
        <v>-4.0523255362405641E-2</v>
      </c>
      <c r="E225" s="37">
        <f>Prices!E225/MAX(Prices!E$2:E225)-1</f>
        <v>-0.15044921646195841</v>
      </c>
      <c r="F225" s="37">
        <f>Prices!F225/MAX(Prices!F$2:F225)-1</f>
        <v>-8.1924228870676297E-2</v>
      </c>
      <c r="G225" s="37">
        <f>Prices!G225/MAX(Prices!G$2:G225)-1</f>
        <v>-9.4334626314021675E-2</v>
      </c>
      <c r="H225" s="1"/>
    </row>
    <row r="226" spans="1:8" x14ac:dyDescent="0.3">
      <c r="A226" s="26">
        <f>Prices!A226</f>
        <v>46267</v>
      </c>
      <c r="B226" s="37">
        <f>Prices!B226/MAX(Prices!B$2:B226)-1</f>
        <v>-0.34567462857105313</v>
      </c>
      <c r="C226" s="37">
        <f>Prices!C226/MAX(Prices!C$2:C226)-1</f>
        <v>-0.40560055167191744</v>
      </c>
      <c r="D226" s="37">
        <f>Prices!D226/MAX(Prices!D$2:D226)-1</f>
        <v>-2.8574603498923823E-2</v>
      </c>
      <c r="E226" s="37">
        <f>Prices!E226/MAX(Prices!E$2:E226)-1</f>
        <v>-0.14988938551513453</v>
      </c>
      <c r="F226" s="37">
        <f>Prices!F226/MAX(Prices!F$2:F226)-1</f>
        <v>-8.4640429376976134E-2</v>
      </c>
      <c r="G226" s="37">
        <f>Prices!G226/MAX(Prices!G$2:G226)-1</f>
        <v>-9.4996795240553156E-2</v>
      </c>
      <c r="H226" s="1"/>
    </row>
    <row r="227" spans="1:8" x14ac:dyDescent="0.3">
      <c r="A227" s="26">
        <f>Prices!A227</f>
        <v>46268</v>
      </c>
      <c r="B227" s="37">
        <f>Prices!B227/MAX(Prices!B$2:B227)-1</f>
        <v>-0.35343932946432222</v>
      </c>
      <c r="C227" s="37">
        <f>Prices!C227/MAX(Prices!C$2:C227)-1</f>
        <v>-0.41858106737698941</v>
      </c>
      <c r="D227" s="37">
        <f>Prices!D227/MAX(Prices!D$2:D227)-1</f>
        <v>-2.3197710160356877E-2</v>
      </c>
      <c r="E227" s="37">
        <f>Prices!E227/MAX(Prices!E$2:E227)-1</f>
        <v>-0.13534842436312189</v>
      </c>
      <c r="F227" s="37">
        <f>Prices!F227/MAX(Prices!F$2:F227)-1</f>
        <v>-8.690392979889261E-2</v>
      </c>
      <c r="G227" s="37">
        <f>Prices!G227/MAX(Prices!G$2:G227)-1</f>
        <v>-9.8497227365166751E-2</v>
      </c>
      <c r="H227" s="1"/>
    </row>
    <row r="228" spans="1:8" x14ac:dyDescent="0.3">
      <c r="A228" s="26">
        <f>Prices!A228</f>
        <v>46269</v>
      </c>
      <c r="B228" s="37">
        <f>Prices!B228/MAX(Prices!B$2:B228)-1</f>
        <v>-0.33880585470393043</v>
      </c>
      <c r="C228" s="37">
        <f>Prices!C228/MAX(Prices!C$2:C228)-1</f>
        <v>-0.40451884202982824</v>
      </c>
      <c r="D228" s="37">
        <f>Prices!D228/MAX(Prices!D$2:D228)-1</f>
        <v>-4.0798671787859453E-3</v>
      </c>
      <c r="E228" s="37">
        <f>Prices!E228/MAX(Prices!E$2:E228)-1</f>
        <v>-0.12702417748781203</v>
      </c>
      <c r="F228" s="37">
        <f>Prices!F228/MAX(Prices!F$2:F228)-1</f>
        <v>-7.4681027520543508E-2</v>
      </c>
      <c r="G228" s="37">
        <f>Prices!G228/MAX(Prices!G$2:G228)-1</f>
        <v>-8.285230477199057E-2</v>
      </c>
      <c r="H228" s="1"/>
    </row>
    <row r="229" spans="1:8" x14ac:dyDescent="0.3">
      <c r="A229" s="26">
        <f>Prices!A229</f>
        <v>46272</v>
      </c>
      <c r="B229" s="37">
        <f>Prices!B229/MAX(Prices!B$2:B229)-1</f>
        <v>-0.34537598622900434</v>
      </c>
      <c r="C229" s="37">
        <f>Prices!C229/MAX(Prices!C$2:C229)-1</f>
        <v>-0.40722311613505147</v>
      </c>
      <c r="D229" s="37">
        <f>Prices!D229/MAX(Prices!D$2:D229)-1</f>
        <v>0</v>
      </c>
      <c r="E229" s="37">
        <f>Prices!E229/MAX(Prices!E$2:E229)-1</f>
        <v>-0.13152985915239113</v>
      </c>
      <c r="F229" s="37">
        <f>Prices!F229/MAX(Prices!F$2:F229)-1</f>
        <v>-8.5545829545742635E-2</v>
      </c>
      <c r="G229" s="37">
        <f>Prices!G229/MAX(Prices!G$2:G229)-1</f>
        <v>-9.1353064090919811E-2</v>
      </c>
      <c r="H229" s="1"/>
    </row>
    <row r="230" spans="1:8" x14ac:dyDescent="0.3">
      <c r="A230" s="26">
        <f>Prices!A230</f>
        <v>46273</v>
      </c>
      <c r="B230" s="37">
        <f>Prices!B230/MAX(Prices!B$2:B230)-1</f>
        <v>-0.34985562135973658</v>
      </c>
      <c r="C230" s="37">
        <f>Prices!C230/MAX(Prices!C$2:C230)-1</f>
        <v>-0.40776397095609618</v>
      </c>
      <c r="D230" s="37">
        <f>Prices!D230/MAX(Prices!D$2:D230)-1</f>
        <v>-1.610978520286388E-2</v>
      </c>
      <c r="E230" s="37">
        <f>Prices!E230/MAX(Prices!E$2:E230)-1</f>
        <v>-0.13378269998468051</v>
      </c>
      <c r="F230" s="37">
        <f>Prices!F230/MAX(Prices!F$2:F230)-1</f>
        <v>-9.0072830389575587E-2</v>
      </c>
      <c r="G230" s="37">
        <f>Prices!G230/MAX(Prices!G$2:G230)-1</f>
        <v>-9.4783380593979727E-2</v>
      </c>
      <c r="H230" s="1"/>
    </row>
    <row r="231" spans="1:8" x14ac:dyDescent="0.3">
      <c r="A231" s="26">
        <f>Prices!A231</f>
        <v>46274</v>
      </c>
      <c r="B231" s="37">
        <f>Prices!B231/MAX(Prices!B$2:B231)-1</f>
        <v>-0.35194611775407825</v>
      </c>
      <c r="C231" s="37">
        <f>Prices!C231/MAX(Prices!C$2:C231)-1</f>
        <v>-0.40614140649296215</v>
      </c>
      <c r="D231" s="37">
        <f>Prices!D231/MAX(Prices!D$2:D231)-1</f>
        <v>-9.5465393794749165E-3</v>
      </c>
      <c r="E231" s="37">
        <f>Prices!E231/MAX(Prices!E$2:E231)-1</f>
        <v>-0.13321948977660825</v>
      </c>
      <c r="F231" s="37">
        <f>Prices!F231/MAX(Prices!F$2:F231)-1</f>
        <v>-9.3694431064642036E-2</v>
      </c>
      <c r="G231" s="37">
        <f>Prices!G231/MAX(Prices!G$2:G231)-1</f>
        <v>-9.6292915220831499E-2</v>
      </c>
      <c r="H231" s="1"/>
    </row>
    <row r="232" spans="1:8" x14ac:dyDescent="0.3">
      <c r="A232" s="26">
        <f>Prices!A232</f>
        <v>46275</v>
      </c>
      <c r="B232" s="37">
        <f>Prices!B232/MAX(Prices!B$2:B232)-1</f>
        <v>-0.36448909612012825</v>
      </c>
      <c r="C232" s="37">
        <f>Prices!C232/MAX(Prices!C$2:C232)-1</f>
        <v>-0.42182619630325735</v>
      </c>
      <c r="D232" s="37">
        <f>Prices!D232/MAX(Prices!D$2:D232)-1</f>
        <v>-1.7303102625298328E-2</v>
      </c>
      <c r="E232" s="37">
        <f>Prices!E232/MAX(Prices!E$2:E232)-1</f>
        <v>-0.15180542664299679</v>
      </c>
      <c r="F232" s="37">
        <f>Prices!F232/MAX(Prices!F$2:F232)-1</f>
        <v>-0.10139033249915808</v>
      </c>
      <c r="G232" s="37">
        <f>Prices!G232/MAX(Prices!G$2:G232)-1</f>
        <v>-0.10775205319885661</v>
      </c>
      <c r="H232" s="1"/>
    </row>
    <row r="233" spans="1:8" x14ac:dyDescent="0.3">
      <c r="A233" s="26">
        <f>Prices!A233</f>
        <v>46276</v>
      </c>
      <c r="B233" s="37">
        <f>Prices!B233/MAX(Prices!B$2:B233)-1</f>
        <v>-0.36030810333144492</v>
      </c>
      <c r="C233" s="37">
        <f>Prices!C233/MAX(Prices!C$2:C233)-1</f>
        <v>-0.41858106737698941</v>
      </c>
      <c r="D233" s="37">
        <f>Prices!D233/MAX(Prices!D$2:D233)-1</f>
        <v>-2.5656324582338796E-2</v>
      </c>
      <c r="E233" s="37">
        <f>Prices!E233/MAX(Prices!E$2:E233)-1</f>
        <v>-0.15462147768335865</v>
      </c>
      <c r="F233" s="37">
        <f>Prices!F233/MAX(Prices!F$2:F233)-1</f>
        <v>-0.11134973435559048</v>
      </c>
      <c r="G233" s="37">
        <f>Prices!G233/MAX(Prices!G$2:G233)-1</f>
        <v>-0.11307382529928811</v>
      </c>
      <c r="H233" s="1"/>
    </row>
    <row r="234" spans="1:8" x14ac:dyDescent="0.3">
      <c r="A234" s="26">
        <f>Prices!A234</f>
        <v>46279</v>
      </c>
      <c r="B234" s="37">
        <f>Prices!B234/MAX(Prices!B$2:B234)-1</f>
        <v>-0.35702303756890796</v>
      </c>
      <c r="C234" s="37">
        <f>Prices!C234/MAX(Prices!C$2:C234)-1</f>
        <v>-0.42723474451370391</v>
      </c>
      <c r="D234" s="37">
        <f>Prices!D234/MAX(Prices!D$2:D234)-1</f>
        <v>-1.610978520286388E-2</v>
      </c>
      <c r="E234" s="37">
        <f>Prices!E234/MAX(Prices!E$2:E234)-1</f>
        <v>-0.15011579601877956</v>
      </c>
      <c r="F234" s="37">
        <f>Prices!F234/MAX(Prices!F$2:F234)-1</f>
        <v>-0.10048493233039146</v>
      </c>
      <c r="G234" s="37">
        <f>Prices!G234/MAX(Prices!G$2:G234)-1</f>
        <v>-0.10907038063071439</v>
      </c>
      <c r="H234" s="1"/>
    </row>
    <row r="235" spans="1:8" x14ac:dyDescent="0.3">
      <c r="A235" s="26">
        <f>Prices!A235</f>
        <v>46280</v>
      </c>
      <c r="B235" s="37">
        <f>Prices!B235/MAX(Prices!B$2:B235)-1</f>
        <v>-0.34477870154490675</v>
      </c>
      <c r="C235" s="37">
        <f>Prices!C235/MAX(Prices!C$2:C235)-1</f>
        <v>-0.42020363184012333</v>
      </c>
      <c r="D235" s="37">
        <f>Prices!D235/MAX(Prices!D$2:D235)-1</f>
        <v>-4.7732696897374693E-2</v>
      </c>
      <c r="E235" s="37">
        <f>Prices!E235/MAX(Prices!E$2:E235)-1</f>
        <v>-0.14335727352191108</v>
      </c>
      <c r="F235" s="37">
        <f>Prices!F235/MAX(Prices!F$2:F235)-1</f>
        <v>-0.10863353384929075</v>
      </c>
      <c r="G235" s="37">
        <f>Prices!G235/MAX(Prices!G$2:G235)-1</f>
        <v>-0.11802198947459053</v>
      </c>
      <c r="H235" s="1"/>
    </row>
    <row r="236" spans="1:8" x14ac:dyDescent="0.3">
      <c r="A236" s="26">
        <f>Prices!A236</f>
        <v>46281</v>
      </c>
      <c r="B236" s="37">
        <f>Prices!B236/MAX(Prices!B$2:B236)-1</f>
        <v>-0.35284204478022463</v>
      </c>
      <c r="C236" s="37">
        <f>Prices!C236/MAX(Prices!C$2:C236)-1</f>
        <v>-0.42561218005057</v>
      </c>
      <c r="D236" s="37">
        <f>Prices!D236/MAX(Prices!D$2:D236)-1</f>
        <v>-3.9976133651551282E-2</v>
      </c>
      <c r="E236" s="37">
        <f>Prices!E236/MAX(Prices!E$2:E236)-1</f>
        <v>-0.13265627956853587</v>
      </c>
      <c r="F236" s="37">
        <f>Prices!F236/MAX(Prices!F$2:F236)-1</f>
        <v>-0.10455923308984105</v>
      </c>
      <c r="G236" s="37">
        <f>Prices!G236/MAX(Prices!G$2:G236)-1</f>
        <v>-0.11635798237461337</v>
      </c>
      <c r="H236" s="1"/>
    </row>
    <row r="237" spans="1:8" x14ac:dyDescent="0.3">
      <c r="A237" s="26">
        <f>Prices!A237</f>
        <v>46282</v>
      </c>
      <c r="B237" s="37">
        <f>Prices!B237/MAX(Prices!B$2:B237)-1</f>
        <v>-0.36389181143603067</v>
      </c>
      <c r="C237" s="37">
        <f>Prices!C237/MAX(Prices!C$2:C237)-1</f>
        <v>-0.43156158308206127</v>
      </c>
      <c r="D237" s="37">
        <f>Prices!D237/MAX(Prices!D$2:D237)-1</f>
        <v>-4.6539379474940246E-2</v>
      </c>
      <c r="E237" s="37">
        <f>Prices!E237/MAX(Prices!E$2:E237)-1</f>
        <v>-0.12871380811202926</v>
      </c>
      <c r="F237" s="37">
        <f>Prices!F237/MAX(Prices!F$2:F237)-1</f>
        <v>-0.12040373604325638</v>
      </c>
      <c r="G237" s="37">
        <f>Prices!G237/MAX(Prices!G$2:G237)-1</f>
        <v>-0.12027280819156982</v>
      </c>
      <c r="H237" s="1"/>
    </row>
    <row r="238" spans="1:8" x14ac:dyDescent="0.3">
      <c r="A238" s="26">
        <f>Prices!A238</f>
        <v>46283</v>
      </c>
      <c r="B238" s="37">
        <f>Prices!B238/MAX(Prices!B$2:B238)-1</f>
        <v>-0.37434429340773911</v>
      </c>
      <c r="C238" s="37">
        <f>Prices!C238/MAX(Prices!C$2:C238)-1</f>
        <v>-0.40884568059818549</v>
      </c>
      <c r="D238" s="37">
        <f>Prices!D238/MAX(Prices!D$2:D238)-1</f>
        <v>-3.5799522673030992E-2</v>
      </c>
      <c r="E238" s="37">
        <f>Prices!E238/MAX(Prices!E$2:E238)-1</f>
        <v>-0.13547233060889774</v>
      </c>
      <c r="F238" s="37">
        <f>Prices!F238/MAX(Prices!F$2:F238)-1</f>
        <v>-0.12176183629640636</v>
      </c>
      <c r="G238" s="37">
        <f>Prices!G238/MAX(Prices!G$2:G238)-1</f>
        <v>-0.11503504611888093</v>
      </c>
      <c r="H238" s="1"/>
    </row>
    <row r="239" spans="1:8" x14ac:dyDescent="0.3">
      <c r="A239" s="26">
        <f>Prices!A239</f>
        <v>46286</v>
      </c>
      <c r="B239" s="37">
        <f>Prices!B239/MAX(Prices!B$2:B239)-1</f>
        <v>-0.35791896459505446</v>
      </c>
      <c r="C239" s="37">
        <f>Prices!C239/MAX(Prices!C$2:C239)-1</f>
        <v>-0.39099747150371167</v>
      </c>
      <c r="D239" s="37">
        <f>Prices!D239/MAX(Prices!D$2:D239)-1</f>
        <v>-3.6396181384248161E-2</v>
      </c>
      <c r="E239" s="37">
        <f>Prices!E239/MAX(Prices!E$2:E239)-1</f>
        <v>-0.12871380811202926</v>
      </c>
      <c r="F239" s="37">
        <f>Prices!F239/MAX(Prices!F$2:F239)-1</f>
        <v>-0.11451863494627368</v>
      </c>
      <c r="G239" s="37">
        <f>Prices!G239/MAX(Prices!G$2:G239)-1</f>
        <v>-0.10459702185309783</v>
      </c>
      <c r="H239" s="1"/>
    </row>
    <row r="240" spans="1:8" x14ac:dyDescent="0.3">
      <c r="A240" s="26">
        <f>Prices!A240</f>
        <v>46287</v>
      </c>
      <c r="B240" s="37">
        <f>Prices!B240/MAX(Prices!B$2:B240)-1</f>
        <v>-0.32566559165378273</v>
      </c>
      <c r="C240" s="37">
        <f>Prices!C240/MAX(Prices!C$2:C240)-1</f>
        <v>-0.37909866544072912</v>
      </c>
      <c r="D240" s="37">
        <f>Prices!D240/MAX(Prices!D$2:D240)-1</f>
        <v>-4.9522673031026199E-2</v>
      </c>
      <c r="E240" s="37">
        <f>Prices!E240/MAX(Prices!E$2:E240)-1</f>
        <v>-0.14110443268962158</v>
      </c>
      <c r="F240" s="37">
        <f>Prices!F240/MAX(Prices!F$2:F240)-1</f>
        <v>-0.10048493233039146</v>
      </c>
      <c r="G240" s="37">
        <f>Prices!G240/MAX(Prices!G$2:G240)-1</f>
        <v>-0.10298664730402862</v>
      </c>
      <c r="H240" s="1"/>
    </row>
    <row r="241" spans="1:8" x14ac:dyDescent="0.3">
      <c r="A241" s="26">
        <f>Prices!A241</f>
        <v>46288</v>
      </c>
      <c r="B241" s="37">
        <f>Prices!B241/MAX(Prices!B$2:B241)-1</f>
        <v>-0.3414936357823698</v>
      </c>
      <c r="C241" s="37">
        <f>Prices!C241/MAX(Prices!C$2:C241)-1</f>
        <v>-0.40614140649296215</v>
      </c>
      <c r="D241" s="37">
        <f>Prices!D241/MAX(Prices!D$2:D241)-1</f>
        <v>-4.8329355608591862E-2</v>
      </c>
      <c r="E241" s="37">
        <f>Prices!E241/MAX(Prices!E$2:E241)-1</f>
        <v>-0.15124221643492441</v>
      </c>
      <c r="F241" s="37">
        <f>Prices!F241/MAX(Prices!F$2:F241)-1</f>
        <v>-0.1041065330054578</v>
      </c>
      <c r="G241" s="37">
        <f>Prices!G241/MAX(Prices!G$2:G241)-1</f>
        <v>-0.11205522874143525</v>
      </c>
      <c r="H241" s="1"/>
    </row>
    <row r="242" spans="1:8" x14ac:dyDescent="0.3">
      <c r="A242" s="26">
        <f>Prices!A242</f>
        <v>46289</v>
      </c>
      <c r="B242" s="37">
        <f>Prices!B242/MAX(Prices!B$2:B242)-1</f>
        <v>-0.34537598622900434</v>
      </c>
      <c r="C242" s="37">
        <f>Prices!C242/MAX(Prices!C$2:C242)-1</f>
        <v>-0.40505969685087284</v>
      </c>
      <c r="D242" s="37">
        <f>Prices!D242/MAX(Prices!D$2:D242)-1</f>
        <v>-6.3842482100238573E-2</v>
      </c>
      <c r="E242" s="37">
        <f>Prices!E242/MAX(Prices!E$2:E242)-1</f>
        <v>-0.14617332456227305</v>
      </c>
      <c r="F242" s="37">
        <f>Prices!F242/MAX(Prices!F$2:F242)-1</f>
        <v>-0.10953893401805737</v>
      </c>
      <c r="G242" s="37">
        <f>Prices!G242/MAX(Prices!G$2:G242)-1</f>
        <v>-0.11466492430956088</v>
      </c>
      <c r="H242" s="1"/>
    </row>
    <row r="243" spans="1:8" x14ac:dyDescent="0.3">
      <c r="A243" s="26">
        <f>Prices!A243</f>
        <v>46290</v>
      </c>
      <c r="B243" s="37">
        <f>Prices!B243/MAX(Prices!B$2:B243)-1</f>
        <v>-0.34806376730744359</v>
      </c>
      <c r="C243" s="37">
        <f>Prices!C243/MAX(Prices!C$2:C243)-1</f>
        <v>-0.41371337398758734</v>
      </c>
      <c r="D243" s="37">
        <f>Prices!D243/MAX(Prices!D$2:D243)-1</f>
        <v>-5.9665871121718395E-2</v>
      </c>
      <c r="E243" s="37">
        <f>Prices!E243/MAX(Prices!E$2:E243)-1</f>
        <v>-0.16926494309324047</v>
      </c>
      <c r="F243" s="37">
        <f>Prices!F243/MAX(Prices!F$2:F243)-1</f>
        <v>-0.12085643612763974</v>
      </c>
      <c r="G243" s="37">
        <f>Prices!G243/MAX(Prices!G$2:G243)-1</f>
        <v>-0.12364090736007294</v>
      </c>
      <c r="H243" s="1"/>
    </row>
    <row r="244" spans="1:8" x14ac:dyDescent="0.3">
      <c r="A244" s="26">
        <f>Prices!A244</f>
        <v>46293</v>
      </c>
      <c r="B244" s="37">
        <f>Prices!B244/MAX(Prices!B$2:B244)-1</f>
        <v>-0.34328548983466267</v>
      </c>
      <c r="C244" s="37">
        <f>Prices!C244/MAX(Prices!C$2:C244)-1</f>
        <v>-0.41749935773489999</v>
      </c>
      <c r="D244" s="37">
        <f>Prices!D244/MAX(Prices!D$2:D244)-1</f>
        <v>-5.1909307875894872E-2</v>
      </c>
      <c r="E244" s="37">
        <f>Prices!E244/MAX(Prices!E$2:E244)-1</f>
        <v>-0.16588568184480623</v>
      </c>
      <c r="F244" s="37">
        <f>Prices!F244/MAX(Prices!F$2:F244)-1</f>
        <v>-0.12040373604325638</v>
      </c>
      <c r="G244" s="37">
        <f>Prices!G244/MAX(Prices!G$2:G244)-1</f>
        <v>-0.11890622576590848</v>
      </c>
      <c r="H244" s="1"/>
    </row>
    <row r="245" spans="1:8" x14ac:dyDescent="0.3">
      <c r="A245" s="26">
        <f>Prices!A245</f>
        <v>46294</v>
      </c>
      <c r="B245" s="37">
        <f>Prices!B245/MAX(Prices!B$2:B245)-1</f>
        <v>-0.3549325411745663</v>
      </c>
      <c r="C245" s="37">
        <f>Prices!C245/MAX(Prices!C$2:C245)-1</f>
        <v>-0.42561218005057</v>
      </c>
      <c r="D245" s="37">
        <f>Prices!D245/MAX(Prices!D$2:D245)-1</f>
        <v>-5.1312649164677815E-2</v>
      </c>
      <c r="E245" s="37">
        <f>Prices!E245/MAX(Prices!E$2:E245)-1</f>
        <v>-0.16757531246902335</v>
      </c>
      <c r="F245" s="37">
        <f>Prices!F245/MAX(Prices!F$2:F245)-1</f>
        <v>-0.12447803680270608</v>
      </c>
      <c r="G245" s="37">
        <f>Prices!G245/MAX(Prices!G$2:G245)-1</f>
        <v>-0.1231589116250621</v>
      </c>
      <c r="H245" s="1"/>
    </row>
    <row r="246" spans="1:8" x14ac:dyDescent="0.3">
      <c r="A246" s="26">
        <f>Prices!A246</f>
        <v>46295</v>
      </c>
      <c r="B246" s="37">
        <f>Prices!B246/MAX(Prices!B$2:B246)-1</f>
        <v>-0.35642575288481038</v>
      </c>
      <c r="C246" s="37">
        <f>Prices!C246/MAX(Prices!C$2:C246)-1</f>
        <v>-0.42344876076639137</v>
      </c>
      <c r="D246" s="37">
        <f>Prices!D246/MAX(Prices!D$2:D246)-1</f>
        <v>-5.727923627684961E-2</v>
      </c>
      <c r="E246" s="37">
        <f>Prices!E246/MAX(Prices!E$2:E246)-1</f>
        <v>-0.1709545737174577</v>
      </c>
      <c r="F246" s="37">
        <f>Prices!F246/MAX(Prices!F$2:F246)-1</f>
        <v>-0.12221453638078961</v>
      </c>
      <c r="G246" s="37">
        <f>Prices!G246/MAX(Prices!G$2:G246)-1</f>
        <v>-0.11995171368478663</v>
      </c>
      <c r="H246" s="1"/>
    </row>
    <row r="247" spans="1:8" x14ac:dyDescent="0.3">
      <c r="A247" s="26">
        <f>Prices!A247</f>
        <v>46297</v>
      </c>
      <c r="B247" s="37">
        <f>Prices!B247/MAX(Prices!B$2:B247)-1</f>
        <v>-0.37105922764520216</v>
      </c>
      <c r="C247" s="37">
        <f>Prices!C247/MAX(Prices!C$2:C247)-1</f>
        <v>-0.43534756682937381</v>
      </c>
      <c r="D247" s="37">
        <f>Prices!D247/MAX(Prices!D$2:D247)-1</f>
        <v>-0.10799522673031026</v>
      </c>
      <c r="E247" s="37">
        <f>Prices!E247/MAX(Prices!E$2:E247)-1</f>
        <v>-0.220517072027827</v>
      </c>
      <c r="F247" s="37">
        <f>Prices!F247/MAX(Prices!F$2:F247)-1</f>
        <v>-0.14937654144378731</v>
      </c>
      <c r="G247" s="37">
        <f>Prices!G247/MAX(Prices!G$2:G247)-1</f>
        <v>-0.14286998964083697</v>
      </c>
      <c r="H247" s="1"/>
    </row>
    <row r="248" spans="1:8" x14ac:dyDescent="0.3">
      <c r="A248" s="26">
        <f>Prices!A248</f>
        <v>46300</v>
      </c>
      <c r="B248" s="37">
        <f>Prices!B248/MAX(Prices!B$2:B248)-1</f>
        <v>-0.36837144656676291</v>
      </c>
      <c r="C248" s="37">
        <f>Prices!C248/MAX(Prices!C$2:C248)-1</f>
        <v>-0.42993901861892725</v>
      </c>
      <c r="D248" s="37">
        <f>Prices!D248/MAX(Prices!D$2:D248)-1</f>
        <v>-0.10560859188544147</v>
      </c>
      <c r="E248" s="37">
        <f>Prices!E248/MAX(Prices!E$2:E248)-1</f>
        <v>-0.22333312306818887</v>
      </c>
      <c r="F248" s="37">
        <f>Prices!F248/MAX(Prices!F$2:F248)-1</f>
        <v>-0.14439684051557111</v>
      </c>
      <c r="G248" s="37">
        <f>Prices!G248/MAX(Prices!G$2:G248)-1</f>
        <v>-0.14043683455278377</v>
      </c>
      <c r="H248" s="1"/>
    </row>
    <row r="249" spans="1:8" x14ac:dyDescent="0.3">
      <c r="A249" s="26">
        <f>Prices!A249</f>
        <v>46301</v>
      </c>
      <c r="B249" s="37">
        <f>Prices!B249/MAX(Prices!B$2:B249)-1</f>
        <v>-0.36060674567349371</v>
      </c>
      <c r="C249" s="37">
        <f>Prices!C249/MAX(Prices!C$2:C249)-1</f>
        <v>-0.41479508362967676</v>
      </c>
      <c r="D249" s="37">
        <f>Prices!D249/MAX(Prices!D$2:D249)-1</f>
        <v>-8.8305489260143144E-2</v>
      </c>
      <c r="E249" s="37">
        <f>Prices!E249/MAX(Prices!E$2:E249)-1</f>
        <v>-0.2250227536924061</v>
      </c>
      <c r="F249" s="37">
        <f>Prices!F249/MAX(Prices!F$2:F249)-1</f>
        <v>-0.13986983967173816</v>
      </c>
      <c r="G249" s="37">
        <f>Prices!G249/MAX(Prices!G$2:G249)-1</f>
        <v>-0.13184773527150218</v>
      </c>
      <c r="H249" s="1"/>
    </row>
    <row r="250" spans="1:8" x14ac:dyDescent="0.3">
      <c r="A250" s="26">
        <f>Prices!A250</f>
        <v>46302</v>
      </c>
      <c r="B250" s="37">
        <f>Prices!B250/MAX(Prices!B$2:B250)-1</f>
        <v>-0.37195515467134854</v>
      </c>
      <c r="C250" s="37">
        <f>Prices!C250/MAX(Prices!C$2:C250)-1</f>
        <v>-0.42993901861892725</v>
      </c>
      <c r="D250" s="37">
        <f>Prices!D250/MAX(Prices!D$2:D250)-1</f>
        <v>-0.10560859188544147</v>
      </c>
      <c r="E250" s="37">
        <f>Prices!E250/MAX(Prices!E$2:E250)-1</f>
        <v>-0.2250227536924061</v>
      </c>
      <c r="F250" s="37">
        <f>Prices!F250/MAX(Prices!F$2:F250)-1</f>
        <v>-0.14213334009365464</v>
      </c>
      <c r="G250" s="37">
        <f>Prices!G250/MAX(Prices!G$2:G250)-1</f>
        <v>-0.13721315354186259</v>
      </c>
      <c r="H250" s="1"/>
    </row>
    <row r="251" spans="1:8" x14ac:dyDescent="0.3">
      <c r="A251" s="26">
        <f>Prices!A251</f>
        <v>46303</v>
      </c>
      <c r="B251" s="37">
        <f>Prices!B251/MAX(Prices!B$2:B251)-1</f>
        <v>-0.38569270240559395</v>
      </c>
      <c r="C251" s="37">
        <f>Prices!C251/MAX(Prices!C$2:C251)-1</f>
        <v>-0.43588842165041852</v>
      </c>
      <c r="D251" s="37">
        <f>Prices!D251/MAX(Prices!D$2:D251)-1</f>
        <v>-0.14916467780429599</v>
      </c>
      <c r="E251" s="37">
        <f>Prices!E251/MAX(Prices!E$2:E251)-1</f>
        <v>-0.21995386181975463</v>
      </c>
      <c r="F251" s="37">
        <f>Prices!F251/MAX(Prices!F$2:F251)-1</f>
        <v>-0.15118734178132054</v>
      </c>
      <c r="G251" s="37">
        <f>Prices!G251/MAX(Prices!G$2:G251)-1</f>
        <v>-0.1495383034704072</v>
      </c>
      <c r="H251" s="1"/>
    </row>
    <row r="252" spans="1:8" x14ac:dyDescent="0.3">
      <c r="A252" s="26">
        <f>Prices!A252</f>
        <v>46304</v>
      </c>
      <c r="B252" s="37">
        <f>Prices!B252/MAX(Prices!B$2:B252)-1</f>
        <v>-0.36568366548832354</v>
      </c>
      <c r="C252" s="37">
        <f>Prices!C252/MAX(Prices!C$2:C252)-1</f>
        <v>-0.42128534148221264</v>
      </c>
      <c r="D252" s="37">
        <f>Prices!D252/MAX(Prices!D$2:D252)-1</f>
        <v>-0.13365155131264916</v>
      </c>
      <c r="E252" s="37">
        <f>Prices!E252/MAX(Prices!E$2:E252)-1</f>
        <v>-0.19742545349685947</v>
      </c>
      <c r="F252" s="37">
        <f>Prices!F252/MAX(Prices!F$2:F252)-1</f>
        <v>-0.14484954059995436</v>
      </c>
      <c r="G252" s="37">
        <f>Prices!G252/MAX(Prices!G$2:G252)-1</f>
        <v>-0.13432237334993113</v>
      </c>
      <c r="H252" s="1"/>
    </row>
    <row r="253" spans="1:8" x14ac:dyDescent="0.3">
      <c r="A253" s="26">
        <f>Prices!A253</f>
        <v>46307</v>
      </c>
      <c r="B253" s="37">
        <f>Prices!B253/MAX(Prices!B$2:B253)-1</f>
        <v>-0.36419045377807946</v>
      </c>
      <c r="C253" s="37">
        <f>Prices!C253/MAX(Prices!C$2:C253)-1</f>
        <v>-0.41479508362967676</v>
      </c>
      <c r="D253" s="37">
        <f>Prices!D253/MAX(Prices!D$2:D253)-1</f>
        <v>-0.11634844868735084</v>
      </c>
      <c r="E253" s="37">
        <f>Prices!E253/MAX(Prices!E$2:E253)-1</f>
        <v>-0.19010372079191851</v>
      </c>
      <c r="F253" s="37">
        <f>Prices!F253/MAX(Prices!F$2:F253)-1</f>
        <v>-0.15028194161255404</v>
      </c>
      <c r="G253" s="37">
        <f>Prices!G253/MAX(Prices!G$2:G253)-1</f>
        <v>-0.13218244887071273</v>
      </c>
      <c r="H253" s="1"/>
    </row>
    <row r="254" spans="1:8" x14ac:dyDescent="0.3">
      <c r="A254" s="26">
        <f>Prices!A254</f>
        <v>46308</v>
      </c>
      <c r="B254" s="37">
        <f>Prices!B254/MAX(Prices!B$2:B254)-1</f>
        <v>-0.36508638080422595</v>
      </c>
      <c r="C254" s="37">
        <f>Prices!C254/MAX(Prices!C$2:C254)-1</f>
        <v>-0.42020363184012333</v>
      </c>
      <c r="D254" s="37">
        <f>Prices!D254/MAX(Prices!D$2:D254)-1</f>
        <v>-0.10083532219570412</v>
      </c>
      <c r="E254" s="37">
        <f>Prices!E254/MAX(Prices!E$2:E254)-1</f>
        <v>-0.17714988600625392</v>
      </c>
      <c r="F254" s="37">
        <f>Prices!F254/MAX(Prices!F$2:F254)-1</f>
        <v>-0.14077523984050466</v>
      </c>
      <c r="G254" s="37">
        <f>Prices!G254/MAX(Prices!G$2:G254)-1</f>
        <v>-0.12953580762601813</v>
      </c>
      <c r="H254" s="1"/>
    </row>
    <row r="255" spans="1:8" x14ac:dyDescent="0.3">
      <c r="A255" s="26">
        <f>Prices!A255</f>
        <v>46309</v>
      </c>
      <c r="B255" s="37">
        <f>Prices!B255/MAX(Prices!B$2:B255)-1</f>
        <v>-0.36777416188266532</v>
      </c>
      <c r="C255" s="37">
        <f>Prices!C255/MAX(Prices!C$2:C255)-1</f>
        <v>-0.4023554227456495</v>
      </c>
      <c r="D255" s="37">
        <f>Prices!D255/MAX(Prices!D$2:D255)-1</f>
        <v>-0.116945107398568</v>
      </c>
      <c r="E255" s="37">
        <f>Prices!E255/MAX(Prices!E$2:E255)-1</f>
        <v>-0.18052914725468816</v>
      </c>
      <c r="F255" s="37">
        <f>Prices!F255/MAX(Prices!F$2:F255)-1</f>
        <v>-0.15435624237200363</v>
      </c>
      <c r="G255" s="37">
        <f>Prices!G255/MAX(Prices!G$2:G255)-1</f>
        <v>-0.13064603003384234</v>
      </c>
      <c r="H255" s="1"/>
    </row>
    <row r="256" spans="1:8" x14ac:dyDescent="0.3">
      <c r="A256" s="26">
        <f>Prices!A256</f>
        <v>46310</v>
      </c>
      <c r="B256" s="37">
        <f>Prices!B256/MAX(Prices!B$2:B256)-1</f>
        <v>-0.37613614746003199</v>
      </c>
      <c r="C256" s="37">
        <f>Prices!C256/MAX(Prices!C$2:C256)-1</f>
        <v>-0.42453047040848058</v>
      </c>
      <c r="D256" s="37">
        <f>Prices!D256/MAX(Prices!D$2:D256)-1</f>
        <v>-0.11754176610978517</v>
      </c>
      <c r="E256" s="37">
        <f>Prices!E256/MAX(Prices!E$2:E256)-1</f>
        <v>-0.1839084085031224</v>
      </c>
      <c r="F256" s="37">
        <f>Prices!F256/MAX(Prices!F$2:F256)-1</f>
        <v>-0.15933594330021994</v>
      </c>
      <c r="G256" s="37">
        <f>Prices!G256/MAX(Prices!G$2:G256)-1</f>
        <v>-0.13963660471370487</v>
      </c>
      <c r="H256" s="1"/>
    </row>
    <row r="257" spans="1:8" x14ac:dyDescent="0.3">
      <c r="A257" s="26">
        <f>Prices!A257</f>
        <v>46311</v>
      </c>
      <c r="B257" s="37">
        <f>Prices!B257/MAX(Prices!B$2:B257)-1</f>
        <v>-0.37613614746003199</v>
      </c>
      <c r="C257" s="37">
        <f>Prices!C257/MAX(Prices!C$2:C257)-1</f>
        <v>-0.41154995470340883</v>
      </c>
      <c r="D257" s="37">
        <f>Prices!D257/MAX(Prices!D$2:D257)-1</f>
        <v>-0.10680190930787592</v>
      </c>
      <c r="E257" s="37">
        <f>Prices!E257/MAX(Prices!E$2:E257)-1</f>
        <v>-0.17433383496589194</v>
      </c>
      <c r="F257" s="37">
        <f>Prices!F257/MAX(Prices!F$2:F257)-1</f>
        <v>-0.15209274195008715</v>
      </c>
      <c r="G257" s="37">
        <f>Prices!G257/MAX(Prices!G$2:G257)-1</f>
        <v>-0.13519906890459144</v>
      </c>
      <c r="H257" s="1"/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81"/>
  <sheetViews>
    <sheetView zoomScaleNormal="100" workbookViewId="0">
      <pane ySplit="1" topLeftCell="A2" activePane="bottomLeft" state="frozen"/>
      <selection pane="bottomLeft"/>
    </sheetView>
  </sheetViews>
  <sheetFormatPr defaultColWidth="8.6640625" defaultRowHeight="14.4" x14ac:dyDescent="0.3"/>
  <cols>
    <col min="1" max="1" width="12" customWidth="1"/>
    <col min="2" max="3" width="10" customWidth="1"/>
    <col min="4" max="4" width="15" customWidth="1"/>
    <col min="5" max="5" width="10" customWidth="1"/>
    <col min="6" max="6" width="12" customWidth="1"/>
  </cols>
  <sheetData>
    <row r="1" spans="1:8" x14ac:dyDescent="0.3">
      <c r="A1" s="20" t="s">
        <v>73</v>
      </c>
      <c r="B1" s="20" t="s">
        <v>25</v>
      </c>
      <c r="C1" s="20" t="s">
        <v>84</v>
      </c>
      <c r="D1" s="20" t="s">
        <v>85</v>
      </c>
      <c r="E1" s="20" t="s">
        <v>79</v>
      </c>
      <c r="F1" s="20" t="s">
        <v>86</v>
      </c>
      <c r="G1" s="1"/>
      <c r="H1" s="19" t="s">
        <v>87</v>
      </c>
    </row>
    <row r="2" spans="1:8" x14ac:dyDescent="0.3">
      <c r="A2" s="26">
        <v>45932</v>
      </c>
      <c r="B2" s="38" t="s">
        <v>26</v>
      </c>
      <c r="C2" s="35">
        <v>668.70889999999997</v>
      </c>
      <c r="D2" s="39">
        <v>17137745</v>
      </c>
      <c r="E2" s="1" t="str">
        <f t="shared" ref="E2:E65" si="0">TEXT(A2,"yyyy-mm")</f>
        <v>2025-10</v>
      </c>
      <c r="F2" s="36">
        <v>0</v>
      </c>
      <c r="G2" s="1"/>
      <c r="H2" s="1"/>
    </row>
    <row r="3" spans="1:8" x14ac:dyDescent="0.3">
      <c r="A3" s="26">
        <v>45933</v>
      </c>
      <c r="B3" s="38" t="s">
        <v>26</v>
      </c>
      <c r="C3" s="35">
        <v>665.74350000000004</v>
      </c>
      <c r="D3" s="39">
        <v>7125093</v>
      </c>
      <c r="E3" s="1" t="str">
        <f t="shared" si="0"/>
        <v>2025-10</v>
      </c>
      <c r="F3" s="36">
        <f t="shared" ref="F3:F66" si="1">IF(B3=B2,C3/C2-1,0)</f>
        <v>-4.4345155268606939E-3</v>
      </c>
      <c r="G3" s="1"/>
      <c r="H3" s="1"/>
    </row>
    <row r="4" spans="1:8" x14ac:dyDescent="0.3">
      <c r="A4" s="26">
        <v>45936</v>
      </c>
      <c r="B4" s="38" t="s">
        <v>26</v>
      </c>
      <c r="C4" s="35">
        <v>669.69740000000002</v>
      </c>
      <c r="D4" s="39">
        <v>7828323</v>
      </c>
      <c r="E4" s="1" t="str">
        <f t="shared" si="0"/>
        <v>2025-10</v>
      </c>
      <c r="F4" s="36">
        <f t="shared" si="1"/>
        <v>5.9390741329055086E-3</v>
      </c>
      <c r="G4" s="1"/>
      <c r="H4" s="1"/>
    </row>
    <row r="5" spans="1:8" x14ac:dyDescent="0.3">
      <c r="A5" s="26">
        <v>45938</v>
      </c>
      <c r="B5" s="38" t="s">
        <v>26</v>
      </c>
      <c r="C5" s="35">
        <v>667.22619999999995</v>
      </c>
      <c r="D5" s="39">
        <v>10540730</v>
      </c>
      <c r="E5" s="1" t="str">
        <f t="shared" si="0"/>
        <v>2025-10</v>
      </c>
      <c r="F5" s="36">
        <f t="shared" si="1"/>
        <v>-3.6900247783552276E-3</v>
      </c>
      <c r="G5" s="1"/>
      <c r="H5" s="1"/>
    </row>
    <row r="6" spans="1:8" x14ac:dyDescent="0.3">
      <c r="A6" s="26">
        <v>45939</v>
      </c>
      <c r="B6" s="38" t="s">
        <v>26</v>
      </c>
      <c r="C6" s="35">
        <v>667.72050000000002</v>
      </c>
      <c r="D6" s="39">
        <v>14454705</v>
      </c>
      <c r="E6" s="1" t="str">
        <f t="shared" si="0"/>
        <v>2025-10</v>
      </c>
      <c r="F6" s="36">
        <f t="shared" si="1"/>
        <v>7.4082822287269146E-4</v>
      </c>
      <c r="G6" s="1"/>
      <c r="H6" s="1"/>
    </row>
    <row r="7" spans="1:8" x14ac:dyDescent="0.3">
      <c r="A7" s="26">
        <v>45940</v>
      </c>
      <c r="B7" s="38" t="s">
        <v>26</v>
      </c>
      <c r="C7" s="35">
        <v>643.99680000000001</v>
      </c>
      <c r="D7" s="39">
        <v>19904705</v>
      </c>
      <c r="E7" s="1" t="str">
        <f t="shared" si="0"/>
        <v>2025-10</v>
      </c>
      <c r="F7" s="36">
        <f t="shared" si="1"/>
        <v>-3.5529386921623662E-2</v>
      </c>
      <c r="G7" s="1"/>
      <c r="H7" s="1"/>
    </row>
    <row r="8" spans="1:8" x14ac:dyDescent="0.3">
      <c r="A8" s="26">
        <v>45943</v>
      </c>
      <c r="B8" s="38" t="s">
        <v>26</v>
      </c>
      <c r="C8" s="35">
        <v>631.64080000000001</v>
      </c>
      <c r="D8" s="39">
        <v>38012175</v>
      </c>
      <c r="E8" s="1" t="str">
        <f t="shared" si="0"/>
        <v>2025-10</v>
      </c>
      <c r="F8" s="36">
        <f t="shared" si="1"/>
        <v>-1.9186430740028459E-2</v>
      </c>
      <c r="G8" s="1"/>
      <c r="H8" s="1"/>
    </row>
    <row r="9" spans="1:8" x14ac:dyDescent="0.3">
      <c r="A9" s="26">
        <v>45944</v>
      </c>
      <c r="B9" s="38" t="s">
        <v>26</v>
      </c>
      <c r="C9" s="35">
        <v>613.84810000000004</v>
      </c>
      <c r="D9" s="39">
        <v>26797863</v>
      </c>
      <c r="E9" s="1" t="str">
        <f t="shared" si="0"/>
        <v>2025-10</v>
      </c>
      <c r="F9" s="36">
        <f t="shared" si="1"/>
        <v>-2.8169016314335549E-2</v>
      </c>
      <c r="G9" s="1"/>
      <c r="H9" s="1"/>
    </row>
    <row r="10" spans="1:8" x14ac:dyDescent="0.3">
      <c r="A10" s="26">
        <v>45945</v>
      </c>
      <c r="B10" s="38" t="s">
        <v>26</v>
      </c>
      <c r="C10" s="35">
        <v>619.779</v>
      </c>
      <c r="D10" s="39">
        <v>18381023</v>
      </c>
      <c r="E10" s="1" t="str">
        <f t="shared" si="0"/>
        <v>2025-10</v>
      </c>
      <c r="F10" s="36">
        <f t="shared" si="1"/>
        <v>9.6618365357812319E-3</v>
      </c>
      <c r="G10" s="1"/>
      <c r="H10" s="1"/>
    </row>
    <row r="11" spans="1:8" x14ac:dyDescent="0.3">
      <c r="A11" s="26">
        <v>45946</v>
      </c>
      <c r="B11" s="38" t="s">
        <v>26</v>
      </c>
      <c r="C11" s="35">
        <v>612.8596</v>
      </c>
      <c r="D11" s="39">
        <v>14285465</v>
      </c>
      <c r="E11" s="1" t="str">
        <f t="shared" si="0"/>
        <v>2025-10</v>
      </c>
      <c r="F11" s="36">
        <f t="shared" si="1"/>
        <v>-1.1164302114140656E-2</v>
      </c>
      <c r="G11" s="1"/>
      <c r="H11" s="1"/>
    </row>
    <row r="12" spans="1:8" x14ac:dyDescent="0.3">
      <c r="A12" s="26">
        <v>45947</v>
      </c>
      <c r="B12" s="38" t="s">
        <v>26</v>
      </c>
      <c r="C12" s="35">
        <v>600.99779999999998</v>
      </c>
      <c r="D12" s="39">
        <v>18654519</v>
      </c>
      <c r="E12" s="1" t="str">
        <f t="shared" si="0"/>
        <v>2025-10</v>
      </c>
      <c r="F12" s="36">
        <f t="shared" si="1"/>
        <v>-1.9354840815090424E-2</v>
      </c>
      <c r="G12" s="1"/>
      <c r="H12" s="1"/>
    </row>
    <row r="13" spans="1:8" x14ac:dyDescent="0.3">
      <c r="A13" s="26">
        <v>45950</v>
      </c>
      <c r="B13" s="38" t="s">
        <v>26</v>
      </c>
      <c r="C13" s="35">
        <v>620.27329999999995</v>
      </c>
      <c r="D13" s="39">
        <v>14963360</v>
      </c>
      <c r="E13" s="1" t="str">
        <f t="shared" si="0"/>
        <v>2025-10</v>
      </c>
      <c r="F13" s="36">
        <f t="shared" si="1"/>
        <v>3.2072496771202719E-2</v>
      </c>
      <c r="G13" s="1"/>
      <c r="H13" s="1"/>
    </row>
    <row r="14" spans="1:8" x14ac:dyDescent="0.3">
      <c r="A14" s="26">
        <v>45951</v>
      </c>
      <c r="B14" s="38" t="s">
        <v>26</v>
      </c>
      <c r="C14" s="35">
        <v>623.23869999999999</v>
      </c>
      <c r="D14" s="39">
        <v>14171988</v>
      </c>
      <c r="E14" s="1" t="str">
        <f t="shared" si="0"/>
        <v>2025-10</v>
      </c>
      <c r="F14" s="36">
        <f t="shared" si="1"/>
        <v>4.7807958201651068E-3</v>
      </c>
      <c r="G14" s="1"/>
      <c r="H14" s="1"/>
    </row>
    <row r="15" spans="1:8" x14ac:dyDescent="0.3">
      <c r="A15" s="26">
        <v>45952</v>
      </c>
      <c r="B15" s="38" t="s">
        <v>26</v>
      </c>
      <c r="C15" s="35">
        <v>616.3193</v>
      </c>
      <c r="D15" s="39">
        <v>9979448</v>
      </c>
      <c r="E15" s="1" t="str">
        <f t="shared" si="0"/>
        <v>2025-10</v>
      </c>
      <c r="F15" s="36">
        <f t="shared" si="1"/>
        <v>-1.1102327246366395E-2</v>
      </c>
      <c r="G15" s="1"/>
      <c r="H15" s="1"/>
    </row>
    <row r="16" spans="1:8" x14ac:dyDescent="0.3">
      <c r="A16" s="26">
        <v>45953</v>
      </c>
      <c r="B16" s="38" t="s">
        <v>26</v>
      </c>
      <c r="C16" s="35">
        <v>625.70989999999995</v>
      </c>
      <c r="D16" s="39">
        <v>12419348</v>
      </c>
      <c r="E16" s="1" t="str">
        <f t="shared" si="0"/>
        <v>2025-10</v>
      </c>
      <c r="F16" s="36">
        <f t="shared" si="1"/>
        <v>1.5236582725869363E-2</v>
      </c>
      <c r="G16" s="1"/>
      <c r="H16" s="1"/>
    </row>
    <row r="17" spans="1:8" x14ac:dyDescent="0.3">
      <c r="A17" s="26">
        <v>45954</v>
      </c>
      <c r="B17" s="38" t="s">
        <v>26</v>
      </c>
      <c r="C17" s="35">
        <v>630.15809999999999</v>
      </c>
      <c r="D17" s="39">
        <v>11997034</v>
      </c>
      <c r="E17" s="1" t="str">
        <f t="shared" si="0"/>
        <v>2025-10</v>
      </c>
      <c r="F17" s="36">
        <f t="shared" si="1"/>
        <v>7.1090452620297118E-3</v>
      </c>
      <c r="G17" s="1"/>
      <c r="H17" s="1"/>
    </row>
    <row r="18" spans="1:8" x14ac:dyDescent="0.3">
      <c r="A18" s="26">
        <v>45957</v>
      </c>
      <c r="B18" s="38" t="s">
        <v>26</v>
      </c>
      <c r="C18" s="35">
        <v>648.44500000000005</v>
      </c>
      <c r="D18" s="39">
        <v>16043970</v>
      </c>
      <c r="E18" s="1" t="str">
        <f t="shared" si="0"/>
        <v>2025-10</v>
      </c>
      <c r="F18" s="36">
        <f t="shared" si="1"/>
        <v>2.9019542873447213E-2</v>
      </c>
      <c r="G18" s="1"/>
      <c r="H18" s="1"/>
    </row>
    <row r="19" spans="1:8" x14ac:dyDescent="0.3">
      <c r="A19" s="26">
        <v>45958</v>
      </c>
      <c r="B19" s="38" t="s">
        <v>26</v>
      </c>
      <c r="C19" s="35">
        <v>637.57169999999996</v>
      </c>
      <c r="D19" s="39">
        <v>16295470</v>
      </c>
      <c r="E19" s="1" t="str">
        <f t="shared" si="0"/>
        <v>2025-10</v>
      </c>
      <c r="F19" s="36">
        <f t="shared" si="1"/>
        <v>-1.6768268704362099E-2</v>
      </c>
      <c r="G19" s="1"/>
      <c r="H19" s="1"/>
    </row>
    <row r="20" spans="1:8" x14ac:dyDescent="0.3">
      <c r="A20" s="26">
        <v>45960</v>
      </c>
      <c r="B20" s="38" t="s">
        <v>26</v>
      </c>
      <c r="C20" s="35">
        <v>643.50260000000003</v>
      </c>
      <c r="D20" s="39">
        <v>21772780</v>
      </c>
      <c r="E20" s="1" t="str">
        <f t="shared" si="0"/>
        <v>2025-10</v>
      </c>
      <c r="F20" s="36">
        <f t="shared" si="1"/>
        <v>9.3023263109075494E-3</v>
      </c>
      <c r="G20" s="1"/>
      <c r="H20" s="1"/>
    </row>
    <row r="21" spans="1:8" x14ac:dyDescent="0.3">
      <c r="A21" s="26">
        <v>45961</v>
      </c>
      <c r="B21" s="38" t="s">
        <v>26</v>
      </c>
      <c r="C21" s="35">
        <v>621.75599999999997</v>
      </c>
      <c r="D21" s="39">
        <v>20578283</v>
      </c>
      <c r="E21" s="1" t="str">
        <f t="shared" si="0"/>
        <v>2025-10</v>
      </c>
      <c r="F21" s="36">
        <f t="shared" si="1"/>
        <v>-3.3794113652376945E-2</v>
      </c>
      <c r="G21" s="1"/>
      <c r="H21" s="1"/>
    </row>
    <row r="22" spans="1:8" x14ac:dyDescent="0.3">
      <c r="A22" s="26">
        <v>45964</v>
      </c>
      <c r="B22" s="38" t="s">
        <v>26</v>
      </c>
      <c r="C22" s="35">
        <v>620.76750000000004</v>
      </c>
      <c r="D22" s="39">
        <v>11591004</v>
      </c>
      <c r="E22" s="1" t="str">
        <f t="shared" si="0"/>
        <v>2025-11</v>
      </c>
      <c r="F22" s="36">
        <f t="shared" si="1"/>
        <v>-1.5898519676528222E-3</v>
      </c>
      <c r="G22" s="1"/>
      <c r="H22" s="1"/>
    </row>
    <row r="23" spans="1:8" x14ac:dyDescent="0.3">
      <c r="A23" s="26">
        <v>45965</v>
      </c>
      <c r="B23" s="38" t="s">
        <v>26</v>
      </c>
      <c r="C23" s="35">
        <v>621.75599999999997</v>
      </c>
      <c r="D23" s="39">
        <v>14972125</v>
      </c>
      <c r="E23" s="1" t="str">
        <f t="shared" si="0"/>
        <v>2025-11</v>
      </c>
      <c r="F23" s="36">
        <f t="shared" si="1"/>
        <v>1.5923836218874055E-3</v>
      </c>
      <c r="G23" s="1"/>
      <c r="H23" s="1"/>
    </row>
    <row r="24" spans="1:8" x14ac:dyDescent="0.3">
      <c r="A24" s="26">
        <v>45966</v>
      </c>
      <c r="B24" s="38" t="s">
        <v>26</v>
      </c>
      <c r="C24" s="35">
        <v>621.75599999999997</v>
      </c>
      <c r="D24" s="39">
        <v>13309811</v>
      </c>
      <c r="E24" s="1" t="str">
        <f t="shared" si="0"/>
        <v>2025-11</v>
      </c>
      <c r="F24" s="36">
        <f t="shared" si="1"/>
        <v>0</v>
      </c>
      <c r="G24" s="1"/>
      <c r="H24" s="1"/>
    </row>
    <row r="25" spans="1:8" x14ac:dyDescent="0.3">
      <c r="A25" s="26">
        <v>45967</v>
      </c>
      <c r="B25" s="38" t="s">
        <v>26</v>
      </c>
      <c r="C25" s="35">
        <v>636.58320000000003</v>
      </c>
      <c r="D25" s="39">
        <v>13081287</v>
      </c>
      <c r="E25" s="1" t="str">
        <f t="shared" si="0"/>
        <v>2025-11</v>
      </c>
      <c r="F25" s="36">
        <f t="shared" si="1"/>
        <v>2.384729701040289E-2</v>
      </c>
      <c r="G25" s="1"/>
      <c r="H25" s="1"/>
    </row>
    <row r="26" spans="1:8" x14ac:dyDescent="0.3">
      <c r="A26" s="26">
        <v>45968</v>
      </c>
      <c r="B26" s="38" t="s">
        <v>26</v>
      </c>
      <c r="C26" s="35">
        <v>626.69839999999999</v>
      </c>
      <c r="D26" s="39">
        <v>13314360</v>
      </c>
      <c r="E26" s="1" t="str">
        <f t="shared" si="0"/>
        <v>2025-11</v>
      </c>
      <c r="F26" s="36">
        <f t="shared" si="1"/>
        <v>-1.5527899573849924E-2</v>
      </c>
      <c r="G26" s="1"/>
      <c r="H26" s="1"/>
    </row>
    <row r="27" spans="1:8" x14ac:dyDescent="0.3">
      <c r="A27" s="26">
        <v>45971</v>
      </c>
      <c r="B27" s="38" t="s">
        <v>26</v>
      </c>
      <c r="C27" s="35">
        <v>642.01990000000001</v>
      </c>
      <c r="D27" s="39">
        <v>14513815</v>
      </c>
      <c r="E27" s="1" t="str">
        <f t="shared" si="0"/>
        <v>2025-11</v>
      </c>
      <c r="F27" s="36">
        <f t="shared" si="1"/>
        <v>2.4447964124370003E-2</v>
      </c>
      <c r="G27" s="1"/>
      <c r="H27" s="1"/>
    </row>
    <row r="28" spans="1:8" x14ac:dyDescent="0.3">
      <c r="A28" s="26">
        <v>45972</v>
      </c>
      <c r="B28" s="38" t="s">
        <v>26</v>
      </c>
      <c r="C28" s="35">
        <v>642.51409999999998</v>
      </c>
      <c r="D28" s="39">
        <v>13087772</v>
      </c>
      <c r="E28" s="1" t="str">
        <f t="shared" si="0"/>
        <v>2025-11</v>
      </c>
      <c r="F28" s="36">
        <f t="shared" si="1"/>
        <v>7.6975807136192564E-4</v>
      </c>
      <c r="G28" s="1"/>
      <c r="H28" s="1"/>
    </row>
    <row r="29" spans="1:8" x14ac:dyDescent="0.3">
      <c r="A29" s="26">
        <v>45973</v>
      </c>
      <c r="B29" s="38" t="s">
        <v>26</v>
      </c>
      <c r="C29" s="35">
        <v>649.43349999999998</v>
      </c>
      <c r="D29" s="39">
        <v>13658568</v>
      </c>
      <c r="E29" s="1" t="str">
        <f t="shared" si="0"/>
        <v>2025-11</v>
      </c>
      <c r="F29" s="36">
        <f t="shared" si="1"/>
        <v>1.0769257826404033E-2</v>
      </c>
      <c r="G29" s="1"/>
      <c r="H29" s="1"/>
    </row>
    <row r="30" spans="1:8" x14ac:dyDescent="0.3">
      <c r="A30" s="26">
        <v>45974</v>
      </c>
      <c r="B30" s="38" t="s">
        <v>26</v>
      </c>
      <c r="C30" s="35">
        <v>648.44500000000005</v>
      </c>
      <c r="D30" s="39">
        <v>17299913</v>
      </c>
      <c r="E30" s="1" t="str">
        <f t="shared" si="0"/>
        <v>2025-11</v>
      </c>
      <c r="F30" s="36">
        <f t="shared" si="1"/>
        <v>-1.522095795797318E-3</v>
      </c>
      <c r="G30" s="1"/>
      <c r="H30" s="1"/>
    </row>
    <row r="31" spans="1:8" x14ac:dyDescent="0.3">
      <c r="A31" s="26">
        <v>45975</v>
      </c>
      <c r="B31" s="38" t="s">
        <v>26</v>
      </c>
      <c r="C31" s="35">
        <v>633.61770000000001</v>
      </c>
      <c r="D31" s="39">
        <v>19956444</v>
      </c>
      <c r="E31" s="1" t="str">
        <f t="shared" si="0"/>
        <v>2025-11</v>
      </c>
      <c r="F31" s="36">
        <f t="shared" si="1"/>
        <v>-2.2865933116918202E-2</v>
      </c>
      <c r="G31" s="1"/>
      <c r="H31" s="1"/>
    </row>
    <row r="32" spans="1:8" x14ac:dyDescent="0.3">
      <c r="A32" s="26">
        <v>45978</v>
      </c>
      <c r="B32" s="38" t="s">
        <v>26</v>
      </c>
      <c r="C32" s="35">
        <v>629.16959999999995</v>
      </c>
      <c r="D32" s="39">
        <v>13794477</v>
      </c>
      <c r="E32" s="1" t="str">
        <f t="shared" si="0"/>
        <v>2025-11</v>
      </c>
      <c r="F32" s="36">
        <f t="shared" si="1"/>
        <v>-7.0201637359563751E-3</v>
      </c>
      <c r="G32" s="1"/>
      <c r="H32" s="1"/>
    </row>
    <row r="33" spans="1:8" x14ac:dyDescent="0.3">
      <c r="A33" s="26">
        <v>45979</v>
      </c>
      <c r="B33" s="38" t="s">
        <v>26</v>
      </c>
      <c r="C33" s="35">
        <v>616.3193</v>
      </c>
      <c r="D33" s="39">
        <v>18818609</v>
      </c>
      <c r="E33" s="1" t="str">
        <f t="shared" si="0"/>
        <v>2025-11</v>
      </c>
      <c r="F33" s="36">
        <f t="shared" si="1"/>
        <v>-2.0424222657928759E-2</v>
      </c>
      <c r="G33" s="1"/>
      <c r="H33" s="1"/>
    </row>
    <row r="34" spans="1:8" x14ac:dyDescent="0.3">
      <c r="A34" s="26">
        <v>45980</v>
      </c>
      <c r="B34" s="38" t="s">
        <v>26</v>
      </c>
      <c r="C34" s="35">
        <v>615.33079999999995</v>
      </c>
      <c r="D34" s="39">
        <v>13959708</v>
      </c>
      <c r="E34" s="1" t="str">
        <f t="shared" si="0"/>
        <v>2025-11</v>
      </c>
      <c r="F34" s="36">
        <f t="shared" si="1"/>
        <v>-1.6038764322324761E-3</v>
      </c>
      <c r="G34" s="1"/>
      <c r="H34" s="1"/>
    </row>
    <row r="35" spans="1:8" x14ac:dyDescent="0.3">
      <c r="A35" s="26">
        <v>45981</v>
      </c>
      <c r="B35" s="38" t="s">
        <v>26</v>
      </c>
      <c r="C35" s="35">
        <v>613.84810000000004</v>
      </c>
      <c r="D35" s="39">
        <v>14015988</v>
      </c>
      <c r="E35" s="1" t="str">
        <f t="shared" si="0"/>
        <v>2025-11</v>
      </c>
      <c r="F35" s="36">
        <f t="shared" si="1"/>
        <v>-2.4095982193641508E-3</v>
      </c>
      <c r="G35" s="1"/>
      <c r="H35" s="1"/>
    </row>
    <row r="36" spans="1:8" x14ac:dyDescent="0.3">
      <c r="A36" s="26">
        <v>45982</v>
      </c>
      <c r="B36" s="38" t="s">
        <v>26</v>
      </c>
      <c r="C36" s="35">
        <v>602.97479999999996</v>
      </c>
      <c r="D36" s="39">
        <v>23732050</v>
      </c>
      <c r="E36" s="1" t="str">
        <f t="shared" si="0"/>
        <v>2025-11</v>
      </c>
      <c r="F36" s="36">
        <f t="shared" si="1"/>
        <v>-1.7713339831140762E-2</v>
      </c>
      <c r="G36" s="1"/>
      <c r="H36" s="1"/>
    </row>
    <row r="37" spans="1:8" x14ac:dyDescent="0.3">
      <c r="A37" s="26">
        <v>45985</v>
      </c>
      <c r="B37" s="38" t="s">
        <v>26</v>
      </c>
      <c r="C37" s="35">
        <v>617.30780000000004</v>
      </c>
      <c r="D37" s="39">
        <v>22376801</v>
      </c>
      <c r="E37" s="1" t="str">
        <f t="shared" si="0"/>
        <v>2025-11</v>
      </c>
      <c r="F37" s="36">
        <f t="shared" si="1"/>
        <v>2.3770479296979063E-2</v>
      </c>
      <c r="G37" s="1"/>
      <c r="H37" s="1"/>
    </row>
    <row r="38" spans="1:8" x14ac:dyDescent="0.3">
      <c r="A38" s="26">
        <v>45986</v>
      </c>
      <c r="B38" s="38" t="s">
        <v>26</v>
      </c>
      <c r="C38" s="35">
        <v>617.80200000000002</v>
      </c>
      <c r="D38" s="39">
        <v>14877620</v>
      </c>
      <c r="E38" s="1" t="str">
        <f t="shared" si="0"/>
        <v>2025-11</v>
      </c>
      <c r="F38" s="36">
        <f t="shared" si="1"/>
        <v>8.0057306905878534E-4</v>
      </c>
      <c r="G38" s="1"/>
      <c r="H38" s="1"/>
    </row>
    <row r="39" spans="1:8" x14ac:dyDescent="0.3">
      <c r="A39" s="26">
        <v>45987</v>
      </c>
      <c r="B39" s="38" t="s">
        <v>26</v>
      </c>
      <c r="C39" s="35">
        <v>612.36540000000002</v>
      </c>
      <c r="D39" s="39">
        <v>14429595</v>
      </c>
      <c r="E39" s="1" t="str">
        <f t="shared" si="0"/>
        <v>2025-11</v>
      </c>
      <c r="F39" s="36">
        <f t="shared" si="1"/>
        <v>-8.7999067662455355E-3</v>
      </c>
      <c r="G39" s="1"/>
      <c r="H39" s="1"/>
    </row>
    <row r="40" spans="1:8" x14ac:dyDescent="0.3">
      <c r="A40" s="26">
        <v>45988</v>
      </c>
      <c r="B40" s="38" t="s">
        <v>26</v>
      </c>
      <c r="C40" s="35">
        <v>604.45749999999998</v>
      </c>
      <c r="D40" s="39">
        <v>15493209</v>
      </c>
      <c r="E40" s="1" t="str">
        <f t="shared" si="0"/>
        <v>2025-11</v>
      </c>
      <c r="F40" s="36">
        <f t="shared" si="1"/>
        <v>-1.291369499321815E-2</v>
      </c>
      <c r="G40" s="1"/>
      <c r="H40" s="1"/>
    </row>
    <row r="41" spans="1:8" x14ac:dyDescent="0.3">
      <c r="A41" s="26">
        <v>45989</v>
      </c>
      <c r="B41" s="38" t="s">
        <v>26</v>
      </c>
      <c r="C41" s="35">
        <v>604.45749999999998</v>
      </c>
      <c r="D41" s="39">
        <v>13216245</v>
      </c>
      <c r="E41" s="1" t="str">
        <f t="shared" si="0"/>
        <v>2025-11</v>
      </c>
      <c r="F41" s="36">
        <f t="shared" si="1"/>
        <v>0</v>
      </c>
      <c r="G41" s="1"/>
      <c r="H41" s="1"/>
    </row>
    <row r="42" spans="1:8" x14ac:dyDescent="0.3">
      <c r="A42" s="26">
        <v>45992</v>
      </c>
      <c r="B42" s="38" t="s">
        <v>26</v>
      </c>
      <c r="C42" s="35">
        <v>612.36540000000002</v>
      </c>
      <c r="D42" s="39">
        <v>12643338</v>
      </c>
      <c r="E42" s="1" t="str">
        <f t="shared" si="0"/>
        <v>2025-12</v>
      </c>
      <c r="F42" s="36">
        <f t="shared" si="1"/>
        <v>1.308264021870853E-2</v>
      </c>
      <c r="G42" s="1"/>
      <c r="H42" s="1"/>
    </row>
    <row r="43" spans="1:8" x14ac:dyDescent="0.3">
      <c r="A43" s="26">
        <v>45993</v>
      </c>
      <c r="B43" s="38" t="s">
        <v>26</v>
      </c>
      <c r="C43" s="35">
        <v>609.89419999999996</v>
      </c>
      <c r="D43" s="39">
        <v>11460186</v>
      </c>
      <c r="E43" s="1" t="str">
        <f t="shared" si="0"/>
        <v>2025-12</v>
      </c>
      <c r="F43" s="36">
        <f t="shared" si="1"/>
        <v>-4.035499066407211E-3</v>
      </c>
      <c r="G43" s="1"/>
      <c r="H43" s="1"/>
    </row>
    <row r="44" spans="1:8" x14ac:dyDescent="0.3">
      <c r="A44" s="26">
        <v>45994</v>
      </c>
      <c r="B44" s="38" t="s">
        <v>26</v>
      </c>
      <c r="C44" s="35">
        <v>603.9633</v>
      </c>
      <c r="D44" s="39">
        <v>11002158</v>
      </c>
      <c r="E44" s="1" t="str">
        <f t="shared" si="0"/>
        <v>2025-12</v>
      </c>
      <c r="F44" s="36">
        <f t="shared" si="1"/>
        <v>-9.7244735234405244E-3</v>
      </c>
      <c r="G44" s="1"/>
      <c r="H44" s="1"/>
    </row>
    <row r="45" spans="1:8" x14ac:dyDescent="0.3">
      <c r="A45" s="26">
        <v>45995</v>
      </c>
      <c r="B45" s="38" t="s">
        <v>26</v>
      </c>
      <c r="C45" s="35">
        <v>604.95169999999996</v>
      </c>
      <c r="D45" s="39">
        <v>15329748</v>
      </c>
      <c r="E45" s="1" t="str">
        <f t="shared" si="0"/>
        <v>2025-12</v>
      </c>
      <c r="F45" s="36">
        <f t="shared" si="1"/>
        <v>1.6365232788151385E-3</v>
      </c>
      <c r="G45" s="1"/>
      <c r="H45" s="1"/>
    </row>
    <row r="46" spans="1:8" x14ac:dyDescent="0.3">
      <c r="A46" s="26">
        <v>45996</v>
      </c>
      <c r="B46" s="38" t="s">
        <v>26</v>
      </c>
      <c r="C46" s="35">
        <v>602.97479999999996</v>
      </c>
      <c r="D46" s="39">
        <v>14638391</v>
      </c>
      <c r="E46" s="1" t="str">
        <f t="shared" si="0"/>
        <v>2025-12</v>
      </c>
      <c r="F46" s="36">
        <f t="shared" si="1"/>
        <v>-3.2678641947778697E-3</v>
      </c>
      <c r="G46" s="1"/>
      <c r="H46" s="1"/>
    </row>
    <row r="47" spans="1:8" x14ac:dyDescent="0.3">
      <c r="A47" s="26">
        <v>45999</v>
      </c>
      <c r="B47" s="38" t="s">
        <v>26</v>
      </c>
      <c r="C47" s="35">
        <v>598.03229999999996</v>
      </c>
      <c r="D47" s="39">
        <v>13421327</v>
      </c>
      <c r="E47" s="1" t="str">
        <f t="shared" si="0"/>
        <v>2025-12</v>
      </c>
      <c r="F47" s="36">
        <f t="shared" si="1"/>
        <v>-8.196859968277237E-3</v>
      </c>
      <c r="G47" s="1"/>
      <c r="H47" s="1"/>
    </row>
    <row r="48" spans="1:8" x14ac:dyDescent="0.3">
      <c r="A48" s="26">
        <v>46000</v>
      </c>
      <c r="B48" s="38" t="s">
        <v>26</v>
      </c>
      <c r="C48" s="35">
        <v>595.56119999999999</v>
      </c>
      <c r="D48" s="39">
        <v>17431321</v>
      </c>
      <c r="E48" s="1" t="str">
        <f t="shared" si="0"/>
        <v>2025-12</v>
      </c>
      <c r="F48" s="36">
        <f t="shared" si="1"/>
        <v>-4.1320510614559769E-3</v>
      </c>
      <c r="G48" s="1"/>
      <c r="H48" s="1"/>
    </row>
    <row r="49" spans="1:8" x14ac:dyDescent="0.3">
      <c r="A49" s="26">
        <v>46001</v>
      </c>
      <c r="B49" s="38" t="s">
        <v>26</v>
      </c>
      <c r="C49" s="35">
        <v>596.05539999999996</v>
      </c>
      <c r="D49" s="39">
        <v>14750743</v>
      </c>
      <c r="E49" s="1" t="str">
        <f t="shared" si="0"/>
        <v>2025-12</v>
      </c>
      <c r="F49" s="36">
        <f t="shared" si="1"/>
        <v>8.2980556826073304E-4</v>
      </c>
      <c r="G49" s="1"/>
      <c r="H49" s="1"/>
    </row>
    <row r="50" spans="1:8" x14ac:dyDescent="0.3">
      <c r="A50" s="26">
        <v>46002</v>
      </c>
      <c r="B50" s="38" t="s">
        <v>26</v>
      </c>
      <c r="C50" s="35">
        <v>594.57270000000005</v>
      </c>
      <c r="D50" s="39">
        <v>12480887</v>
      </c>
      <c r="E50" s="1" t="str">
        <f t="shared" si="0"/>
        <v>2025-12</v>
      </c>
      <c r="F50" s="36">
        <f t="shared" si="1"/>
        <v>-2.4875204553131969E-3</v>
      </c>
      <c r="G50" s="1"/>
      <c r="H50" s="1"/>
    </row>
    <row r="51" spans="1:8" x14ac:dyDescent="0.3">
      <c r="A51" s="26">
        <v>46003</v>
      </c>
      <c r="B51" s="38" t="s">
        <v>26</v>
      </c>
      <c r="C51" s="35">
        <v>608.90570000000002</v>
      </c>
      <c r="D51" s="39">
        <v>17825495</v>
      </c>
      <c r="E51" s="1" t="str">
        <f t="shared" si="0"/>
        <v>2025-12</v>
      </c>
      <c r="F51" s="36">
        <f t="shared" si="1"/>
        <v>2.4106387662938378E-2</v>
      </c>
      <c r="G51" s="1"/>
      <c r="H51" s="1"/>
    </row>
    <row r="52" spans="1:8" x14ac:dyDescent="0.3">
      <c r="A52" s="26">
        <v>46006</v>
      </c>
      <c r="B52" s="38" t="s">
        <v>26</v>
      </c>
      <c r="C52" s="35">
        <v>596.05539999999996</v>
      </c>
      <c r="D52" s="39">
        <v>15165502</v>
      </c>
      <c r="E52" s="1" t="str">
        <f t="shared" si="0"/>
        <v>2025-12</v>
      </c>
      <c r="F52" s="36">
        <f t="shared" si="1"/>
        <v>-2.1103924630694104E-2</v>
      </c>
      <c r="G52" s="1"/>
      <c r="H52" s="1"/>
    </row>
    <row r="53" spans="1:8" x14ac:dyDescent="0.3">
      <c r="A53" s="26">
        <v>46007</v>
      </c>
      <c r="B53" s="38" t="s">
        <v>26</v>
      </c>
      <c r="C53" s="35">
        <v>589.63019999999995</v>
      </c>
      <c r="D53" s="39">
        <v>15987678</v>
      </c>
      <c r="E53" s="1" t="str">
        <f t="shared" si="0"/>
        <v>2025-12</v>
      </c>
      <c r="F53" s="36">
        <f t="shared" si="1"/>
        <v>-1.0779534922425005E-2</v>
      </c>
      <c r="G53" s="1"/>
      <c r="H53" s="1"/>
    </row>
    <row r="54" spans="1:8" x14ac:dyDescent="0.3">
      <c r="A54" s="26">
        <v>46008</v>
      </c>
      <c r="B54" s="38" t="s">
        <v>26</v>
      </c>
      <c r="C54" s="35">
        <v>598.03229999999996</v>
      </c>
      <c r="D54" s="39">
        <v>14824785</v>
      </c>
      <c r="E54" s="1" t="str">
        <f t="shared" si="0"/>
        <v>2025-12</v>
      </c>
      <c r="F54" s="36">
        <f t="shared" si="1"/>
        <v>1.4249778929233958E-2</v>
      </c>
      <c r="G54" s="1"/>
      <c r="H54" s="1"/>
    </row>
    <row r="55" spans="1:8" x14ac:dyDescent="0.3">
      <c r="A55" s="26">
        <v>46009</v>
      </c>
      <c r="B55" s="38" t="s">
        <v>26</v>
      </c>
      <c r="C55" s="35">
        <v>598.03229999999996</v>
      </c>
      <c r="D55" s="39">
        <v>10153604</v>
      </c>
      <c r="E55" s="1" t="str">
        <f t="shared" si="0"/>
        <v>2025-12</v>
      </c>
      <c r="F55" s="36">
        <f t="shared" si="1"/>
        <v>0</v>
      </c>
      <c r="G55" s="1"/>
      <c r="H55" s="1"/>
    </row>
    <row r="56" spans="1:8" x14ac:dyDescent="0.3">
      <c r="A56" s="26">
        <v>46010</v>
      </c>
      <c r="B56" s="38" t="s">
        <v>26</v>
      </c>
      <c r="C56" s="35">
        <v>606.92870000000005</v>
      </c>
      <c r="D56" s="39">
        <v>17765762</v>
      </c>
      <c r="E56" s="1" t="str">
        <f t="shared" si="0"/>
        <v>2025-12</v>
      </c>
      <c r="F56" s="36">
        <f t="shared" si="1"/>
        <v>1.4876119567454937E-2</v>
      </c>
      <c r="G56" s="1"/>
      <c r="H56" s="1"/>
    </row>
    <row r="57" spans="1:8" x14ac:dyDescent="0.3">
      <c r="A57" s="26">
        <v>46013</v>
      </c>
      <c r="B57" s="38" t="s">
        <v>26</v>
      </c>
      <c r="C57" s="35">
        <v>607.423</v>
      </c>
      <c r="D57" s="39">
        <v>13868060</v>
      </c>
      <c r="E57" s="1" t="str">
        <f t="shared" si="0"/>
        <v>2025-12</v>
      </c>
      <c r="F57" s="36">
        <f t="shared" si="1"/>
        <v>8.1442844933832248E-4</v>
      </c>
      <c r="G57" s="1"/>
      <c r="H57" s="1"/>
    </row>
    <row r="58" spans="1:8" x14ac:dyDescent="0.3">
      <c r="A58" s="26">
        <v>46014</v>
      </c>
      <c r="B58" s="38" t="s">
        <v>26</v>
      </c>
      <c r="C58" s="35">
        <v>595.06690000000003</v>
      </c>
      <c r="D58" s="39">
        <v>15623392</v>
      </c>
      <c r="E58" s="1" t="str">
        <f t="shared" si="0"/>
        <v>2025-12</v>
      </c>
      <c r="F58" s="36">
        <f t="shared" si="1"/>
        <v>-2.034183756624286E-2</v>
      </c>
      <c r="G58" s="1"/>
      <c r="H58" s="1"/>
    </row>
    <row r="59" spans="1:8" x14ac:dyDescent="0.3">
      <c r="A59" s="26">
        <v>46015</v>
      </c>
      <c r="B59" s="38" t="s">
        <v>26</v>
      </c>
      <c r="C59" s="35">
        <v>595.56119999999999</v>
      </c>
      <c r="D59" s="39">
        <v>0</v>
      </c>
      <c r="E59" s="1" t="str">
        <f t="shared" si="0"/>
        <v>2025-12</v>
      </c>
      <c r="F59" s="36">
        <f t="shared" si="1"/>
        <v>8.3066290529676401E-4</v>
      </c>
      <c r="G59" s="1"/>
      <c r="H59" s="1"/>
    </row>
    <row r="60" spans="1:8" x14ac:dyDescent="0.3">
      <c r="A60" s="26">
        <v>46020</v>
      </c>
      <c r="B60" s="38" t="s">
        <v>26</v>
      </c>
      <c r="C60" s="35">
        <v>589.63019999999995</v>
      </c>
      <c r="D60" s="39">
        <v>18502650</v>
      </c>
      <c r="E60" s="1" t="str">
        <f t="shared" si="0"/>
        <v>2025-12</v>
      </c>
      <c r="F60" s="36">
        <f t="shared" si="1"/>
        <v>-9.9586742722662658E-3</v>
      </c>
      <c r="G60" s="1"/>
      <c r="H60" s="1"/>
    </row>
    <row r="61" spans="1:8" x14ac:dyDescent="0.3">
      <c r="A61" s="26">
        <v>46021</v>
      </c>
      <c r="B61" s="38" t="s">
        <v>26</v>
      </c>
      <c r="C61" s="35">
        <v>593.09</v>
      </c>
      <c r="D61" s="39">
        <v>13582535</v>
      </c>
      <c r="E61" s="1" t="str">
        <f t="shared" si="0"/>
        <v>2025-12</v>
      </c>
      <c r="F61" s="36">
        <f t="shared" si="1"/>
        <v>5.8677455801960932E-3</v>
      </c>
      <c r="G61" s="1"/>
      <c r="H61" s="1"/>
    </row>
    <row r="62" spans="1:8" x14ac:dyDescent="0.3">
      <c r="A62" s="26">
        <v>46022</v>
      </c>
      <c r="B62" s="38" t="s">
        <v>26</v>
      </c>
      <c r="C62" s="35">
        <v>592.10140000000001</v>
      </c>
      <c r="D62" s="39">
        <v>0</v>
      </c>
      <c r="E62" s="1" t="str">
        <f t="shared" si="0"/>
        <v>2025-12</v>
      </c>
      <c r="F62" s="36">
        <f t="shared" si="1"/>
        <v>-1.666863376553307E-3</v>
      </c>
      <c r="G62" s="1"/>
      <c r="H62" s="1"/>
    </row>
    <row r="63" spans="1:8" x14ac:dyDescent="0.3">
      <c r="A63" s="26">
        <v>46024</v>
      </c>
      <c r="B63" s="38" t="s">
        <v>26</v>
      </c>
      <c r="C63" s="35">
        <v>615.82510000000002</v>
      </c>
      <c r="D63" s="39">
        <v>16200058</v>
      </c>
      <c r="E63" s="1" t="str">
        <f t="shared" si="0"/>
        <v>2026-01</v>
      </c>
      <c r="F63" s="36">
        <f t="shared" si="1"/>
        <v>4.0066954747953742E-2</v>
      </c>
      <c r="G63" s="1"/>
      <c r="H63" s="1"/>
    </row>
    <row r="64" spans="1:8" x14ac:dyDescent="0.3">
      <c r="A64" s="26">
        <v>46027</v>
      </c>
      <c r="B64" s="38" t="s">
        <v>26</v>
      </c>
      <c r="C64" s="35">
        <v>617.30780000000004</v>
      </c>
      <c r="D64" s="39">
        <v>19947025</v>
      </c>
      <c r="E64" s="1" t="str">
        <f t="shared" si="0"/>
        <v>2026-01</v>
      </c>
      <c r="F64" s="36">
        <f t="shared" si="1"/>
        <v>2.4076641241157493E-3</v>
      </c>
      <c r="G64" s="1"/>
      <c r="H64" s="1"/>
    </row>
    <row r="65" spans="1:8" x14ac:dyDescent="0.3">
      <c r="A65" s="26">
        <v>46028</v>
      </c>
      <c r="B65" s="38" t="s">
        <v>26</v>
      </c>
      <c r="C65" s="35">
        <v>625.21559999999999</v>
      </c>
      <c r="D65" s="39">
        <v>24168431</v>
      </c>
      <c r="E65" s="1" t="str">
        <f t="shared" si="0"/>
        <v>2026-01</v>
      </c>
      <c r="F65" s="36">
        <f t="shared" si="1"/>
        <v>1.2810141067389536E-2</v>
      </c>
      <c r="G65" s="1"/>
      <c r="H65" s="1"/>
    </row>
    <row r="66" spans="1:8" x14ac:dyDescent="0.3">
      <c r="A66" s="26">
        <v>46029</v>
      </c>
      <c r="B66" s="38" t="s">
        <v>26</v>
      </c>
      <c r="C66" s="35">
        <v>617.30780000000004</v>
      </c>
      <c r="D66" s="39">
        <v>21378622</v>
      </c>
      <c r="E66" s="1" t="str">
        <f t="shared" ref="E66:E129" si="2">TEXT(A66,"yyyy-mm")</f>
        <v>2026-01</v>
      </c>
      <c r="F66" s="36">
        <f t="shared" si="1"/>
        <v>-1.2648116905592199E-2</v>
      </c>
      <c r="G66" s="1"/>
      <c r="H66" s="1"/>
    </row>
    <row r="67" spans="1:8" x14ac:dyDescent="0.3">
      <c r="A67" s="26">
        <v>46030</v>
      </c>
      <c r="B67" s="38" t="s">
        <v>26</v>
      </c>
      <c r="C67" s="35">
        <v>608.90570000000002</v>
      </c>
      <c r="D67" s="39">
        <v>18742539</v>
      </c>
      <c r="E67" s="1" t="str">
        <f t="shared" si="2"/>
        <v>2026-01</v>
      </c>
      <c r="F67" s="36">
        <f t="shared" ref="F67:F130" si="3">IF(B67=B66,C67/C66-1,0)</f>
        <v>-1.3610876130189853E-2</v>
      </c>
      <c r="G67" s="1"/>
      <c r="H67" s="1"/>
    </row>
    <row r="68" spans="1:8" x14ac:dyDescent="0.3">
      <c r="A68" s="26">
        <v>46031</v>
      </c>
      <c r="B68" s="38" t="s">
        <v>26</v>
      </c>
      <c r="C68" s="35">
        <v>603.9633</v>
      </c>
      <c r="D68" s="39">
        <v>17813669</v>
      </c>
      <c r="E68" s="1" t="str">
        <f t="shared" si="2"/>
        <v>2026-01</v>
      </c>
      <c r="F68" s="36">
        <f t="shared" si="3"/>
        <v>-8.1168561897186908E-3</v>
      </c>
      <c r="G68" s="1"/>
      <c r="H68" s="1"/>
    </row>
    <row r="69" spans="1:8" x14ac:dyDescent="0.3">
      <c r="A69" s="26">
        <v>46034</v>
      </c>
      <c r="B69" s="38" t="s">
        <v>26</v>
      </c>
      <c r="C69" s="35">
        <v>615.82510000000002</v>
      </c>
      <c r="D69" s="39">
        <v>27530129</v>
      </c>
      <c r="E69" s="1" t="str">
        <f t="shared" si="2"/>
        <v>2026-01</v>
      </c>
      <c r="F69" s="36">
        <f t="shared" si="3"/>
        <v>1.9639935075525417E-2</v>
      </c>
      <c r="G69" s="1"/>
      <c r="H69" s="1"/>
    </row>
    <row r="70" spans="1:8" x14ac:dyDescent="0.3">
      <c r="A70" s="26">
        <v>46035</v>
      </c>
      <c r="B70" s="38" t="s">
        <v>26</v>
      </c>
      <c r="C70" s="35">
        <v>620.27329999999995</v>
      </c>
      <c r="D70" s="39">
        <v>24212695</v>
      </c>
      <c r="E70" s="1" t="str">
        <f t="shared" si="2"/>
        <v>2026-01</v>
      </c>
      <c r="F70" s="36">
        <f t="shared" si="3"/>
        <v>7.2231547561147913E-3</v>
      </c>
      <c r="G70" s="1"/>
      <c r="H70" s="1"/>
    </row>
    <row r="71" spans="1:8" x14ac:dyDescent="0.3">
      <c r="A71" s="26">
        <v>46036</v>
      </c>
      <c r="B71" s="38" t="s">
        <v>26</v>
      </c>
      <c r="C71" s="35">
        <v>625.70989999999995</v>
      </c>
      <c r="D71" s="39">
        <v>28677291</v>
      </c>
      <c r="E71" s="1" t="str">
        <f t="shared" si="2"/>
        <v>2026-01</v>
      </c>
      <c r="F71" s="36">
        <f t="shared" si="3"/>
        <v>8.7648460767213443E-3</v>
      </c>
      <c r="G71" s="1"/>
      <c r="H71" s="1"/>
    </row>
    <row r="72" spans="1:8" x14ac:dyDescent="0.3">
      <c r="A72" s="26">
        <v>46037</v>
      </c>
      <c r="B72" s="38" t="s">
        <v>26</v>
      </c>
      <c r="C72" s="35">
        <v>614.83659999999998</v>
      </c>
      <c r="D72" s="39">
        <v>26194252</v>
      </c>
      <c r="E72" s="1" t="str">
        <f t="shared" si="2"/>
        <v>2026-01</v>
      </c>
      <c r="F72" s="36">
        <f t="shared" si="3"/>
        <v>-1.7377541892816373E-2</v>
      </c>
      <c r="G72" s="1"/>
      <c r="H72" s="1"/>
    </row>
    <row r="73" spans="1:8" x14ac:dyDescent="0.3">
      <c r="A73" s="26">
        <v>46038</v>
      </c>
      <c r="B73" s="38" t="s">
        <v>26</v>
      </c>
      <c r="C73" s="35">
        <v>610.38840000000005</v>
      </c>
      <c r="D73" s="39">
        <v>20616793</v>
      </c>
      <c r="E73" s="1" t="str">
        <f t="shared" si="2"/>
        <v>2026-01</v>
      </c>
      <c r="F73" s="36">
        <f t="shared" si="3"/>
        <v>-7.234767741542969E-3</v>
      </c>
      <c r="G73" s="1"/>
      <c r="H73" s="1"/>
    </row>
    <row r="74" spans="1:8" x14ac:dyDescent="0.3">
      <c r="A74" s="26">
        <v>46041</v>
      </c>
      <c r="B74" s="38" t="s">
        <v>26</v>
      </c>
      <c r="C74" s="35">
        <v>602.97479999999996</v>
      </c>
      <c r="D74" s="39">
        <v>13233330</v>
      </c>
      <c r="E74" s="1" t="str">
        <f t="shared" si="2"/>
        <v>2026-01</v>
      </c>
      <c r="F74" s="36">
        <f t="shared" si="3"/>
        <v>-1.2145709191066056E-2</v>
      </c>
      <c r="G74" s="1"/>
      <c r="H74" s="1"/>
    </row>
    <row r="75" spans="1:8" x14ac:dyDescent="0.3">
      <c r="A75" s="26">
        <v>46042</v>
      </c>
      <c r="B75" s="38" t="s">
        <v>26</v>
      </c>
      <c r="C75" s="35">
        <v>594.07839999999999</v>
      </c>
      <c r="D75" s="39">
        <v>24332228</v>
      </c>
      <c r="E75" s="1" t="str">
        <f t="shared" si="2"/>
        <v>2026-01</v>
      </c>
      <c r="F75" s="36">
        <f t="shared" si="3"/>
        <v>-1.4754182098488999E-2</v>
      </c>
      <c r="G75" s="1"/>
      <c r="H75" s="1"/>
    </row>
    <row r="76" spans="1:8" x14ac:dyDescent="0.3">
      <c r="A76" s="26">
        <v>46043</v>
      </c>
      <c r="B76" s="38" t="s">
        <v>26</v>
      </c>
      <c r="C76" s="35">
        <v>595.56119999999999</v>
      </c>
      <c r="D76" s="39">
        <v>16003431</v>
      </c>
      <c r="E76" s="1" t="str">
        <f t="shared" si="2"/>
        <v>2026-01</v>
      </c>
      <c r="F76" s="36">
        <f t="shared" si="3"/>
        <v>2.4959668622861475E-3</v>
      </c>
      <c r="G76" s="1"/>
      <c r="H76" s="1"/>
    </row>
    <row r="77" spans="1:8" x14ac:dyDescent="0.3">
      <c r="A77" s="26">
        <v>46044</v>
      </c>
      <c r="B77" s="38" t="s">
        <v>26</v>
      </c>
      <c r="C77" s="35">
        <v>590.61869999999999</v>
      </c>
      <c r="D77" s="39">
        <v>27168713</v>
      </c>
      <c r="E77" s="1" t="str">
        <f t="shared" si="2"/>
        <v>2026-01</v>
      </c>
      <c r="F77" s="36">
        <f t="shared" si="3"/>
        <v>-8.2988952268885363E-3</v>
      </c>
      <c r="G77" s="1"/>
      <c r="H77" s="1"/>
    </row>
    <row r="78" spans="1:8" x14ac:dyDescent="0.3">
      <c r="A78" s="26">
        <v>46045</v>
      </c>
      <c r="B78" s="38" t="s">
        <v>26</v>
      </c>
      <c r="C78" s="35">
        <v>588.14750000000004</v>
      </c>
      <c r="D78" s="39">
        <v>19177660</v>
      </c>
      <c r="E78" s="1" t="str">
        <f t="shared" si="2"/>
        <v>2026-01</v>
      </c>
      <c r="F78" s="36">
        <f t="shared" si="3"/>
        <v>-4.1840869583031903E-3</v>
      </c>
      <c r="G78" s="1"/>
      <c r="H78" s="1"/>
    </row>
    <row r="79" spans="1:8" x14ac:dyDescent="0.3">
      <c r="A79" s="26">
        <v>46048</v>
      </c>
      <c r="B79" s="38" t="s">
        <v>26</v>
      </c>
      <c r="C79" s="35">
        <v>592.59569999999997</v>
      </c>
      <c r="D79" s="39">
        <v>17439619</v>
      </c>
      <c r="E79" s="1" t="str">
        <f t="shared" si="2"/>
        <v>2026-01</v>
      </c>
      <c r="F79" s="36">
        <f t="shared" si="3"/>
        <v>7.5630687880163805E-3</v>
      </c>
      <c r="G79" s="1"/>
      <c r="H79" s="1"/>
    </row>
    <row r="80" spans="1:8" x14ac:dyDescent="0.3">
      <c r="A80" s="26">
        <v>46049</v>
      </c>
      <c r="B80" s="38" t="s">
        <v>26</v>
      </c>
      <c r="C80" s="35">
        <v>600.00930000000005</v>
      </c>
      <c r="D80" s="39">
        <v>23887447</v>
      </c>
      <c r="E80" s="1" t="str">
        <f t="shared" si="2"/>
        <v>2026-01</v>
      </c>
      <c r="F80" s="36">
        <f t="shared" si="3"/>
        <v>1.2510384398672025E-2</v>
      </c>
      <c r="G80" s="1"/>
      <c r="H80" s="1"/>
    </row>
    <row r="81" spans="1:8" x14ac:dyDescent="0.3">
      <c r="A81" s="26">
        <v>46050</v>
      </c>
      <c r="B81" s="38" t="s">
        <v>26</v>
      </c>
      <c r="C81" s="35">
        <v>613.84810000000004</v>
      </c>
      <c r="D81" s="39">
        <v>25577066</v>
      </c>
      <c r="E81" s="1" t="str">
        <f t="shared" si="2"/>
        <v>2026-01</v>
      </c>
      <c r="F81" s="36">
        <f t="shared" si="3"/>
        <v>2.3064309169874564E-2</v>
      </c>
      <c r="G81" s="1"/>
      <c r="H81" s="1"/>
    </row>
    <row r="82" spans="1:8" x14ac:dyDescent="0.3">
      <c r="A82" s="26">
        <v>46051</v>
      </c>
      <c r="B82" s="38" t="s">
        <v>26</v>
      </c>
      <c r="C82" s="35">
        <v>614.83659999999998</v>
      </c>
      <c r="D82" s="39">
        <v>22951530</v>
      </c>
      <c r="E82" s="1" t="str">
        <f t="shared" si="2"/>
        <v>2026-01</v>
      </c>
      <c r="F82" s="36">
        <f t="shared" si="3"/>
        <v>1.610333240422035E-3</v>
      </c>
      <c r="G82" s="1"/>
      <c r="H82" s="1"/>
    </row>
    <row r="83" spans="1:8" x14ac:dyDescent="0.3">
      <c r="A83" s="26">
        <v>46052</v>
      </c>
      <c r="B83" s="38" t="s">
        <v>26</v>
      </c>
      <c r="C83" s="35">
        <v>599.02089999999998</v>
      </c>
      <c r="D83" s="39">
        <v>21479886</v>
      </c>
      <c r="E83" s="1" t="str">
        <f t="shared" si="2"/>
        <v>2026-01</v>
      </c>
      <c r="F83" s="36">
        <f t="shared" si="3"/>
        <v>-2.5723419848460494E-2</v>
      </c>
      <c r="G83" s="1"/>
      <c r="H83" s="1"/>
    </row>
    <row r="84" spans="1:8" x14ac:dyDescent="0.3">
      <c r="A84" s="26">
        <v>46055</v>
      </c>
      <c r="B84" s="38" t="s">
        <v>26</v>
      </c>
      <c r="C84" s="35">
        <v>591.60720000000003</v>
      </c>
      <c r="D84" s="39">
        <v>27926332</v>
      </c>
      <c r="E84" s="1" t="str">
        <f t="shared" si="2"/>
        <v>2026-02</v>
      </c>
      <c r="F84" s="36">
        <f t="shared" si="3"/>
        <v>-1.2376362828074861E-2</v>
      </c>
      <c r="G84" s="1"/>
      <c r="H84" s="1"/>
    </row>
    <row r="85" spans="1:8" x14ac:dyDescent="0.3">
      <c r="A85" s="26">
        <v>46056</v>
      </c>
      <c r="B85" s="38" t="s">
        <v>26</v>
      </c>
      <c r="C85" s="35">
        <v>574.30880000000002</v>
      </c>
      <c r="D85" s="39">
        <v>65128647</v>
      </c>
      <c r="E85" s="1" t="str">
        <f t="shared" si="2"/>
        <v>2026-02</v>
      </c>
      <c r="F85" s="36">
        <f t="shared" si="3"/>
        <v>-2.9239671187233696E-2</v>
      </c>
      <c r="G85" s="1"/>
      <c r="H85" s="1"/>
    </row>
    <row r="86" spans="1:8" x14ac:dyDescent="0.3">
      <c r="A86" s="26">
        <v>46057</v>
      </c>
      <c r="B86" s="38" t="s">
        <v>26</v>
      </c>
      <c r="C86" s="35">
        <v>551.57370000000003</v>
      </c>
      <c r="D86" s="39">
        <v>60374834</v>
      </c>
      <c r="E86" s="1" t="str">
        <f t="shared" si="2"/>
        <v>2026-02</v>
      </c>
      <c r="F86" s="36">
        <f t="shared" si="3"/>
        <v>-3.9586891233427068E-2</v>
      </c>
      <c r="G86" s="1"/>
      <c r="H86" s="1"/>
    </row>
    <row r="87" spans="1:8" x14ac:dyDescent="0.3">
      <c r="A87" s="26">
        <v>46058</v>
      </c>
      <c r="B87" s="38" t="s">
        <v>26</v>
      </c>
      <c r="C87" s="35">
        <v>552.06790000000001</v>
      </c>
      <c r="D87" s="39">
        <v>79306977</v>
      </c>
      <c r="E87" s="1" t="str">
        <f t="shared" si="2"/>
        <v>2026-02</v>
      </c>
      <c r="F87" s="36">
        <f t="shared" si="3"/>
        <v>8.9598180623906565E-4</v>
      </c>
      <c r="G87" s="1"/>
      <c r="H87" s="1"/>
    </row>
    <row r="88" spans="1:8" x14ac:dyDescent="0.3">
      <c r="A88" s="26">
        <v>46059</v>
      </c>
      <c r="B88" s="38" t="s">
        <v>26</v>
      </c>
      <c r="C88" s="35">
        <v>541.19460000000004</v>
      </c>
      <c r="D88" s="39">
        <v>35402860</v>
      </c>
      <c r="E88" s="1" t="str">
        <f t="shared" si="2"/>
        <v>2026-02</v>
      </c>
      <c r="F88" s="36">
        <f t="shared" si="3"/>
        <v>-1.9695584546755907E-2</v>
      </c>
      <c r="G88" s="1"/>
      <c r="H88" s="1"/>
    </row>
    <row r="89" spans="1:8" x14ac:dyDescent="0.3">
      <c r="A89" s="26">
        <v>46062</v>
      </c>
      <c r="B89" s="38" t="s">
        <v>26</v>
      </c>
      <c r="C89" s="35">
        <v>553.55060000000003</v>
      </c>
      <c r="D89" s="39">
        <v>26375723</v>
      </c>
      <c r="E89" s="1" t="str">
        <f t="shared" si="2"/>
        <v>2026-02</v>
      </c>
      <c r="F89" s="36">
        <f t="shared" si="3"/>
        <v>2.2830974292795903E-2</v>
      </c>
      <c r="G89" s="1"/>
      <c r="H89" s="1"/>
    </row>
    <row r="90" spans="1:8" x14ac:dyDescent="0.3">
      <c r="A90" s="26">
        <v>46063</v>
      </c>
      <c r="B90" s="38" t="s">
        <v>26</v>
      </c>
      <c r="C90" s="35">
        <v>544.65430000000003</v>
      </c>
      <c r="D90" s="39">
        <v>29211865</v>
      </c>
      <c r="E90" s="1" t="str">
        <f t="shared" si="2"/>
        <v>2026-02</v>
      </c>
      <c r="F90" s="36">
        <f t="shared" si="3"/>
        <v>-1.6071340181005977E-2</v>
      </c>
      <c r="G90" s="1"/>
      <c r="H90" s="1"/>
    </row>
    <row r="91" spans="1:8" x14ac:dyDescent="0.3">
      <c r="A91" s="26">
        <v>46064</v>
      </c>
      <c r="B91" s="38" t="s">
        <v>26</v>
      </c>
      <c r="C91" s="35">
        <v>541.68880000000001</v>
      </c>
      <c r="D91" s="39">
        <v>23759058</v>
      </c>
      <c r="E91" s="1" t="str">
        <f t="shared" si="2"/>
        <v>2026-02</v>
      </c>
      <c r="F91" s="36">
        <f t="shared" si="3"/>
        <v>-5.4447380659622402E-3</v>
      </c>
      <c r="G91" s="1"/>
      <c r="H91" s="1"/>
    </row>
    <row r="92" spans="1:8" x14ac:dyDescent="0.3">
      <c r="A92" s="26">
        <v>46065</v>
      </c>
      <c r="B92" s="38" t="s">
        <v>26</v>
      </c>
      <c r="C92" s="35">
        <v>529.33280000000002</v>
      </c>
      <c r="D92" s="39">
        <v>39790780</v>
      </c>
      <c r="E92" s="1" t="str">
        <f t="shared" si="2"/>
        <v>2026-02</v>
      </c>
      <c r="F92" s="36">
        <f t="shared" si="3"/>
        <v>-2.2810144865465176E-2</v>
      </c>
      <c r="G92" s="1"/>
      <c r="H92" s="1"/>
    </row>
    <row r="93" spans="1:8" x14ac:dyDescent="0.3">
      <c r="A93" s="26">
        <v>46066</v>
      </c>
      <c r="B93" s="38" t="s">
        <v>26</v>
      </c>
      <c r="C93" s="35">
        <v>525.87310000000002</v>
      </c>
      <c r="D93" s="39">
        <v>26900740</v>
      </c>
      <c r="E93" s="1" t="str">
        <f t="shared" si="2"/>
        <v>2026-02</v>
      </c>
      <c r="F93" s="36">
        <f t="shared" si="3"/>
        <v>-6.5359637641951851E-3</v>
      </c>
      <c r="G93" s="1"/>
      <c r="H93" s="1"/>
    </row>
    <row r="94" spans="1:8" x14ac:dyDescent="0.3">
      <c r="A94" s="26">
        <v>46069</v>
      </c>
      <c r="B94" s="38" t="s">
        <v>26</v>
      </c>
      <c r="C94" s="35">
        <v>528.34429999999998</v>
      </c>
      <c r="D94" s="39">
        <v>0</v>
      </c>
      <c r="E94" s="1" t="str">
        <f t="shared" si="2"/>
        <v>2026-02</v>
      </c>
      <c r="F94" s="36">
        <f t="shared" si="3"/>
        <v>4.6992325715080607E-3</v>
      </c>
      <c r="G94" s="1"/>
      <c r="H94" s="1"/>
    </row>
    <row r="95" spans="1:8" x14ac:dyDescent="0.3">
      <c r="A95" s="26">
        <v>46073</v>
      </c>
      <c r="B95" s="38" t="s">
        <v>26</v>
      </c>
      <c r="C95" s="35">
        <v>515.98829999999998</v>
      </c>
      <c r="D95" s="39">
        <v>21351884</v>
      </c>
      <c r="E95" s="1" t="str">
        <f t="shared" si="2"/>
        <v>2026-02</v>
      </c>
      <c r="F95" s="36">
        <f t="shared" si="3"/>
        <v>-2.3386265357646541E-2</v>
      </c>
      <c r="G95" s="1"/>
      <c r="H95" s="1"/>
    </row>
    <row r="96" spans="1:8" x14ac:dyDescent="0.3">
      <c r="A96" s="26">
        <v>46076</v>
      </c>
      <c r="B96" s="38" t="s">
        <v>26</v>
      </c>
      <c r="C96" s="35">
        <v>531.80399999999997</v>
      </c>
      <c r="D96" s="39">
        <v>22136687</v>
      </c>
      <c r="E96" s="1" t="str">
        <f t="shared" si="2"/>
        <v>2026-02</v>
      </c>
      <c r="F96" s="36">
        <f t="shared" si="3"/>
        <v>3.0651276395220473E-2</v>
      </c>
      <c r="G96" s="1"/>
      <c r="H96" s="1"/>
    </row>
    <row r="97" spans="1:8" x14ac:dyDescent="0.3">
      <c r="A97" s="26">
        <v>46077</v>
      </c>
      <c r="B97" s="38" t="s">
        <v>26</v>
      </c>
      <c r="C97" s="35">
        <v>514.01130000000001</v>
      </c>
      <c r="D97" s="39">
        <v>36134943</v>
      </c>
      <c r="E97" s="1" t="str">
        <f t="shared" si="2"/>
        <v>2026-02</v>
      </c>
      <c r="F97" s="36">
        <f t="shared" si="3"/>
        <v>-3.3457251167723356E-2</v>
      </c>
      <c r="G97" s="1"/>
      <c r="H97" s="1"/>
    </row>
    <row r="98" spans="1:8" x14ac:dyDescent="0.3">
      <c r="A98" s="26">
        <v>46078</v>
      </c>
      <c r="B98" s="38" t="s">
        <v>26</v>
      </c>
      <c r="C98" s="35">
        <v>516.48249999999996</v>
      </c>
      <c r="D98" s="39">
        <v>22838866</v>
      </c>
      <c r="E98" s="1" t="str">
        <f t="shared" si="2"/>
        <v>2026-02</v>
      </c>
      <c r="F98" s="36">
        <f t="shared" si="3"/>
        <v>4.8076764071138811E-3</v>
      </c>
      <c r="G98" s="1"/>
      <c r="H98" s="1"/>
    </row>
    <row r="99" spans="1:8" x14ac:dyDescent="0.3">
      <c r="A99" s="26">
        <v>46079</v>
      </c>
      <c r="B99" s="38" t="s">
        <v>26</v>
      </c>
      <c r="C99" s="35">
        <v>506.10340000000002</v>
      </c>
      <c r="D99" s="39">
        <v>25547825</v>
      </c>
      <c r="E99" s="1" t="str">
        <f t="shared" si="2"/>
        <v>2026-02</v>
      </c>
      <c r="F99" s="36">
        <f t="shared" si="3"/>
        <v>-2.0095743805453092E-2</v>
      </c>
      <c r="G99" s="1"/>
      <c r="H99" s="1"/>
    </row>
    <row r="100" spans="1:8" x14ac:dyDescent="0.3">
      <c r="A100" s="26">
        <v>46080</v>
      </c>
      <c r="B100" s="38" t="s">
        <v>26</v>
      </c>
      <c r="C100" s="35">
        <v>512.03430000000003</v>
      </c>
      <c r="D100" s="39">
        <v>32229030</v>
      </c>
      <c r="E100" s="1" t="str">
        <f t="shared" si="2"/>
        <v>2026-02</v>
      </c>
      <c r="F100" s="36">
        <f t="shared" si="3"/>
        <v>1.171875154365698E-2</v>
      </c>
      <c r="G100" s="1"/>
      <c r="H100" s="1"/>
    </row>
    <row r="101" spans="1:8" x14ac:dyDescent="0.3">
      <c r="A101" s="26">
        <v>46083</v>
      </c>
      <c r="B101" s="38" t="s">
        <v>26</v>
      </c>
      <c r="C101" s="35">
        <v>508.0804</v>
      </c>
      <c r="D101" s="39">
        <v>30816358</v>
      </c>
      <c r="E101" s="1" t="str">
        <f t="shared" si="2"/>
        <v>2026-03</v>
      </c>
      <c r="F101" s="36">
        <f t="shared" si="3"/>
        <v>-7.7219436276046993E-3</v>
      </c>
      <c r="G101" s="1"/>
      <c r="H101" s="1"/>
    </row>
    <row r="102" spans="1:8" x14ac:dyDescent="0.3">
      <c r="A102" s="26">
        <v>46084</v>
      </c>
      <c r="B102" s="38" t="s">
        <v>26</v>
      </c>
      <c r="C102" s="35">
        <v>504.6207</v>
      </c>
      <c r="D102" s="39">
        <v>27370602</v>
      </c>
      <c r="E102" s="1" t="str">
        <f t="shared" si="2"/>
        <v>2026-03</v>
      </c>
      <c r="F102" s="36">
        <f t="shared" si="3"/>
        <v>-6.8093553697406994E-3</v>
      </c>
      <c r="G102" s="1"/>
      <c r="H102" s="1"/>
    </row>
    <row r="103" spans="1:8" x14ac:dyDescent="0.3">
      <c r="A103" s="26">
        <v>46085</v>
      </c>
      <c r="B103" s="38" t="s">
        <v>26</v>
      </c>
      <c r="C103" s="35">
        <v>500.17250000000001</v>
      </c>
      <c r="D103" s="39">
        <v>32965198</v>
      </c>
      <c r="E103" s="1" t="str">
        <f t="shared" si="2"/>
        <v>2026-03</v>
      </c>
      <c r="F103" s="36">
        <f t="shared" si="3"/>
        <v>-8.8149376353368059E-3</v>
      </c>
      <c r="G103" s="1"/>
      <c r="H103" s="1"/>
    </row>
    <row r="104" spans="1:8" x14ac:dyDescent="0.3">
      <c r="A104" s="26">
        <v>46086</v>
      </c>
      <c r="B104" s="38" t="s">
        <v>26</v>
      </c>
      <c r="C104" s="35">
        <v>496.21859999999998</v>
      </c>
      <c r="D104" s="39">
        <v>23955443</v>
      </c>
      <c r="E104" s="1" t="str">
        <f t="shared" si="2"/>
        <v>2026-03</v>
      </c>
      <c r="F104" s="36">
        <f t="shared" si="3"/>
        <v>-7.9050727499013762E-3</v>
      </c>
      <c r="G104" s="1"/>
      <c r="H104" s="1"/>
    </row>
    <row r="105" spans="1:8" x14ac:dyDescent="0.3">
      <c r="A105" s="26">
        <v>46087</v>
      </c>
      <c r="B105" s="38" t="s">
        <v>26</v>
      </c>
      <c r="C105" s="35">
        <v>513.02279999999996</v>
      </c>
      <c r="D105" s="39">
        <v>30359878</v>
      </c>
      <c r="E105" s="1" t="str">
        <f t="shared" si="2"/>
        <v>2026-03</v>
      </c>
      <c r="F105" s="36">
        <f t="shared" si="3"/>
        <v>3.3864510520161817E-2</v>
      </c>
      <c r="G105" s="1"/>
      <c r="H105" s="1"/>
    </row>
    <row r="106" spans="1:8" x14ac:dyDescent="0.3">
      <c r="A106" s="26">
        <v>46090</v>
      </c>
      <c r="B106" s="38" t="s">
        <v>26</v>
      </c>
      <c r="C106" s="35">
        <v>510.0573</v>
      </c>
      <c r="D106" s="39">
        <v>31383491</v>
      </c>
      <c r="E106" s="1" t="str">
        <f t="shared" si="2"/>
        <v>2026-03</v>
      </c>
      <c r="F106" s="36">
        <f t="shared" si="3"/>
        <v>-5.7804448457260404E-3</v>
      </c>
      <c r="G106" s="1"/>
      <c r="H106" s="1"/>
    </row>
    <row r="107" spans="1:8" x14ac:dyDescent="0.3">
      <c r="A107" s="26">
        <v>46091</v>
      </c>
      <c r="B107" s="38" t="s">
        <v>26</v>
      </c>
      <c r="C107" s="35">
        <v>547.12549999999999</v>
      </c>
      <c r="D107" s="39">
        <v>57862244</v>
      </c>
      <c r="E107" s="1" t="str">
        <f t="shared" si="2"/>
        <v>2026-03</v>
      </c>
      <c r="F107" s="36">
        <f t="shared" si="3"/>
        <v>7.2674579895239289E-2</v>
      </c>
      <c r="G107" s="1"/>
      <c r="H107" s="1"/>
    </row>
    <row r="108" spans="1:8" x14ac:dyDescent="0.3">
      <c r="A108" s="26">
        <v>46092</v>
      </c>
      <c r="B108" s="38" t="s">
        <v>26</v>
      </c>
      <c r="C108" s="35">
        <v>545.64279999999997</v>
      </c>
      <c r="D108" s="39">
        <v>47623240</v>
      </c>
      <c r="E108" s="1" t="str">
        <f t="shared" si="2"/>
        <v>2026-03</v>
      </c>
      <c r="F108" s="36">
        <f t="shared" si="3"/>
        <v>-2.7099815307457531E-3</v>
      </c>
      <c r="G108" s="1"/>
      <c r="H108" s="1"/>
    </row>
    <row r="109" spans="1:8" x14ac:dyDescent="0.3">
      <c r="A109" s="26">
        <v>46093</v>
      </c>
      <c r="B109" s="38" t="s">
        <v>26</v>
      </c>
      <c r="C109" s="35">
        <v>540.20609999999999</v>
      </c>
      <c r="D109" s="39">
        <v>19663840</v>
      </c>
      <c r="E109" s="1" t="str">
        <f t="shared" si="2"/>
        <v>2026-03</v>
      </c>
      <c r="F109" s="36">
        <f t="shared" si="3"/>
        <v>-9.9638444784756475E-3</v>
      </c>
      <c r="G109" s="1"/>
      <c r="H109" s="1"/>
    </row>
    <row r="110" spans="1:8" x14ac:dyDescent="0.3">
      <c r="A110" s="26">
        <v>46094</v>
      </c>
      <c r="B110" s="38" t="s">
        <v>26</v>
      </c>
      <c r="C110" s="35">
        <v>541.19460000000004</v>
      </c>
      <c r="D110" s="39">
        <v>17183958</v>
      </c>
      <c r="E110" s="1" t="str">
        <f t="shared" si="2"/>
        <v>2026-03</v>
      </c>
      <c r="F110" s="36">
        <f t="shared" si="3"/>
        <v>1.8298571600727787E-3</v>
      </c>
      <c r="G110" s="1"/>
      <c r="H110" s="1"/>
    </row>
    <row r="111" spans="1:8" x14ac:dyDescent="0.3">
      <c r="A111" s="26">
        <v>46097</v>
      </c>
      <c r="B111" s="38" t="s">
        <v>26</v>
      </c>
      <c r="C111" s="35">
        <v>552.06790000000001</v>
      </c>
      <c r="D111" s="39">
        <v>24217363</v>
      </c>
      <c r="E111" s="1" t="str">
        <f t="shared" si="2"/>
        <v>2026-03</v>
      </c>
      <c r="F111" s="36">
        <f t="shared" si="3"/>
        <v>2.0091294332944098E-2</v>
      </c>
      <c r="G111" s="1"/>
      <c r="H111" s="1"/>
    </row>
    <row r="112" spans="1:8" x14ac:dyDescent="0.3">
      <c r="A112" s="26">
        <v>46098</v>
      </c>
      <c r="B112" s="38" t="s">
        <v>26</v>
      </c>
      <c r="C112" s="35">
        <v>543.66579999999999</v>
      </c>
      <c r="D112" s="39">
        <v>22872974</v>
      </c>
      <c r="E112" s="1" t="str">
        <f t="shared" si="2"/>
        <v>2026-03</v>
      </c>
      <c r="F112" s="36">
        <f t="shared" si="3"/>
        <v>-1.5219323565090481E-2</v>
      </c>
      <c r="G112" s="1"/>
      <c r="H112" s="1"/>
    </row>
    <row r="113" spans="1:8" x14ac:dyDescent="0.3">
      <c r="A113" s="26">
        <v>46099</v>
      </c>
      <c r="B113" s="38" t="s">
        <v>26</v>
      </c>
      <c r="C113" s="35">
        <v>544.16</v>
      </c>
      <c r="D113" s="39">
        <v>21350876</v>
      </c>
      <c r="E113" s="1" t="str">
        <f t="shared" si="2"/>
        <v>2026-03</v>
      </c>
      <c r="F113" s="36">
        <f t="shared" si="3"/>
        <v>9.090143246088811E-4</v>
      </c>
      <c r="G113" s="1"/>
      <c r="H113" s="1"/>
    </row>
    <row r="114" spans="1:8" x14ac:dyDescent="0.3">
      <c r="A114" s="26">
        <v>46100</v>
      </c>
      <c r="B114" s="38" t="s">
        <v>26</v>
      </c>
      <c r="C114" s="35">
        <v>507.09190000000001</v>
      </c>
      <c r="D114" s="39">
        <v>59432770</v>
      </c>
      <c r="E114" s="1" t="str">
        <f t="shared" si="2"/>
        <v>2026-03</v>
      </c>
      <c r="F114" s="36">
        <f t="shared" si="3"/>
        <v>-6.8119854454572137E-2</v>
      </c>
      <c r="G114" s="1"/>
      <c r="H114" s="1"/>
    </row>
    <row r="115" spans="1:8" x14ac:dyDescent="0.3">
      <c r="A115" s="26">
        <v>46101</v>
      </c>
      <c r="B115" s="38" t="s">
        <v>26</v>
      </c>
      <c r="C115" s="35">
        <v>502.14949999999999</v>
      </c>
      <c r="D115" s="39">
        <v>24924662</v>
      </c>
      <c r="E115" s="1" t="str">
        <f t="shared" si="2"/>
        <v>2026-03</v>
      </c>
      <c r="F115" s="36">
        <f t="shared" si="3"/>
        <v>-9.7465567878327608E-3</v>
      </c>
      <c r="G115" s="1"/>
      <c r="H115" s="1"/>
    </row>
    <row r="116" spans="1:8" x14ac:dyDescent="0.3">
      <c r="A116" s="26">
        <v>46104</v>
      </c>
      <c r="B116" s="38" t="s">
        <v>26</v>
      </c>
      <c r="C116" s="35">
        <v>492.66</v>
      </c>
      <c r="D116" s="39">
        <v>35123702</v>
      </c>
      <c r="E116" s="1" t="str">
        <f t="shared" si="2"/>
        <v>2026-03</v>
      </c>
      <c r="F116" s="36">
        <f t="shared" si="3"/>
        <v>-1.8897758536053466E-2</v>
      </c>
      <c r="G116" s="1"/>
      <c r="H116" s="1"/>
    </row>
    <row r="117" spans="1:8" x14ac:dyDescent="0.3">
      <c r="A117" s="26">
        <v>46105</v>
      </c>
      <c r="B117" s="38" t="s">
        <v>26</v>
      </c>
      <c r="C117" s="35">
        <v>508.0804</v>
      </c>
      <c r="D117" s="39">
        <v>29358876</v>
      </c>
      <c r="E117" s="1" t="str">
        <f t="shared" si="2"/>
        <v>2026-03</v>
      </c>
      <c r="F117" s="36">
        <f t="shared" si="3"/>
        <v>3.1300288231234541E-2</v>
      </c>
      <c r="G117" s="1"/>
      <c r="H117" s="1"/>
    </row>
    <row r="118" spans="1:8" x14ac:dyDescent="0.3">
      <c r="A118" s="26">
        <v>46106</v>
      </c>
      <c r="B118" s="38" t="s">
        <v>26</v>
      </c>
      <c r="C118" s="35">
        <v>499.67829999999998</v>
      </c>
      <c r="D118" s="39">
        <v>37353909</v>
      </c>
      <c r="E118" s="1" t="str">
        <f t="shared" si="2"/>
        <v>2026-03</v>
      </c>
      <c r="F118" s="36">
        <f t="shared" si="3"/>
        <v>-1.6536949663872091E-2</v>
      </c>
      <c r="G118" s="1"/>
      <c r="H118" s="1"/>
    </row>
    <row r="119" spans="1:8" x14ac:dyDescent="0.3">
      <c r="A119" s="26">
        <v>46107</v>
      </c>
      <c r="B119" s="38" t="s">
        <v>26</v>
      </c>
      <c r="C119" s="35">
        <v>489.89229999999998</v>
      </c>
      <c r="D119" s="39">
        <v>22623215</v>
      </c>
      <c r="E119" s="1" t="str">
        <f t="shared" si="2"/>
        <v>2026-03</v>
      </c>
      <c r="F119" s="36">
        <f t="shared" si="3"/>
        <v>-1.9584600732110991E-2</v>
      </c>
      <c r="G119" s="1"/>
      <c r="H119" s="1"/>
    </row>
    <row r="120" spans="1:8" x14ac:dyDescent="0.3">
      <c r="A120" s="26">
        <v>46108</v>
      </c>
      <c r="B120" s="38" t="s">
        <v>26</v>
      </c>
      <c r="C120" s="35">
        <v>487.7176</v>
      </c>
      <c r="D120" s="39">
        <v>20345920</v>
      </c>
      <c r="E120" s="1" t="str">
        <f t="shared" si="2"/>
        <v>2026-03</v>
      </c>
      <c r="F120" s="36">
        <f t="shared" si="3"/>
        <v>-4.4391389699327544E-3</v>
      </c>
      <c r="G120" s="1"/>
      <c r="H120" s="1"/>
    </row>
    <row r="121" spans="1:8" x14ac:dyDescent="0.3">
      <c r="A121" s="26">
        <v>46111</v>
      </c>
      <c r="B121" s="38" t="s">
        <v>26</v>
      </c>
      <c r="C121" s="35">
        <v>476.05349999999999</v>
      </c>
      <c r="D121" s="39">
        <v>28410968</v>
      </c>
      <c r="E121" s="1" t="str">
        <f t="shared" si="2"/>
        <v>2026-03</v>
      </c>
      <c r="F121" s="36">
        <f t="shared" si="3"/>
        <v>-2.3915683994180315E-2</v>
      </c>
      <c r="G121" s="1"/>
      <c r="H121" s="1"/>
    </row>
    <row r="122" spans="1:8" x14ac:dyDescent="0.3">
      <c r="A122" s="26">
        <v>46112</v>
      </c>
      <c r="B122" s="38" t="s">
        <v>26</v>
      </c>
      <c r="C122" s="35">
        <v>478.42590000000001</v>
      </c>
      <c r="D122" s="39">
        <v>25801397</v>
      </c>
      <c r="E122" s="1" t="str">
        <f t="shared" si="2"/>
        <v>2026-03</v>
      </c>
      <c r="F122" s="36">
        <f t="shared" si="3"/>
        <v>4.9834734961511362E-3</v>
      </c>
      <c r="G122" s="1"/>
      <c r="H122" s="1"/>
    </row>
    <row r="123" spans="1:8" x14ac:dyDescent="0.3">
      <c r="A123" s="26">
        <v>46113</v>
      </c>
      <c r="B123" s="38" t="s">
        <v>26</v>
      </c>
      <c r="C123" s="35">
        <v>490.88080000000002</v>
      </c>
      <c r="D123" s="39">
        <v>21275055</v>
      </c>
      <c r="E123" s="1" t="str">
        <f t="shared" si="2"/>
        <v>2026-04</v>
      </c>
      <c r="F123" s="36">
        <f t="shared" si="3"/>
        <v>2.6033080566917555E-2</v>
      </c>
      <c r="G123" s="1"/>
      <c r="H123" s="1"/>
    </row>
    <row r="124" spans="1:8" x14ac:dyDescent="0.3">
      <c r="A124" s="26">
        <v>46114</v>
      </c>
      <c r="B124" s="38" t="s">
        <v>26</v>
      </c>
      <c r="C124" s="35">
        <v>483.56599999999997</v>
      </c>
      <c r="D124" s="39">
        <v>17030828</v>
      </c>
      <c r="E124" s="1" t="str">
        <f t="shared" si="2"/>
        <v>2026-04</v>
      </c>
      <c r="F124" s="36">
        <f t="shared" si="3"/>
        <v>-1.4901377279372241E-2</v>
      </c>
      <c r="G124" s="1"/>
      <c r="H124" s="1"/>
    </row>
    <row r="125" spans="1:8" x14ac:dyDescent="0.3">
      <c r="A125" s="26">
        <v>46120</v>
      </c>
      <c r="B125" s="38" t="s">
        <v>26</v>
      </c>
      <c r="C125" s="35">
        <v>502.14949999999999</v>
      </c>
      <c r="D125" s="39">
        <v>32856156</v>
      </c>
      <c r="E125" s="1" t="str">
        <f t="shared" si="2"/>
        <v>2026-04</v>
      </c>
      <c r="F125" s="36">
        <f t="shared" si="3"/>
        <v>3.8430121224403813E-2</v>
      </c>
      <c r="G125" s="1"/>
      <c r="H125" s="1"/>
    </row>
    <row r="126" spans="1:8" x14ac:dyDescent="0.3">
      <c r="A126" s="26">
        <v>46121</v>
      </c>
      <c r="B126" s="38" t="s">
        <v>26</v>
      </c>
      <c r="C126" s="35">
        <v>502.64370000000002</v>
      </c>
      <c r="D126" s="39">
        <v>20722763</v>
      </c>
      <c r="E126" s="1" t="str">
        <f t="shared" si="2"/>
        <v>2026-04</v>
      </c>
      <c r="F126" s="36">
        <f t="shared" si="3"/>
        <v>9.8416905722298331E-4</v>
      </c>
      <c r="G126" s="1"/>
      <c r="H126" s="1"/>
    </row>
    <row r="127" spans="1:8" x14ac:dyDescent="0.3">
      <c r="A127" s="26">
        <v>46122</v>
      </c>
      <c r="B127" s="38" t="s">
        <v>26</v>
      </c>
      <c r="C127" s="35">
        <v>498.68979999999999</v>
      </c>
      <c r="D127" s="39">
        <v>20671874</v>
      </c>
      <c r="E127" s="1" t="str">
        <f t="shared" si="2"/>
        <v>2026-04</v>
      </c>
      <c r="F127" s="36">
        <f t="shared" si="3"/>
        <v>-7.8662082107068265E-3</v>
      </c>
      <c r="G127" s="1"/>
      <c r="H127" s="1"/>
    </row>
    <row r="128" spans="1:8" x14ac:dyDescent="0.3">
      <c r="A128" s="26">
        <v>46125</v>
      </c>
      <c r="B128" s="38" t="s">
        <v>26</v>
      </c>
      <c r="C128" s="35">
        <v>484.35680000000002</v>
      </c>
      <c r="D128" s="39">
        <v>21140848</v>
      </c>
      <c r="E128" s="1" t="str">
        <f t="shared" si="2"/>
        <v>2026-04</v>
      </c>
      <c r="F128" s="36">
        <f t="shared" si="3"/>
        <v>-2.8741313738520402E-2</v>
      </c>
      <c r="G128" s="1"/>
      <c r="H128" s="1"/>
    </row>
    <row r="129" spans="1:8" x14ac:dyDescent="0.3">
      <c r="A129" s="26">
        <v>46126</v>
      </c>
      <c r="B129" s="38" t="s">
        <v>26</v>
      </c>
      <c r="C129" s="35">
        <v>487.52</v>
      </c>
      <c r="D129" s="39">
        <v>17833779</v>
      </c>
      <c r="E129" s="1" t="str">
        <f t="shared" si="2"/>
        <v>2026-04</v>
      </c>
      <c r="F129" s="36">
        <f t="shared" si="3"/>
        <v>6.5307228059974243E-3</v>
      </c>
      <c r="G129" s="1"/>
      <c r="H129" s="1"/>
    </row>
    <row r="130" spans="1:8" x14ac:dyDescent="0.3">
      <c r="A130" s="26">
        <v>46127</v>
      </c>
      <c r="B130" s="38" t="s">
        <v>26</v>
      </c>
      <c r="C130" s="35">
        <v>493.25310000000002</v>
      </c>
      <c r="D130" s="39">
        <v>20288791</v>
      </c>
      <c r="E130" s="1" t="str">
        <f t="shared" ref="E130:E193" si="4">TEXT(A130,"yyyy-mm")</f>
        <v>2026-04</v>
      </c>
      <c r="F130" s="36">
        <f t="shared" si="3"/>
        <v>1.1759722678044149E-2</v>
      </c>
      <c r="G130" s="1"/>
      <c r="H130" s="1"/>
    </row>
    <row r="131" spans="1:8" x14ac:dyDescent="0.3">
      <c r="A131" s="26">
        <v>46128</v>
      </c>
      <c r="B131" s="38" t="s">
        <v>26</v>
      </c>
      <c r="C131" s="35">
        <v>511.04579999999999</v>
      </c>
      <c r="D131" s="39">
        <v>22559081</v>
      </c>
      <c r="E131" s="1" t="str">
        <f t="shared" si="4"/>
        <v>2026-04</v>
      </c>
      <c r="F131" s="36">
        <f t="shared" ref="F131:F194" si="5">IF(B131=B130,C131/C130-1,0)</f>
        <v>3.6072150382835844E-2</v>
      </c>
      <c r="G131" s="1"/>
      <c r="H131" s="1"/>
    </row>
    <row r="132" spans="1:8" x14ac:dyDescent="0.3">
      <c r="A132" s="26">
        <v>46129</v>
      </c>
      <c r="B132" s="38" t="s">
        <v>26</v>
      </c>
      <c r="C132" s="35">
        <v>504.6207</v>
      </c>
      <c r="D132" s="39">
        <v>13747249</v>
      </c>
      <c r="E132" s="1" t="str">
        <f t="shared" si="4"/>
        <v>2026-04</v>
      </c>
      <c r="F132" s="36">
        <f t="shared" si="5"/>
        <v>-1.2572454367103636E-2</v>
      </c>
      <c r="G132" s="1"/>
      <c r="H132" s="1"/>
    </row>
    <row r="133" spans="1:8" x14ac:dyDescent="0.3">
      <c r="A133" s="26">
        <v>46132</v>
      </c>
      <c r="B133" s="38" t="s">
        <v>26</v>
      </c>
      <c r="C133" s="35">
        <v>516.48249999999996</v>
      </c>
      <c r="D133" s="39">
        <v>23428202</v>
      </c>
      <c r="E133" s="1" t="str">
        <f t="shared" si="4"/>
        <v>2026-04</v>
      </c>
      <c r="F133" s="36">
        <f t="shared" si="5"/>
        <v>2.3506368248468412E-2</v>
      </c>
      <c r="G133" s="1"/>
      <c r="H133" s="1"/>
    </row>
    <row r="134" spans="1:8" x14ac:dyDescent="0.3">
      <c r="A134" s="26">
        <v>46133</v>
      </c>
      <c r="B134" s="38" t="s">
        <v>26</v>
      </c>
      <c r="C134" s="35">
        <v>513.02279999999996</v>
      </c>
      <c r="D134" s="39">
        <v>13113816</v>
      </c>
      <c r="E134" s="1" t="str">
        <f t="shared" si="4"/>
        <v>2026-04</v>
      </c>
      <c r="F134" s="36">
        <f t="shared" si="5"/>
        <v>-6.6985812684844381E-3</v>
      </c>
      <c r="G134" s="1"/>
      <c r="H134" s="1"/>
    </row>
    <row r="135" spans="1:8" x14ac:dyDescent="0.3">
      <c r="A135" s="26">
        <v>46134</v>
      </c>
      <c r="B135" s="38" t="s">
        <v>26</v>
      </c>
      <c r="C135" s="35">
        <v>498.19560000000001</v>
      </c>
      <c r="D135" s="39">
        <v>23170931</v>
      </c>
      <c r="E135" s="1" t="str">
        <f t="shared" si="4"/>
        <v>2026-04</v>
      </c>
      <c r="F135" s="36">
        <f t="shared" si="5"/>
        <v>-2.89016394592988E-2</v>
      </c>
      <c r="G135" s="1"/>
      <c r="H135" s="1"/>
    </row>
    <row r="136" spans="1:8" x14ac:dyDescent="0.3">
      <c r="A136" s="26">
        <v>46135</v>
      </c>
      <c r="B136" s="38" t="s">
        <v>26</v>
      </c>
      <c r="C136" s="35">
        <v>489.49689999999998</v>
      </c>
      <c r="D136" s="39">
        <v>23497267</v>
      </c>
      <c r="E136" s="1" t="str">
        <f t="shared" si="4"/>
        <v>2026-04</v>
      </c>
      <c r="F136" s="36">
        <f t="shared" si="5"/>
        <v>-1.7460411131692166E-2</v>
      </c>
      <c r="G136" s="1"/>
      <c r="H136" s="1"/>
    </row>
    <row r="137" spans="1:8" x14ac:dyDescent="0.3">
      <c r="A137" s="26">
        <v>46136</v>
      </c>
      <c r="B137" s="38" t="s">
        <v>26</v>
      </c>
      <c r="C137" s="35">
        <v>487.7176</v>
      </c>
      <c r="D137" s="39">
        <v>18566187</v>
      </c>
      <c r="E137" s="1" t="str">
        <f t="shared" si="4"/>
        <v>2026-04</v>
      </c>
      <c r="F137" s="36">
        <f t="shared" si="5"/>
        <v>-3.6349566258744304E-3</v>
      </c>
      <c r="G137" s="1"/>
      <c r="H137" s="1"/>
    </row>
    <row r="138" spans="1:8" x14ac:dyDescent="0.3">
      <c r="A138" s="26">
        <v>46139</v>
      </c>
      <c r="B138" s="38" t="s">
        <v>26</v>
      </c>
      <c r="C138" s="35">
        <v>473.0881</v>
      </c>
      <c r="D138" s="39">
        <v>45048027</v>
      </c>
      <c r="E138" s="1" t="str">
        <f t="shared" si="4"/>
        <v>2026-04</v>
      </c>
      <c r="F138" s="36">
        <f t="shared" si="5"/>
        <v>-2.9995841856024885E-2</v>
      </c>
      <c r="G138" s="1"/>
      <c r="H138" s="1"/>
    </row>
    <row r="139" spans="1:8" x14ac:dyDescent="0.3">
      <c r="A139" s="26">
        <v>46140</v>
      </c>
      <c r="B139" s="38" t="s">
        <v>26</v>
      </c>
      <c r="C139" s="35">
        <v>468.34339999999997</v>
      </c>
      <c r="D139" s="39">
        <v>25793090</v>
      </c>
      <c r="E139" s="1" t="str">
        <f t="shared" si="4"/>
        <v>2026-04</v>
      </c>
      <c r="F139" s="36">
        <f t="shared" si="5"/>
        <v>-1.0029210204188233E-2</v>
      </c>
      <c r="G139" s="1"/>
      <c r="H139" s="1"/>
    </row>
    <row r="140" spans="1:8" x14ac:dyDescent="0.3">
      <c r="A140" s="26">
        <v>46141</v>
      </c>
      <c r="B140" s="38" t="s">
        <v>26</v>
      </c>
      <c r="C140" s="35">
        <v>473.68119999999999</v>
      </c>
      <c r="D140" s="39">
        <v>19321018</v>
      </c>
      <c r="E140" s="1" t="str">
        <f t="shared" si="4"/>
        <v>2026-04</v>
      </c>
      <c r="F140" s="36">
        <f t="shared" si="5"/>
        <v>1.139719274361517E-2</v>
      </c>
      <c r="G140" s="1"/>
      <c r="H140" s="1"/>
    </row>
    <row r="141" spans="1:8" x14ac:dyDescent="0.3">
      <c r="A141" s="26">
        <v>46142</v>
      </c>
      <c r="B141" s="38" t="s">
        <v>26</v>
      </c>
      <c r="C141" s="35">
        <v>462.41239999999999</v>
      </c>
      <c r="D141" s="39">
        <v>38406905</v>
      </c>
      <c r="E141" s="1" t="str">
        <f t="shared" si="4"/>
        <v>2026-04</v>
      </c>
      <c r="F141" s="36">
        <f t="shared" si="5"/>
        <v>-2.3789840086539171E-2</v>
      </c>
      <c r="G141" s="1"/>
      <c r="H141" s="1"/>
    </row>
    <row r="142" spans="1:8" x14ac:dyDescent="0.3">
      <c r="A142" s="26">
        <v>46146</v>
      </c>
      <c r="B142" s="38" t="s">
        <v>26</v>
      </c>
      <c r="C142" s="35">
        <v>467.55259999999998</v>
      </c>
      <c r="D142" s="39">
        <v>23758824</v>
      </c>
      <c r="E142" s="1" t="str">
        <f t="shared" si="4"/>
        <v>2026-05</v>
      </c>
      <c r="F142" s="36">
        <f t="shared" si="5"/>
        <v>1.1116051386165227E-2</v>
      </c>
      <c r="G142" s="1"/>
      <c r="H142" s="1"/>
    </row>
    <row r="143" spans="1:8" x14ac:dyDescent="0.3">
      <c r="A143" s="26">
        <v>46147</v>
      </c>
      <c r="B143" s="38" t="s">
        <v>26</v>
      </c>
      <c r="C143" s="35">
        <v>466.76179999999999</v>
      </c>
      <c r="D143" s="39">
        <v>13004679</v>
      </c>
      <c r="E143" s="1" t="str">
        <f t="shared" si="4"/>
        <v>2026-05</v>
      </c>
      <c r="F143" s="36">
        <f t="shared" si="5"/>
        <v>-1.6913605014707844E-3</v>
      </c>
      <c r="G143" s="1"/>
      <c r="H143" s="1"/>
    </row>
    <row r="144" spans="1:8" x14ac:dyDescent="0.3">
      <c r="A144" s="26">
        <v>46148</v>
      </c>
      <c r="B144" s="38" t="s">
        <v>26</v>
      </c>
      <c r="C144" s="35">
        <v>457.6678</v>
      </c>
      <c r="D144" s="39">
        <v>44367227</v>
      </c>
      <c r="E144" s="1" t="str">
        <f t="shared" si="4"/>
        <v>2026-05</v>
      </c>
      <c r="F144" s="36">
        <f t="shared" si="5"/>
        <v>-1.9483171073554018E-2</v>
      </c>
      <c r="G144" s="1"/>
      <c r="H144" s="1"/>
    </row>
    <row r="145" spans="1:8" x14ac:dyDescent="0.3">
      <c r="A145" s="26">
        <v>46149</v>
      </c>
      <c r="B145" s="38" t="s">
        <v>26</v>
      </c>
      <c r="C145" s="35">
        <v>471.90190000000001</v>
      </c>
      <c r="D145" s="39">
        <v>40989511</v>
      </c>
      <c r="E145" s="1" t="str">
        <f t="shared" si="4"/>
        <v>2026-05</v>
      </c>
      <c r="F145" s="36">
        <f t="shared" si="5"/>
        <v>3.1101379646984117E-2</v>
      </c>
      <c r="G145" s="1"/>
      <c r="H145" s="1"/>
    </row>
    <row r="146" spans="1:8" x14ac:dyDescent="0.3">
      <c r="A146" s="26">
        <v>46150</v>
      </c>
      <c r="B146" s="38" t="s">
        <v>26</v>
      </c>
      <c r="C146" s="35">
        <v>465.971</v>
      </c>
      <c r="D146" s="39">
        <v>25207039</v>
      </c>
      <c r="E146" s="1" t="str">
        <f t="shared" si="4"/>
        <v>2026-05</v>
      </c>
      <c r="F146" s="36">
        <f t="shared" si="5"/>
        <v>-1.2568078238294866E-2</v>
      </c>
      <c r="G146" s="1"/>
      <c r="H146" s="1"/>
    </row>
    <row r="147" spans="1:8" x14ac:dyDescent="0.3">
      <c r="A147" s="26">
        <v>46153</v>
      </c>
      <c r="B147" s="38" t="s">
        <v>26</v>
      </c>
      <c r="C147" s="35">
        <v>459.05160000000001</v>
      </c>
      <c r="D147" s="39">
        <v>27814648</v>
      </c>
      <c r="E147" s="1" t="str">
        <f t="shared" si="4"/>
        <v>2026-05</v>
      </c>
      <c r="F147" s="36">
        <f t="shared" si="5"/>
        <v>-1.4849421959735709E-2</v>
      </c>
      <c r="G147" s="1"/>
      <c r="H147" s="1"/>
    </row>
    <row r="148" spans="1:8" x14ac:dyDescent="0.3">
      <c r="A148" s="26">
        <v>46154</v>
      </c>
      <c r="B148" s="38" t="s">
        <v>26</v>
      </c>
      <c r="C148" s="35">
        <v>451.93450000000001</v>
      </c>
      <c r="D148" s="39">
        <v>32469707</v>
      </c>
      <c r="E148" s="1" t="str">
        <f t="shared" si="4"/>
        <v>2026-05</v>
      </c>
      <c r="F148" s="36">
        <f t="shared" si="5"/>
        <v>-1.5503921563501777E-2</v>
      </c>
      <c r="G148" s="1"/>
      <c r="H148" s="1"/>
    </row>
    <row r="149" spans="1:8" x14ac:dyDescent="0.3">
      <c r="A149" s="26">
        <v>46155</v>
      </c>
      <c r="B149" s="38" t="s">
        <v>26</v>
      </c>
      <c r="C149" s="35">
        <v>457.2724</v>
      </c>
      <c r="D149" s="39">
        <v>26616535</v>
      </c>
      <c r="E149" s="1" t="str">
        <f t="shared" si="4"/>
        <v>2026-05</v>
      </c>
      <c r="F149" s="36">
        <f t="shared" si="5"/>
        <v>1.1811224856699276E-2</v>
      </c>
      <c r="G149" s="1"/>
      <c r="H149" s="1"/>
    </row>
    <row r="150" spans="1:8" x14ac:dyDescent="0.3">
      <c r="A150" s="26">
        <v>46156</v>
      </c>
      <c r="B150" s="38" t="s">
        <v>26</v>
      </c>
      <c r="C150" s="35">
        <v>454.9</v>
      </c>
      <c r="D150" s="39">
        <v>39339032</v>
      </c>
      <c r="E150" s="1" t="str">
        <f t="shared" si="4"/>
        <v>2026-05</v>
      </c>
      <c r="F150" s="36">
        <f t="shared" si="5"/>
        <v>-5.1881548066317063E-3</v>
      </c>
      <c r="G150" s="1"/>
      <c r="H150" s="1"/>
    </row>
    <row r="151" spans="1:8" x14ac:dyDescent="0.3">
      <c r="A151" s="26">
        <v>46157</v>
      </c>
      <c r="B151" s="38" t="s">
        <v>26</v>
      </c>
      <c r="C151" s="35">
        <v>456.4</v>
      </c>
      <c r="D151" s="39">
        <v>26449868</v>
      </c>
      <c r="E151" s="1" t="str">
        <f t="shared" si="4"/>
        <v>2026-05</v>
      </c>
      <c r="F151" s="36">
        <f t="shared" si="5"/>
        <v>3.2974280061552896E-3</v>
      </c>
      <c r="G151" s="1"/>
      <c r="H151" s="1"/>
    </row>
    <row r="152" spans="1:8" x14ac:dyDescent="0.3">
      <c r="A152" s="26">
        <v>46160</v>
      </c>
      <c r="B152" s="38" t="s">
        <v>26</v>
      </c>
      <c r="C152" s="35">
        <v>449.2</v>
      </c>
      <c r="D152" s="39">
        <v>29497076</v>
      </c>
      <c r="E152" s="1" t="str">
        <f t="shared" si="4"/>
        <v>2026-05</v>
      </c>
      <c r="F152" s="36">
        <f t="shared" si="5"/>
        <v>-1.5775635407537236E-2</v>
      </c>
      <c r="G152" s="1"/>
      <c r="H152" s="1"/>
    </row>
    <row r="153" spans="1:8" x14ac:dyDescent="0.3">
      <c r="A153" s="26">
        <v>46161</v>
      </c>
      <c r="B153" s="38" t="s">
        <v>26</v>
      </c>
      <c r="C153" s="35">
        <v>460</v>
      </c>
      <c r="D153" s="39">
        <v>33736701</v>
      </c>
      <c r="E153" s="1" t="str">
        <f t="shared" si="4"/>
        <v>2026-05</v>
      </c>
      <c r="F153" s="36">
        <f t="shared" si="5"/>
        <v>2.4042742653606508E-2</v>
      </c>
      <c r="G153" s="1"/>
      <c r="H153" s="1"/>
    </row>
    <row r="154" spans="1:8" x14ac:dyDescent="0.3">
      <c r="A154" s="26">
        <v>46162</v>
      </c>
      <c r="B154" s="38" t="s">
        <v>26</v>
      </c>
      <c r="C154" s="35">
        <v>455.2</v>
      </c>
      <c r="D154" s="39">
        <v>18927606</v>
      </c>
      <c r="E154" s="1" t="str">
        <f t="shared" si="4"/>
        <v>2026-05</v>
      </c>
      <c r="F154" s="36">
        <f t="shared" si="5"/>
        <v>-1.0434782608695681E-2</v>
      </c>
      <c r="G154" s="1"/>
      <c r="H154" s="1"/>
    </row>
    <row r="155" spans="1:8" x14ac:dyDescent="0.3">
      <c r="A155" s="26">
        <v>46163</v>
      </c>
      <c r="B155" s="38" t="s">
        <v>26</v>
      </c>
      <c r="C155" s="35">
        <v>439</v>
      </c>
      <c r="D155" s="39">
        <v>39653795</v>
      </c>
      <c r="E155" s="1" t="str">
        <f t="shared" si="4"/>
        <v>2026-05</v>
      </c>
      <c r="F155" s="36">
        <f t="shared" si="5"/>
        <v>-3.5588752196836548E-2</v>
      </c>
      <c r="G155" s="1"/>
      <c r="H155" s="1"/>
    </row>
    <row r="156" spans="1:8" x14ac:dyDescent="0.3">
      <c r="A156" s="26">
        <v>46164</v>
      </c>
      <c r="B156" s="38" t="s">
        <v>26</v>
      </c>
      <c r="C156" s="35">
        <v>441.4</v>
      </c>
      <c r="D156" s="39">
        <v>23998219</v>
      </c>
      <c r="E156" s="1" t="str">
        <f t="shared" si="4"/>
        <v>2026-05</v>
      </c>
      <c r="F156" s="36">
        <f t="shared" si="5"/>
        <v>5.4669703872436415E-3</v>
      </c>
      <c r="G156" s="1"/>
      <c r="H156" s="1"/>
    </row>
    <row r="157" spans="1:8" x14ac:dyDescent="0.3">
      <c r="A157" s="26">
        <v>46168</v>
      </c>
      <c r="B157" s="38" t="s">
        <v>26</v>
      </c>
      <c r="C157" s="35">
        <v>439</v>
      </c>
      <c r="D157" s="39">
        <v>32795639</v>
      </c>
      <c r="E157" s="1" t="str">
        <f t="shared" si="4"/>
        <v>2026-05</v>
      </c>
      <c r="F157" s="36">
        <f t="shared" si="5"/>
        <v>-5.4372451291345714E-3</v>
      </c>
      <c r="G157" s="1"/>
      <c r="H157" s="1"/>
    </row>
    <row r="158" spans="1:8" x14ac:dyDescent="0.3">
      <c r="A158" s="26">
        <v>46169</v>
      </c>
      <c r="B158" s="38" t="s">
        <v>26</v>
      </c>
      <c r="C158" s="35">
        <v>434.4</v>
      </c>
      <c r="D158" s="39">
        <v>24863984</v>
      </c>
      <c r="E158" s="1" t="str">
        <f t="shared" si="4"/>
        <v>2026-05</v>
      </c>
      <c r="F158" s="36">
        <f t="shared" si="5"/>
        <v>-1.0478359908883905E-2</v>
      </c>
      <c r="G158" s="1"/>
      <c r="H158" s="1"/>
    </row>
    <row r="159" spans="1:8" x14ac:dyDescent="0.3">
      <c r="A159" s="26">
        <v>46170</v>
      </c>
      <c r="B159" s="38" t="s">
        <v>26</v>
      </c>
      <c r="C159" s="35">
        <v>425</v>
      </c>
      <c r="D159" s="39">
        <v>42196103</v>
      </c>
      <c r="E159" s="1" t="str">
        <f t="shared" si="4"/>
        <v>2026-05</v>
      </c>
      <c r="F159" s="36">
        <f t="shared" si="5"/>
        <v>-2.1639042357274318E-2</v>
      </c>
      <c r="G159" s="1"/>
      <c r="H159" s="1"/>
    </row>
    <row r="160" spans="1:8" x14ac:dyDescent="0.3">
      <c r="A160" s="26">
        <v>46171</v>
      </c>
      <c r="B160" s="38" t="s">
        <v>26</v>
      </c>
      <c r="C160" s="35">
        <v>427.2</v>
      </c>
      <c r="D160" s="39">
        <v>48005475</v>
      </c>
      <c r="E160" s="1" t="str">
        <f t="shared" si="4"/>
        <v>2026-05</v>
      </c>
      <c r="F160" s="36">
        <f t="shared" si="5"/>
        <v>5.1764705882353379E-3</v>
      </c>
      <c r="G160" s="1"/>
      <c r="H160" s="1"/>
    </row>
    <row r="161" spans="1:8" x14ac:dyDescent="0.3">
      <c r="A161" s="26">
        <v>46174</v>
      </c>
      <c r="B161" s="38" t="s">
        <v>26</v>
      </c>
      <c r="C161" s="35">
        <v>436</v>
      </c>
      <c r="D161" s="39">
        <v>35164391</v>
      </c>
      <c r="E161" s="1" t="str">
        <f t="shared" si="4"/>
        <v>2026-06</v>
      </c>
      <c r="F161" s="36">
        <f t="shared" si="5"/>
        <v>2.0599250936329527E-2</v>
      </c>
      <c r="G161" s="1"/>
      <c r="H161" s="1"/>
    </row>
    <row r="162" spans="1:8" x14ac:dyDescent="0.3">
      <c r="A162" s="26">
        <v>46175</v>
      </c>
      <c r="B162" s="38" t="s">
        <v>26</v>
      </c>
      <c r="C162" s="35">
        <v>481.6</v>
      </c>
      <c r="D162" s="39">
        <v>101874275</v>
      </c>
      <c r="E162" s="1" t="str">
        <f t="shared" si="4"/>
        <v>2026-06</v>
      </c>
      <c r="F162" s="36">
        <f t="shared" si="5"/>
        <v>0.1045871559633027</v>
      </c>
      <c r="G162" s="1"/>
      <c r="H162" s="1"/>
    </row>
    <row r="163" spans="1:8" x14ac:dyDescent="0.3">
      <c r="A163" s="26">
        <v>46176</v>
      </c>
      <c r="B163" s="38" t="s">
        <v>26</v>
      </c>
      <c r="C163" s="35">
        <v>466.4</v>
      </c>
      <c r="D163" s="39">
        <v>49104320</v>
      </c>
      <c r="E163" s="1" t="str">
        <f t="shared" si="4"/>
        <v>2026-06</v>
      </c>
      <c r="F163" s="36">
        <f t="shared" si="5"/>
        <v>-3.1561461794019974E-2</v>
      </c>
      <c r="G163" s="1"/>
      <c r="H163" s="1"/>
    </row>
    <row r="164" spans="1:8" x14ac:dyDescent="0.3">
      <c r="A164" s="26">
        <v>46177</v>
      </c>
      <c r="B164" s="38" t="s">
        <v>26</v>
      </c>
      <c r="C164" s="35">
        <v>459</v>
      </c>
      <c r="D164" s="39">
        <v>29053909</v>
      </c>
      <c r="E164" s="1" t="str">
        <f t="shared" si="4"/>
        <v>2026-06</v>
      </c>
      <c r="F164" s="36">
        <f t="shared" si="5"/>
        <v>-1.5866209262435649E-2</v>
      </c>
      <c r="G164" s="1"/>
      <c r="H164" s="1"/>
    </row>
    <row r="165" spans="1:8" x14ac:dyDescent="0.3">
      <c r="A165" s="26">
        <v>46178</v>
      </c>
      <c r="B165" s="38" t="s">
        <v>26</v>
      </c>
      <c r="C165" s="35">
        <v>453.2</v>
      </c>
      <c r="D165" s="39">
        <v>31649780</v>
      </c>
      <c r="E165" s="1" t="str">
        <f t="shared" si="4"/>
        <v>2026-06</v>
      </c>
      <c r="F165" s="36">
        <f t="shared" si="5"/>
        <v>-1.263616557734204E-2</v>
      </c>
      <c r="G165" s="1"/>
      <c r="H165" s="1"/>
    </row>
    <row r="166" spans="1:8" x14ac:dyDescent="0.3">
      <c r="A166" s="26">
        <v>46181</v>
      </c>
      <c r="B166" s="38" t="s">
        <v>26</v>
      </c>
      <c r="C166" s="35">
        <v>446.4</v>
      </c>
      <c r="D166" s="39">
        <v>29019096</v>
      </c>
      <c r="E166" s="1" t="str">
        <f t="shared" si="4"/>
        <v>2026-06</v>
      </c>
      <c r="F166" s="36">
        <f t="shared" si="5"/>
        <v>-1.5004413062665534E-2</v>
      </c>
      <c r="G166" s="1"/>
      <c r="H166" s="1"/>
    </row>
    <row r="167" spans="1:8" x14ac:dyDescent="0.3">
      <c r="A167" s="26">
        <v>46182</v>
      </c>
      <c r="B167" s="38" t="s">
        <v>26</v>
      </c>
      <c r="C167" s="35">
        <v>453.2</v>
      </c>
      <c r="D167" s="39">
        <v>37387399</v>
      </c>
      <c r="E167" s="1" t="str">
        <f t="shared" si="4"/>
        <v>2026-06</v>
      </c>
      <c r="F167" s="36">
        <f t="shared" si="5"/>
        <v>1.5232974910394326E-2</v>
      </c>
      <c r="G167" s="1"/>
      <c r="H167" s="1"/>
    </row>
    <row r="168" spans="1:8" x14ac:dyDescent="0.3">
      <c r="A168" s="26">
        <v>46183</v>
      </c>
      <c r="B168" s="38" t="s">
        <v>26</v>
      </c>
      <c r="C168" s="35">
        <v>465.6</v>
      </c>
      <c r="D168" s="39">
        <v>35788237</v>
      </c>
      <c r="E168" s="1" t="str">
        <f t="shared" si="4"/>
        <v>2026-06</v>
      </c>
      <c r="F168" s="36">
        <f t="shared" si="5"/>
        <v>2.7360988526037078E-2</v>
      </c>
      <c r="G168" s="1"/>
      <c r="H168" s="1"/>
    </row>
    <row r="169" spans="1:8" x14ac:dyDescent="0.3">
      <c r="A169" s="26">
        <v>46184</v>
      </c>
      <c r="B169" s="38" t="s">
        <v>26</v>
      </c>
      <c r="C169" s="35">
        <v>457.2</v>
      </c>
      <c r="D169" s="39">
        <v>28580619</v>
      </c>
      <c r="E169" s="1" t="str">
        <f t="shared" si="4"/>
        <v>2026-06</v>
      </c>
      <c r="F169" s="36">
        <f t="shared" si="5"/>
        <v>-1.8041237113402109E-2</v>
      </c>
      <c r="G169" s="1"/>
      <c r="H169" s="1"/>
    </row>
    <row r="170" spans="1:8" x14ac:dyDescent="0.3">
      <c r="A170" s="26">
        <v>46185</v>
      </c>
      <c r="B170" s="38" t="s">
        <v>26</v>
      </c>
      <c r="C170" s="35">
        <v>463.6</v>
      </c>
      <c r="D170" s="39">
        <v>22334646</v>
      </c>
      <c r="E170" s="1" t="str">
        <f t="shared" si="4"/>
        <v>2026-06</v>
      </c>
      <c r="F170" s="36">
        <f t="shared" si="5"/>
        <v>1.3998250218722808E-2</v>
      </c>
      <c r="G170" s="1"/>
      <c r="H170" s="1"/>
    </row>
    <row r="171" spans="1:8" x14ac:dyDescent="0.3">
      <c r="A171" s="26">
        <v>46188</v>
      </c>
      <c r="B171" s="38" t="s">
        <v>26</v>
      </c>
      <c r="C171" s="35">
        <v>459.6</v>
      </c>
      <c r="D171" s="39">
        <v>19748938</v>
      </c>
      <c r="E171" s="1" t="str">
        <f t="shared" si="4"/>
        <v>2026-06</v>
      </c>
      <c r="F171" s="36">
        <f t="shared" si="5"/>
        <v>-8.6281276962899556E-3</v>
      </c>
      <c r="G171" s="1"/>
      <c r="H171" s="1"/>
    </row>
    <row r="172" spans="1:8" x14ac:dyDescent="0.3">
      <c r="A172" s="26">
        <v>46189</v>
      </c>
      <c r="B172" s="38" t="s">
        <v>26</v>
      </c>
      <c r="C172" s="35">
        <v>447.4</v>
      </c>
      <c r="D172" s="39">
        <v>24323142</v>
      </c>
      <c r="E172" s="1" t="str">
        <f t="shared" si="4"/>
        <v>2026-06</v>
      </c>
      <c r="F172" s="36">
        <f t="shared" si="5"/>
        <v>-2.6544821583986189E-2</v>
      </c>
      <c r="G172" s="1"/>
      <c r="H172" s="1"/>
    </row>
    <row r="173" spans="1:8" x14ac:dyDescent="0.3">
      <c r="A173" s="26">
        <v>46190</v>
      </c>
      <c r="B173" s="38" t="s">
        <v>26</v>
      </c>
      <c r="C173" s="35">
        <v>445.4</v>
      </c>
      <c r="D173" s="39">
        <v>16962334</v>
      </c>
      <c r="E173" s="1" t="str">
        <f t="shared" si="4"/>
        <v>2026-06</v>
      </c>
      <c r="F173" s="36">
        <f t="shared" si="5"/>
        <v>-4.4702726866339138E-3</v>
      </c>
      <c r="G173" s="1"/>
      <c r="H173" s="1"/>
    </row>
    <row r="174" spans="1:8" x14ac:dyDescent="0.3">
      <c r="A174" s="26">
        <v>46191</v>
      </c>
      <c r="B174" s="38" t="s">
        <v>26</v>
      </c>
      <c r="C174" s="35">
        <v>440.2</v>
      </c>
      <c r="D174" s="39">
        <v>30119117</v>
      </c>
      <c r="E174" s="1" t="str">
        <f t="shared" si="4"/>
        <v>2026-06</v>
      </c>
      <c r="F174" s="36">
        <f t="shared" si="5"/>
        <v>-1.1674898967220404E-2</v>
      </c>
      <c r="G174" s="1"/>
      <c r="H174" s="1"/>
    </row>
    <row r="175" spans="1:8" x14ac:dyDescent="0.3">
      <c r="A175" s="26">
        <v>46195</v>
      </c>
      <c r="B175" s="38" t="s">
        <v>26</v>
      </c>
      <c r="C175" s="35">
        <v>433</v>
      </c>
      <c r="D175" s="39">
        <v>31563111</v>
      </c>
      <c r="E175" s="1" t="str">
        <f t="shared" si="4"/>
        <v>2026-06</v>
      </c>
      <c r="F175" s="36">
        <f t="shared" si="5"/>
        <v>-1.6356201726487885E-2</v>
      </c>
      <c r="G175" s="1"/>
      <c r="H175" s="1"/>
    </row>
    <row r="176" spans="1:8" x14ac:dyDescent="0.3">
      <c r="A176" s="26">
        <v>46196</v>
      </c>
      <c r="B176" s="38" t="s">
        <v>26</v>
      </c>
      <c r="C176" s="35">
        <v>414.8</v>
      </c>
      <c r="D176" s="39">
        <v>43435789</v>
      </c>
      <c r="E176" s="1" t="str">
        <f t="shared" si="4"/>
        <v>2026-06</v>
      </c>
      <c r="F176" s="36">
        <f t="shared" si="5"/>
        <v>-4.2032332563510355E-2</v>
      </c>
      <c r="G176" s="1"/>
      <c r="H176" s="1"/>
    </row>
    <row r="177" spans="1:8" x14ac:dyDescent="0.3">
      <c r="A177" s="26">
        <v>46197</v>
      </c>
      <c r="B177" s="38" t="s">
        <v>26</v>
      </c>
      <c r="C177" s="35">
        <v>428.8</v>
      </c>
      <c r="D177" s="39">
        <v>39958288</v>
      </c>
      <c r="E177" s="1" t="str">
        <f t="shared" si="4"/>
        <v>2026-06</v>
      </c>
      <c r="F177" s="36">
        <f t="shared" si="5"/>
        <v>3.3751205400192941E-2</v>
      </c>
      <c r="G177" s="1"/>
      <c r="H177" s="1"/>
    </row>
    <row r="178" spans="1:8" x14ac:dyDescent="0.3">
      <c r="A178" s="26">
        <v>46198</v>
      </c>
      <c r="B178" s="38" t="s">
        <v>26</v>
      </c>
      <c r="C178" s="35">
        <v>421.4</v>
      </c>
      <c r="D178" s="39">
        <v>29472428</v>
      </c>
      <c r="E178" s="1" t="str">
        <f t="shared" si="4"/>
        <v>2026-06</v>
      </c>
      <c r="F178" s="36">
        <f t="shared" si="5"/>
        <v>-1.7257462686567249E-2</v>
      </c>
      <c r="G178" s="1"/>
      <c r="H178" s="1"/>
    </row>
    <row r="179" spans="1:8" x14ac:dyDescent="0.3">
      <c r="A179" s="26">
        <v>46199</v>
      </c>
      <c r="B179" s="38" t="s">
        <v>26</v>
      </c>
      <c r="C179" s="35">
        <v>411.8</v>
      </c>
      <c r="D179" s="39">
        <v>31872909</v>
      </c>
      <c r="E179" s="1" t="str">
        <f t="shared" si="4"/>
        <v>2026-06</v>
      </c>
      <c r="F179" s="36">
        <f t="shared" si="5"/>
        <v>-2.2781205505457924E-2</v>
      </c>
      <c r="G179" s="1"/>
      <c r="H179" s="1"/>
    </row>
    <row r="180" spans="1:8" x14ac:dyDescent="0.3">
      <c r="A180" s="26">
        <v>46202</v>
      </c>
      <c r="B180" s="38" t="s">
        <v>26</v>
      </c>
      <c r="C180" s="35">
        <v>420.2</v>
      </c>
      <c r="D180" s="39">
        <v>33066070</v>
      </c>
      <c r="E180" s="1" t="str">
        <f t="shared" si="4"/>
        <v>2026-06</v>
      </c>
      <c r="F180" s="36">
        <f t="shared" si="5"/>
        <v>2.0398251578436E-2</v>
      </c>
      <c r="G180" s="1"/>
      <c r="H180" s="1"/>
    </row>
    <row r="181" spans="1:8" x14ac:dyDescent="0.3">
      <c r="A181" s="26">
        <v>46203</v>
      </c>
      <c r="B181" s="38" t="s">
        <v>26</v>
      </c>
      <c r="C181" s="35">
        <v>429.8</v>
      </c>
      <c r="D181" s="39">
        <v>38994409</v>
      </c>
      <c r="E181" s="1" t="str">
        <f t="shared" si="4"/>
        <v>2026-06</v>
      </c>
      <c r="F181" s="36">
        <f t="shared" si="5"/>
        <v>2.2846263683960144E-2</v>
      </c>
      <c r="G181" s="1"/>
      <c r="H181" s="1"/>
    </row>
    <row r="182" spans="1:8" x14ac:dyDescent="0.3">
      <c r="A182" s="26">
        <v>46205</v>
      </c>
      <c r="B182" s="38" t="s">
        <v>26</v>
      </c>
      <c r="C182" s="35">
        <v>430.2</v>
      </c>
      <c r="D182" s="39">
        <v>40905100</v>
      </c>
      <c r="E182" s="1" t="str">
        <f t="shared" si="4"/>
        <v>2026-07</v>
      </c>
      <c r="F182" s="36">
        <f t="shared" si="5"/>
        <v>9.3066542577946443E-4</v>
      </c>
      <c r="G182" s="1"/>
      <c r="H182" s="1"/>
    </row>
    <row r="183" spans="1:8" x14ac:dyDescent="0.3">
      <c r="A183" s="26">
        <v>46206</v>
      </c>
      <c r="B183" s="38" t="s">
        <v>26</v>
      </c>
      <c r="C183" s="35">
        <v>431.2</v>
      </c>
      <c r="D183" s="39">
        <v>24957296</v>
      </c>
      <c r="E183" s="1" t="str">
        <f t="shared" si="4"/>
        <v>2026-07</v>
      </c>
      <c r="F183" s="36">
        <f t="shared" si="5"/>
        <v>2.3245002324501218E-3</v>
      </c>
      <c r="G183" s="1"/>
      <c r="H183" s="1"/>
    </row>
    <row r="184" spans="1:8" x14ac:dyDescent="0.3">
      <c r="A184" s="26">
        <v>46209</v>
      </c>
      <c r="B184" s="38" t="s">
        <v>26</v>
      </c>
      <c r="C184" s="35">
        <v>452</v>
      </c>
      <c r="D184" s="39">
        <v>41502083</v>
      </c>
      <c r="E184" s="1" t="str">
        <f t="shared" si="4"/>
        <v>2026-07</v>
      </c>
      <c r="F184" s="36">
        <f t="shared" si="5"/>
        <v>4.8237476808905333E-2</v>
      </c>
      <c r="G184" s="1"/>
      <c r="H184" s="1"/>
    </row>
    <row r="185" spans="1:8" x14ac:dyDescent="0.3">
      <c r="A185" s="26">
        <v>46210</v>
      </c>
      <c r="B185" s="38" t="s">
        <v>26</v>
      </c>
      <c r="C185" s="35">
        <v>461.2</v>
      </c>
      <c r="D185" s="39">
        <v>55418434</v>
      </c>
      <c r="E185" s="1" t="str">
        <f t="shared" si="4"/>
        <v>2026-07</v>
      </c>
      <c r="F185" s="36">
        <f t="shared" si="5"/>
        <v>2.0353982300884921E-2</v>
      </c>
      <c r="G185" s="1"/>
      <c r="H185" s="1"/>
    </row>
    <row r="186" spans="1:8" x14ac:dyDescent="0.3">
      <c r="A186" s="26">
        <v>46211</v>
      </c>
      <c r="B186" s="38" t="s">
        <v>26</v>
      </c>
      <c r="C186" s="35">
        <v>478.8</v>
      </c>
      <c r="D186" s="39">
        <v>56278627</v>
      </c>
      <c r="E186" s="1" t="str">
        <f t="shared" si="4"/>
        <v>2026-07</v>
      </c>
      <c r="F186" s="36">
        <f t="shared" si="5"/>
        <v>3.8161318300086844E-2</v>
      </c>
      <c r="G186" s="1"/>
      <c r="H186" s="1"/>
    </row>
    <row r="187" spans="1:8" x14ac:dyDescent="0.3">
      <c r="A187" s="26">
        <v>46212</v>
      </c>
      <c r="B187" s="38" t="s">
        <v>26</v>
      </c>
      <c r="C187" s="35">
        <v>469.6</v>
      </c>
      <c r="D187" s="39">
        <v>42402152</v>
      </c>
      <c r="E187" s="1" t="str">
        <f t="shared" si="4"/>
        <v>2026-07</v>
      </c>
      <c r="F187" s="36">
        <f t="shared" si="5"/>
        <v>-1.9214703425229684E-2</v>
      </c>
      <c r="G187" s="1"/>
      <c r="H187" s="1"/>
    </row>
    <row r="188" spans="1:8" x14ac:dyDescent="0.3">
      <c r="A188" s="26">
        <v>46213</v>
      </c>
      <c r="B188" s="38" t="s">
        <v>26</v>
      </c>
      <c r="C188" s="35">
        <v>460.2</v>
      </c>
      <c r="D188" s="39">
        <v>40440298</v>
      </c>
      <c r="E188" s="1" t="str">
        <f t="shared" si="4"/>
        <v>2026-07</v>
      </c>
      <c r="F188" s="36">
        <f t="shared" si="5"/>
        <v>-2.0017035775127812E-2</v>
      </c>
      <c r="G188" s="1"/>
      <c r="H188" s="1"/>
    </row>
    <row r="189" spans="1:8" x14ac:dyDescent="0.3">
      <c r="A189" s="26">
        <v>46216</v>
      </c>
      <c r="B189" s="38" t="s">
        <v>26</v>
      </c>
      <c r="C189" s="35">
        <v>457.6</v>
      </c>
      <c r="D189" s="39">
        <v>24291842</v>
      </c>
      <c r="E189" s="1" t="str">
        <f t="shared" si="4"/>
        <v>2026-07</v>
      </c>
      <c r="F189" s="36">
        <f t="shared" si="5"/>
        <v>-5.6497175141242417E-3</v>
      </c>
      <c r="G189" s="1"/>
      <c r="H189" s="1"/>
    </row>
    <row r="190" spans="1:8" x14ac:dyDescent="0.3">
      <c r="A190" s="26">
        <v>46217</v>
      </c>
      <c r="B190" s="38" t="s">
        <v>26</v>
      </c>
      <c r="C190" s="35">
        <v>456.2</v>
      </c>
      <c r="D190" s="39">
        <v>25540540</v>
      </c>
      <c r="E190" s="1" t="str">
        <f t="shared" si="4"/>
        <v>2026-07</v>
      </c>
      <c r="F190" s="36">
        <f t="shared" si="5"/>
        <v>-3.0594405594406293E-3</v>
      </c>
      <c r="G190" s="1"/>
      <c r="H190" s="1"/>
    </row>
    <row r="191" spans="1:8" x14ac:dyDescent="0.3">
      <c r="A191" s="26">
        <v>46218</v>
      </c>
      <c r="B191" s="38" t="s">
        <v>26</v>
      </c>
      <c r="C191" s="35">
        <v>474</v>
      </c>
      <c r="D191" s="39">
        <v>33780856</v>
      </c>
      <c r="E191" s="1" t="str">
        <f t="shared" si="4"/>
        <v>2026-07</v>
      </c>
      <c r="F191" s="36">
        <f t="shared" si="5"/>
        <v>3.9017974572555847E-2</v>
      </c>
      <c r="G191" s="1"/>
      <c r="H191" s="1"/>
    </row>
    <row r="192" spans="1:8" x14ac:dyDescent="0.3">
      <c r="A192" s="26">
        <v>46219</v>
      </c>
      <c r="B192" s="38" t="s">
        <v>26</v>
      </c>
      <c r="C192" s="35">
        <v>484</v>
      </c>
      <c r="D192" s="39">
        <v>42851475</v>
      </c>
      <c r="E192" s="1" t="str">
        <f t="shared" si="4"/>
        <v>2026-07</v>
      </c>
      <c r="F192" s="36">
        <f t="shared" si="5"/>
        <v>2.1097046413502074E-2</v>
      </c>
      <c r="G192" s="1"/>
      <c r="H192" s="1"/>
    </row>
    <row r="193" spans="1:8" x14ac:dyDescent="0.3">
      <c r="A193" s="26">
        <v>46220</v>
      </c>
      <c r="B193" s="38" t="s">
        <v>26</v>
      </c>
      <c r="C193" s="35">
        <v>461.6</v>
      </c>
      <c r="D193" s="39">
        <v>36237657</v>
      </c>
      <c r="E193" s="1" t="str">
        <f t="shared" si="4"/>
        <v>2026-07</v>
      </c>
      <c r="F193" s="36">
        <f t="shared" si="5"/>
        <v>-4.6280991735537125E-2</v>
      </c>
      <c r="G193" s="1"/>
      <c r="H193" s="1"/>
    </row>
    <row r="194" spans="1:8" x14ac:dyDescent="0.3">
      <c r="A194" s="26">
        <v>46223</v>
      </c>
      <c r="B194" s="38" t="s">
        <v>26</v>
      </c>
      <c r="C194" s="35">
        <v>477.8</v>
      </c>
      <c r="D194" s="39">
        <v>30822839</v>
      </c>
      <c r="E194" s="1" t="str">
        <f t="shared" ref="E194:E257" si="6">TEXT(A194,"yyyy-mm")</f>
        <v>2026-07</v>
      </c>
      <c r="F194" s="36">
        <f t="shared" si="5"/>
        <v>3.5095320623916848E-2</v>
      </c>
      <c r="G194" s="1"/>
      <c r="H194" s="1"/>
    </row>
    <row r="195" spans="1:8" x14ac:dyDescent="0.3">
      <c r="A195" s="26">
        <v>46224</v>
      </c>
      <c r="B195" s="38" t="s">
        <v>26</v>
      </c>
      <c r="C195" s="35">
        <v>474</v>
      </c>
      <c r="D195" s="39">
        <v>21362780</v>
      </c>
      <c r="E195" s="1" t="str">
        <f t="shared" si="6"/>
        <v>2026-07</v>
      </c>
      <c r="F195" s="36">
        <f t="shared" ref="F195:F258" si="7">IF(B195=B194,C195/C194-1,0)</f>
        <v>-7.9531184596065563E-3</v>
      </c>
      <c r="G195" s="1"/>
      <c r="H195" s="1"/>
    </row>
    <row r="196" spans="1:8" x14ac:dyDescent="0.3">
      <c r="A196" s="26">
        <v>46225</v>
      </c>
      <c r="B196" s="38" t="s">
        <v>26</v>
      </c>
      <c r="C196" s="35">
        <v>440.6</v>
      </c>
      <c r="D196" s="39">
        <v>66379871</v>
      </c>
      <c r="E196" s="1" t="str">
        <f t="shared" si="6"/>
        <v>2026-07</v>
      </c>
      <c r="F196" s="36">
        <f t="shared" si="7"/>
        <v>-7.0464135021097052E-2</v>
      </c>
      <c r="G196" s="1"/>
      <c r="H196" s="1"/>
    </row>
    <row r="197" spans="1:8" x14ac:dyDescent="0.3">
      <c r="A197" s="26">
        <v>46226</v>
      </c>
      <c r="B197" s="38" t="s">
        <v>26</v>
      </c>
      <c r="C197" s="35">
        <v>445.2</v>
      </c>
      <c r="D197" s="39">
        <v>22888528</v>
      </c>
      <c r="E197" s="1" t="str">
        <f t="shared" si="6"/>
        <v>2026-07</v>
      </c>
      <c r="F197" s="36">
        <f t="shared" si="7"/>
        <v>1.0440308669995346E-2</v>
      </c>
      <c r="G197" s="1"/>
      <c r="H197" s="1"/>
    </row>
    <row r="198" spans="1:8" x14ac:dyDescent="0.3">
      <c r="A198" s="26">
        <v>46227</v>
      </c>
      <c r="B198" s="38" t="s">
        <v>26</v>
      </c>
      <c r="C198" s="35">
        <v>434.6</v>
      </c>
      <c r="D198" s="39">
        <v>22959603</v>
      </c>
      <c r="E198" s="1" t="str">
        <f t="shared" si="6"/>
        <v>2026-07</v>
      </c>
      <c r="F198" s="36">
        <f t="shared" si="7"/>
        <v>-2.3809523809523725E-2</v>
      </c>
      <c r="G198" s="1"/>
      <c r="H198" s="1"/>
    </row>
    <row r="199" spans="1:8" x14ac:dyDescent="0.3">
      <c r="A199" s="26">
        <v>46230</v>
      </c>
      <c r="B199" s="38" t="s">
        <v>26</v>
      </c>
      <c r="C199" s="35">
        <v>443</v>
      </c>
      <c r="D199" s="39">
        <v>14454552</v>
      </c>
      <c r="E199" s="1" t="str">
        <f t="shared" si="6"/>
        <v>2026-07</v>
      </c>
      <c r="F199" s="36">
        <f t="shared" si="7"/>
        <v>1.9328117809479961E-2</v>
      </c>
      <c r="G199" s="1"/>
      <c r="H199" s="1"/>
    </row>
    <row r="200" spans="1:8" x14ac:dyDescent="0.3">
      <c r="A200" s="26">
        <v>46231</v>
      </c>
      <c r="B200" s="38" t="s">
        <v>26</v>
      </c>
      <c r="C200" s="35">
        <v>447.2</v>
      </c>
      <c r="D200" s="39">
        <v>18143997</v>
      </c>
      <c r="E200" s="1" t="str">
        <f t="shared" si="6"/>
        <v>2026-07</v>
      </c>
      <c r="F200" s="36">
        <f t="shared" si="7"/>
        <v>9.4808126410834692E-3</v>
      </c>
      <c r="G200" s="1"/>
      <c r="H200" s="1"/>
    </row>
    <row r="201" spans="1:8" x14ac:dyDescent="0.3">
      <c r="A201" s="26">
        <v>46232</v>
      </c>
      <c r="B201" s="38" t="s">
        <v>26</v>
      </c>
      <c r="C201" s="35">
        <v>466.4</v>
      </c>
      <c r="D201" s="39">
        <v>36203193</v>
      </c>
      <c r="E201" s="1" t="str">
        <f t="shared" si="6"/>
        <v>2026-07</v>
      </c>
      <c r="F201" s="36">
        <f t="shared" si="7"/>
        <v>4.29338103756709E-2</v>
      </c>
      <c r="G201" s="1"/>
      <c r="H201" s="1"/>
    </row>
    <row r="202" spans="1:8" x14ac:dyDescent="0.3">
      <c r="A202" s="26">
        <v>46233</v>
      </c>
      <c r="B202" s="38" t="s">
        <v>26</v>
      </c>
      <c r="C202" s="35">
        <v>471.8</v>
      </c>
      <c r="D202" s="39">
        <v>31791979</v>
      </c>
      <c r="E202" s="1" t="str">
        <f t="shared" si="6"/>
        <v>2026-07</v>
      </c>
      <c r="F202" s="36">
        <f t="shared" si="7"/>
        <v>1.1578044596912695E-2</v>
      </c>
      <c r="G202" s="1"/>
      <c r="H202" s="1"/>
    </row>
    <row r="203" spans="1:8" x14ac:dyDescent="0.3">
      <c r="A203" s="26">
        <v>46234</v>
      </c>
      <c r="B203" s="38" t="s">
        <v>26</v>
      </c>
      <c r="C203" s="35">
        <v>475.2</v>
      </c>
      <c r="D203" s="39">
        <v>31100240</v>
      </c>
      <c r="E203" s="1" t="str">
        <f t="shared" si="6"/>
        <v>2026-07</v>
      </c>
      <c r="F203" s="36">
        <f t="shared" si="7"/>
        <v>7.2064434082237394E-3</v>
      </c>
      <c r="G203" s="1"/>
      <c r="H203" s="1"/>
    </row>
    <row r="204" spans="1:8" x14ac:dyDescent="0.3">
      <c r="A204" s="26">
        <v>46237</v>
      </c>
      <c r="B204" s="38" t="s">
        <v>26</v>
      </c>
      <c r="C204" s="35">
        <v>490.4</v>
      </c>
      <c r="D204" s="39">
        <v>38649910</v>
      </c>
      <c r="E204" s="1" t="str">
        <f t="shared" si="6"/>
        <v>2026-08</v>
      </c>
      <c r="F204" s="36">
        <f t="shared" si="7"/>
        <v>3.1986531986532007E-2</v>
      </c>
      <c r="G204" s="1"/>
      <c r="H204" s="1"/>
    </row>
    <row r="205" spans="1:8" x14ac:dyDescent="0.3">
      <c r="A205" s="26">
        <v>46238</v>
      </c>
      <c r="B205" s="38" t="s">
        <v>26</v>
      </c>
      <c r="C205" s="35">
        <v>487.6</v>
      </c>
      <c r="D205" s="39">
        <v>24860019</v>
      </c>
      <c r="E205" s="1" t="str">
        <f t="shared" si="6"/>
        <v>2026-08</v>
      </c>
      <c r="F205" s="36">
        <f t="shared" si="7"/>
        <v>-5.7096247960847224E-3</v>
      </c>
      <c r="G205" s="1"/>
      <c r="H205" s="1"/>
    </row>
    <row r="206" spans="1:8" x14ac:dyDescent="0.3">
      <c r="A206" s="26">
        <v>46239</v>
      </c>
      <c r="B206" s="38" t="s">
        <v>26</v>
      </c>
      <c r="C206" s="35">
        <v>492.2</v>
      </c>
      <c r="D206" s="39">
        <v>25662478</v>
      </c>
      <c r="E206" s="1" t="str">
        <f t="shared" si="6"/>
        <v>2026-08</v>
      </c>
      <c r="F206" s="36">
        <f t="shared" si="7"/>
        <v>9.4339622641508303E-3</v>
      </c>
      <c r="G206" s="1"/>
      <c r="H206" s="1"/>
    </row>
    <row r="207" spans="1:8" x14ac:dyDescent="0.3">
      <c r="A207" s="26">
        <v>46240</v>
      </c>
      <c r="B207" s="38" t="s">
        <v>26</v>
      </c>
      <c r="C207" s="35">
        <v>479.2</v>
      </c>
      <c r="D207" s="39">
        <v>21801977</v>
      </c>
      <c r="E207" s="1" t="str">
        <f t="shared" si="6"/>
        <v>2026-08</v>
      </c>
      <c r="F207" s="36">
        <f t="shared" si="7"/>
        <v>-2.6412027631044332E-2</v>
      </c>
      <c r="G207" s="1"/>
      <c r="H207" s="1"/>
    </row>
    <row r="208" spans="1:8" x14ac:dyDescent="0.3">
      <c r="A208" s="26">
        <v>46241</v>
      </c>
      <c r="B208" s="38" t="s">
        <v>26</v>
      </c>
      <c r="C208" s="35">
        <v>478.8</v>
      </c>
      <c r="D208" s="39">
        <v>16319939</v>
      </c>
      <c r="E208" s="1" t="str">
        <f t="shared" si="6"/>
        <v>2026-08</v>
      </c>
      <c r="F208" s="36">
        <f t="shared" si="7"/>
        <v>-8.3472454090149917E-4</v>
      </c>
      <c r="G208" s="1"/>
      <c r="H208" s="1"/>
    </row>
    <row r="209" spans="1:8" x14ac:dyDescent="0.3">
      <c r="A209" s="26">
        <v>46244</v>
      </c>
      <c r="B209" s="38" t="s">
        <v>26</v>
      </c>
      <c r="C209" s="35">
        <v>481.4</v>
      </c>
      <c r="D209" s="39">
        <v>15508724</v>
      </c>
      <c r="E209" s="1" t="str">
        <f t="shared" si="6"/>
        <v>2026-08</v>
      </c>
      <c r="F209" s="36">
        <f t="shared" si="7"/>
        <v>5.430242272347563E-3</v>
      </c>
      <c r="G209" s="1"/>
      <c r="H209" s="1"/>
    </row>
    <row r="210" spans="1:8" x14ac:dyDescent="0.3">
      <c r="A210" s="26">
        <v>46245</v>
      </c>
      <c r="B210" s="38" t="s">
        <v>26</v>
      </c>
      <c r="C210" s="35">
        <v>470.8</v>
      </c>
      <c r="D210" s="39">
        <v>19558079</v>
      </c>
      <c r="E210" s="1" t="str">
        <f t="shared" si="6"/>
        <v>2026-08</v>
      </c>
      <c r="F210" s="36">
        <f t="shared" si="7"/>
        <v>-2.2019110926464358E-2</v>
      </c>
      <c r="G210" s="1"/>
      <c r="H210" s="1"/>
    </row>
    <row r="211" spans="1:8" x14ac:dyDescent="0.3">
      <c r="A211" s="26">
        <v>46246</v>
      </c>
      <c r="B211" s="38" t="s">
        <v>26</v>
      </c>
      <c r="C211" s="35">
        <v>461.6</v>
      </c>
      <c r="D211" s="39">
        <v>27593015</v>
      </c>
      <c r="E211" s="1" t="str">
        <f t="shared" si="6"/>
        <v>2026-08</v>
      </c>
      <c r="F211" s="36">
        <f t="shared" si="7"/>
        <v>-1.9541206457094229E-2</v>
      </c>
      <c r="G211" s="1"/>
      <c r="H211" s="1"/>
    </row>
    <row r="212" spans="1:8" x14ac:dyDescent="0.3">
      <c r="A212" s="26">
        <v>46247</v>
      </c>
      <c r="B212" s="38" t="s">
        <v>26</v>
      </c>
      <c r="C212" s="35">
        <v>441</v>
      </c>
      <c r="D212" s="39">
        <v>66424623</v>
      </c>
      <c r="E212" s="1" t="str">
        <f t="shared" si="6"/>
        <v>2026-08</v>
      </c>
      <c r="F212" s="36">
        <f t="shared" si="7"/>
        <v>-4.4627383015597988E-2</v>
      </c>
      <c r="G212" s="1"/>
      <c r="H212" s="1"/>
    </row>
    <row r="213" spans="1:8" x14ac:dyDescent="0.3">
      <c r="A213" s="26">
        <v>46248</v>
      </c>
      <c r="B213" s="38" t="s">
        <v>26</v>
      </c>
      <c r="C213" s="35">
        <v>440</v>
      </c>
      <c r="D213" s="39">
        <v>30601060</v>
      </c>
      <c r="E213" s="1" t="str">
        <f t="shared" si="6"/>
        <v>2026-08</v>
      </c>
      <c r="F213" s="36">
        <f t="shared" si="7"/>
        <v>-2.2675736961451642E-3</v>
      </c>
      <c r="G213" s="1"/>
      <c r="H213" s="1"/>
    </row>
    <row r="214" spans="1:8" x14ac:dyDescent="0.3">
      <c r="A214" s="26">
        <v>46251</v>
      </c>
      <c r="B214" s="38" t="s">
        <v>26</v>
      </c>
      <c r="C214" s="35">
        <v>446.4</v>
      </c>
      <c r="D214" s="39">
        <v>19842808</v>
      </c>
      <c r="E214" s="1" t="str">
        <f t="shared" si="6"/>
        <v>2026-08</v>
      </c>
      <c r="F214" s="36">
        <f t="shared" si="7"/>
        <v>1.4545454545454417E-2</v>
      </c>
      <c r="G214" s="1"/>
      <c r="H214" s="1"/>
    </row>
    <row r="215" spans="1:8" x14ac:dyDescent="0.3">
      <c r="A215" s="26">
        <v>46252</v>
      </c>
      <c r="B215" s="38" t="s">
        <v>26</v>
      </c>
      <c r="C215" s="35">
        <v>442.4</v>
      </c>
      <c r="D215" s="39">
        <v>23218078</v>
      </c>
      <c r="E215" s="1" t="str">
        <f t="shared" si="6"/>
        <v>2026-08</v>
      </c>
      <c r="F215" s="36">
        <f t="shared" si="7"/>
        <v>-8.960573476702538E-3</v>
      </c>
      <c r="G215" s="1"/>
      <c r="H215" s="1"/>
    </row>
    <row r="216" spans="1:8" x14ac:dyDescent="0.3">
      <c r="A216" s="26">
        <v>46253</v>
      </c>
      <c r="B216" s="38" t="s">
        <v>26</v>
      </c>
      <c r="C216" s="35">
        <v>447.2</v>
      </c>
      <c r="D216" s="39">
        <v>19773887</v>
      </c>
      <c r="E216" s="1" t="str">
        <f t="shared" si="6"/>
        <v>2026-08</v>
      </c>
      <c r="F216" s="36">
        <f t="shared" si="7"/>
        <v>1.0849909584086825E-2</v>
      </c>
      <c r="G216" s="1"/>
      <c r="H216" s="1"/>
    </row>
    <row r="217" spans="1:8" x14ac:dyDescent="0.3">
      <c r="A217" s="26">
        <v>46254</v>
      </c>
      <c r="B217" s="38" t="s">
        <v>26</v>
      </c>
      <c r="C217" s="35">
        <v>451.4</v>
      </c>
      <c r="D217" s="39">
        <v>19621298</v>
      </c>
      <c r="E217" s="1" t="str">
        <f t="shared" si="6"/>
        <v>2026-08</v>
      </c>
      <c r="F217" s="36">
        <f t="shared" si="7"/>
        <v>9.3917710196780302E-3</v>
      </c>
      <c r="G217" s="1"/>
      <c r="H217" s="1"/>
    </row>
    <row r="218" spans="1:8" x14ac:dyDescent="0.3">
      <c r="A218" s="26">
        <v>46255</v>
      </c>
      <c r="B218" s="38" t="s">
        <v>26</v>
      </c>
      <c r="C218" s="35">
        <v>457</v>
      </c>
      <c r="D218" s="39">
        <v>22326906</v>
      </c>
      <c r="E218" s="1" t="str">
        <f t="shared" si="6"/>
        <v>2026-08</v>
      </c>
      <c r="F218" s="36">
        <f t="shared" si="7"/>
        <v>1.2405848471422232E-2</v>
      </c>
      <c r="G218" s="1"/>
      <c r="H218" s="1"/>
    </row>
    <row r="219" spans="1:8" x14ac:dyDescent="0.3">
      <c r="A219" s="26">
        <v>46258</v>
      </c>
      <c r="B219" s="38" t="s">
        <v>26</v>
      </c>
      <c r="C219" s="35">
        <v>440</v>
      </c>
      <c r="D219" s="39">
        <v>29180102</v>
      </c>
      <c r="E219" s="1" t="str">
        <f t="shared" si="6"/>
        <v>2026-08</v>
      </c>
      <c r="F219" s="36">
        <f t="shared" si="7"/>
        <v>-3.7199124726477018E-2</v>
      </c>
      <c r="G219" s="1"/>
      <c r="H219" s="1"/>
    </row>
    <row r="220" spans="1:8" x14ac:dyDescent="0.3">
      <c r="A220" s="26">
        <v>46259</v>
      </c>
      <c r="B220" s="38" t="s">
        <v>26</v>
      </c>
      <c r="C220" s="35">
        <v>442</v>
      </c>
      <c r="D220" s="39">
        <v>13032108</v>
      </c>
      <c r="E220" s="1" t="str">
        <f t="shared" si="6"/>
        <v>2026-08</v>
      </c>
      <c r="F220" s="36">
        <f t="shared" si="7"/>
        <v>4.5454545454546302E-3</v>
      </c>
      <c r="G220" s="1"/>
      <c r="H220" s="1"/>
    </row>
    <row r="221" spans="1:8" x14ac:dyDescent="0.3">
      <c r="A221" s="26">
        <v>46260</v>
      </c>
      <c r="B221" s="38" t="s">
        <v>26</v>
      </c>
      <c r="C221" s="35">
        <v>445.4</v>
      </c>
      <c r="D221" s="39">
        <v>14643242</v>
      </c>
      <c r="E221" s="1" t="str">
        <f t="shared" si="6"/>
        <v>2026-08</v>
      </c>
      <c r="F221" s="36">
        <f t="shared" si="7"/>
        <v>7.692307692307665E-3</v>
      </c>
      <c r="G221" s="1"/>
      <c r="H221" s="1"/>
    </row>
    <row r="222" spans="1:8" x14ac:dyDescent="0.3">
      <c r="A222" s="26">
        <v>46261</v>
      </c>
      <c r="B222" s="38" t="s">
        <v>26</v>
      </c>
      <c r="C222" s="35">
        <v>447.8</v>
      </c>
      <c r="D222" s="39">
        <v>11487100</v>
      </c>
      <c r="E222" s="1" t="str">
        <f t="shared" si="6"/>
        <v>2026-08</v>
      </c>
      <c r="F222" s="36">
        <f t="shared" si="7"/>
        <v>5.3884149079479471E-3</v>
      </c>
      <c r="G222" s="1"/>
      <c r="H222" s="1"/>
    </row>
    <row r="223" spans="1:8" x14ac:dyDescent="0.3">
      <c r="A223" s="26">
        <v>46262</v>
      </c>
      <c r="B223" s="38" t="s">
        <v>26</v>
      </c>
      <c r="C223" s="35">
        <v>455.2</v>
      </c>
      <c r="D223" s="39">
        <v>27742475</v>
      </c>
      <c r="E223" s="1" t="str">
        <f t="shared" si="6"/>
        <v>2026-08</v>
      </c>
      <c r="F223" s="36">
        <f t="shared" si="7"/>
        <v>1.6525234479678463E-2</v>
      </c>
      <c r="G223" s="1"/>
      <c r="H223" s="1"/>
    </row>
    <row r="224" spans="1:8" x14ac:dyDescent="0.3">
      <c r="A224" s="26">
        <v>46265</v>
      </c>
      <c r="B224" s="38" t="s">
        <v>26</v>
      </c>
      <c r="C224" s="35">
        <v>453</v>
      </c>
      <c r="D224" s="39">
        <v>20149770</v>
      </c>
      <c r="E224" s="1" t="str">
        <f t="shared" si="6"/>
        <v>2026-08</v>
      </c>
      <c r="F224" s="36">
        <f t="shared" si="7"/>
        <v>-4.833040421792556E-3</v>
      </c>
      <c r="G224" s="1"/>
      <c r="H224" s="1"/>
    </row>
    <row r="225" spans="1:8" x14ac:dyDescent="0.3">
      <c r="A225" s="26">
        <v>46266</v>
      </c>
      <c r="B225" s="38" t="s">
        <v>26</v>
      </c>
      <c r="C225" s="35">
        <v>441.4</v>
      </c>
      <c r="D225" s="39">
        <v>20289781</v>
      </c>
      <c r="E225" s="1" t="str">
        <f t="shared" si="6"/>
        <v>2026-09</v>
      </c>
      <c r="F225" s="36">
        <f t="shared" si="7"/>
        <v>-2.5607064017660108E-2</v>
      </c>
      <c r="G225" s="1"/>
      <c r="H225" s="1"/>
    </row>
    <row r="226" spans="1:8" x14ac:dyDescent="0.3">
      <c r="A226" s="26">
        <v>46267</v>
      </c>
      <c r="B226" s="38" t="s">
        <v>26</v>
      </c>
      <c r="C226" s="35">
        <v>438.2</v>
      </c>
      <c r="D226" s="39">
        <v>21341328</v>
      </c>
      <c r="E226" s="1" t="str">
        <f t="shared" si="6"/>
        <v>2026-09</v>
      </c>
      <c r="F226" s="36">
        <f t="shared" si="7"/>
        <v>-7.2496601721794285E-3</v>
      </c>
      <c r="G226" s="1"/>
      <c r="H226" s="1"/>
    </row>
    <row r="227" spans="1:8" x14ac:dyDescent="0.3">
      <c r="A227" s="26">
        <v>46268</v>
      </c>
      <c r="B227" s="38" t="s">
        <v>26</v>
      </c>
      <c r="C227" s="35">
        <v>433</v>
      </c>
      <c r="D227" s="39">
        <v>17387096</v>
      </c>
      <c r="E227" s="1" t="str">
        <f t="shared" si="6"/>
        <v>2026-09</v>
      </c>
      <c r="F227" s="36">
        <f t="shared" si="7"/>
        <v>-1.186672752167961E-2</v>
      </c>
      <c r="G227" s="1"/>
      <c r="H227" s="1"/>
    </row>
    <row r="228" spans="1:8" x14ac:dyDescent="0.3">
      <c r="A228" s="26">
        <v>46269</v>
      </c>
      <c r="B228" s="38" t="s">
        <v>26</v>
      </c>
      <c r="C228" s="35">
        <v>442.8</v>
      </c>
      <c r="D228" s="39">
        <v>24025286</v>
      </c>
      <c r="E228" s="1" t="str">
        <f t="shared" si="6"/>
        <v>2026-09</v>
      </c>
      <c r="F228" s="36">
        <f t="shared" si="7"/>
        <v>2.2632794457274841E-2</v>
      </c>
      <c r="G228" s="1"/>
      <c r="H228" s="1"/>
    </row>
    <row r="229" spans="1:8" x14ac:dyDescent="0.3">
      <c r="A229" s="26">
        <v>46272</v>
      </c>
      <c r="B229" s="38" t="s">
        <v>26</v>
      </c>
      <c r="C229" s="35">
        <v>438.4</v>
      </c>
      <c r="D229" s="39">
        <v>10442987</v>
      </c>
      <c r="E229" s="1" t="str">
        <f t="shared" si="6"/>
        <v>2026-09</v>
      </c>
      <c r="F229" s="36">
        <f t="shared" si="7"/>
        <v>-9.936766034327138E-3</v>
      </c>
      <c r="G229" s="1"/>
      <c r="H229" s="1"/>
    </row>
    <row r="230" spans="1:8" x14ac:dyDescent="0.3">
      <c r="A230" s="26">
        <v>46273</v>
      </c>
      <c r="B230" s="38" t="s">
        <v>26</v>
      </c>
      <c r="C230" s="35">
        <v>435.4</v>
      </c>
      <c r="D230" s="39">
        <v>10414838</v>
      </c>
      <c r="E230" s="1" t="str">
        <f t="shared" si="6"/>
        <v>2026-09</v>
      </c>
      <c r="F230" s="36">
        <f t="shared" si="7"/>
        <v>-6.8430656934306278E-3</v>
      </c>
      <c r="G230" s="1"/>
      <c r="H230" s="1"/>
    </row>
    <row r="231" spans="1:8" x14ac:dyDescent="0.3">
      <c r="A231" s="26">
        <v>46274</v>
      </c>
      <c r="B231" s="38" t="s">
        <v>26</v>
      </c>
      <c r="C231" s="35">
        <v>434</v>
      </c>
      <c r="D231" s="39">
        <v>17643957</v>
      </c>
      <c r="E231" s="1" t="str">
        <f t="shared" si="6"/>
        <v>2026-09</v>
      </c>
      <c r="F231" s="36">
        <f t="shared" si="7"/>
        <v>-3.215434083601254E-3</v>
      </c>
      <c r="G231" s="1"/>
      <c r="H231" s="1"/>
    </row>
    <row r="232" spans="1:8" x14ac:dyDescent="0.3">
      <c r="A232" s="26">
        <v>46275</v>
      </c>
      <c r="B232" s="38" t="s">
        <v>26</v>
      </c>
      <c r="C232" s="35">
        <v>425.6</v>
      </c>
      <c r="D232" s="39">
        <v>22333165</v>
      </c>
      <c r="E232" s="1" t="str">
        <f t="shared" si="6"/>
        <v>2026-09</v>
      </c>
      <c r="F232" s="36">
        <f t="shared" si="7"/>
        <v>-1.9354838709677358E-2</v>
      </c>
      <c r="G232" s="1"/>
      <c r="H232" s="1"/>
    </row>
    <row r="233" spans="1:8" x14ac:dyDescent="0.3">
      <c r="A233" s="26">
        <v>46276</v>
      </c>
      <c r="B233" s="38" t="s">
        <v>26</v>
      </c>
      <c r="C233" s="35">
        <v>428.4</v>
      </c>
      <c r="D233" s="39">
        <v>15628379</v>
      </c>
      <c r="E233" s="1" t="str">
        <f t="shared" si="6"/>
        <v>2026-09</v>
      </c>
      <c r="F233" s="36">
        <f t="shared" si="7"/>
        <v>6.5789473684210176E-3</v>
      </c>
      <c r="G233" s="1"/>
      <c r="H233" s="1"/>
    </row>
    <row r="234" spans="1:8" x14ac:dyDescent="0.3">
      <c r="A234" s="26">
        <v>46279</v>
      </c>
      <c r="B234" s="38" t="s">
        <v>26</v>
      </c>
      <c r="C234" s="35">
        <v>430.6</v>
      </c>
      <c r="D234" s="39">
        <v>11363985</v>
      </c>
      <c r="E234" s="1" t="str">
        <f t="shared" si="6"/>
        <v>2026-09</v>
      </c>
      <c r="F234" s="36">
        <f t="shared" si="7"/>
        <v>5.1353874883288686E-3</v>
      </c>
      <c r="G234" s="1"/>
      <c r="H234" s="1"/>
    </row>
    <row r="235" spans="1:8" x14ac:dyDescent="0.3">
      <c r="A235" s="26">
        <v>46280</v>
      </c>
      <c r="B235" s="38" t="s">
        <v>26</v>
      </c>
      <c r="C235" s="35">
        <v>438.8</v>
      </c>
      <c r="D235" s="39">
        <v>21791117</v>
      </c>
      <c r="E235" s="1" t="str">
        <f t="shared" si="6"/>
        <v>2026-09</v>
      </c>
      <c r="F235" s="36">
        <f t="shared" si="7"/>
        <v>1.9043195541105451E-2</v>
      </c>
      <c r="G235" s="1"/>
      <c r="H235" s="1"/>
    </row>
    <row r="236" spans="1:8" x14ac:dyDescent="0.3">
      <c r="A236" s="26">
        <v>46281</v>
      </c>
      <c r="B236" s="38" t="s">
        <v>26</v>
      </c>
      <c r="C236" s="35">
        <v>433.4</v>
      </c>
      <c r="D236" s="39">
        <v>12686315</v>
      </c>
      <c r="E236" s="1" t="str">
        <f t="shared" si="6"/>
        <v>2026-09</v>
      </c>
      <c r="F236" s="36">
        <f t="shared" si="7"/>
        <v>-1.2306289881495069E-2</v>
      </c>
      <c r="G236" s="1"/>
      <c r="H236" s="1"/>
    </row>
    <row r="237" spans="1:8" x14ac:dyDescent="0.3">
      <c r="A237" s="26">
        <v>46282</v>
      </c>
      <c r="B237" s="38" t="s">
        <v>26</v>
      </c>
      <c r="C237" s="35">
        <v>426</v>
      </c>
      <c r="D237" s="39">
        <v>16185147</v>
      </c>
      <c r="E237" s="1" t="str">
        <f t="shared" si="6"/>
        <v>2026-09</v>
      </c>
      <c r="F237" s="36">
        <f t="shared" si="7"/>
        <v>-1.7074296262113431E-2</v>
      </c>
      <c r="G237" s="1"/>
      <c r="H237" s="1"/>
    </row>
    <row r="238" spans="1:8" x14ac:dyDescent="0.3">
      <c r="A238" s="26">
        <v>46283</v>
      </c>
      <c r="B238" s="38" t="s">
        <v>26</v>
      </c>
      <c r="C238" s="35">
        <v>419</v>
      </c>
      <c r="D238" s="39">
        <v>28796138</v>
      </c>
      <c r="E238" s="1" t="str">
        <f t="shared" si="6"/>
        <v>2026-09</v>
      </c>
      <c r="F238" s="36">
        <f t="shared" si="7"/>
        <v>-1.6431924882629123E-2</v>
      </c>
      <c r="G238" s="1"/>
      <c r="H238" s="1"/>
    </row>
    <row r="239" spans="1:8" x14ac:dyDescent="0.3">
      <c r="A239" s="26">
        <v>46286</v>
      </c>
      <c r="B239" s="38" t="s">
        <v>26</v>
      </c>
      <c r="C239" s="35">
        <v>430</v>
      </c>
      <c r="D239" s="39">
        <v>19669333</v>
      </c>
      <c r="E239" s="1" t="str">
        <f t="shared" si="6"/>
        <v>2026-09</v>
      </c>
      <c r="F239" s="36">
        <f t="shared" si="7"/>
        <v>2.6252983293556076E-2</v>
      </c>
      <c r="G239" s="1"/>
      <c r="H239" s="1"/>
    </row>
    <row r="240" spans="1:8" x14ac:dyDescent="0.3">
      <c r="A240" s="26">
        <v>46287</v>
      </c>
      <c r="B240" s="38" t="s">
        <v>26</v>
      </c>
      <c r="C240" s="35">
        <v>451.6</v>
      </c>
      <c r="D240" s="39">
        <v>70723438</v>
      </c>
      <c r="E240" s="1" t="str">
        <f t="shared" si="6"/>
        <v>2026-09</v>
      </c>
      <c r="F240" s="36">
        <f t="shared" si="7"/>
        <v>5.0232558139534866E-2</v>
      </c>
      <c r="G240" s="1"/>
      <c r="H240" s="1"/>
    </row>
    <row r="241" spans="1:8" x14ac:dyDescent="0.3">
      <c r="A241" s="26">
        <v>46288</v>
      </c>
      <c r="B241" s="38" t="s">
        <v>26</v>
      </c>
      <c r="C241" s="35">
        <v>441</v>
      </c>
      <c r="D241" s="39">
        <v>22309793</v>
      </c>
      <c r="E241" s="1" t="str">
        <f t="shared" si="6"/>
        <v>2026-09</v>
      </c>
      <c r="F241" s="36">
        <f t="shared" si="7"/>
        <v>-2.347209920283444E-2</v>
      </c>
      <c r="G241" s="1"/>
      <c r="H241" s="1"/>
    </row>
    <row r="242" spans="1:8" x14ac:dyDescent="0.3">
      <c r="A242" s="26">
        <v>46289</v>
      </c>
      <c r="B242" s="38" t="s">
        <v>26</v>
      </c>
      <c r="C242" s="35">
        <v>438.4</v>
      </c>
      <c r="D242" s="39">
        <v>14277944</v>
      </c>
      <c r="E242" s="1" t="str">
        <f t="shared" si="6"/>
        <v>2026-09</v>
      </c>
      <c r="F242" s="36">
        <f t="shared" si="7"/>
        <v>-5.8956916099773826E-3</v>
      </c>
      <c r="G242" s="1"/>
      <c r="H242" s="1"/>
    </row>
    <row r="243" spans="1:8" x14ac:dyDescent="0.3">
      <c r="A243" s="26">
        <v>46290</v>
      </c>
      <c r="B243" s="38" t="s">
        <v>26</v>
      </c>
      <c r="C243" s="35">
        <v>436.6</v>
      </c>
      <c r="D243" s="39">
        <v>9113746</v>
      </c>
      <c r="E243" s="1" t="str">
        <f t="shared" si="6"/>
        <v>2026-09</v>
      </c>
      <c r="F243" s="36">
        <f t="shared" si="7"/>
        <v>-4.1058394160582434E-3</v>
      </c>
      <c r="G243" s="1"/>
      <c r="H243" s="1"/>
    </row>
    <row r="244" spans="1:8" x14ac:dyDescent="0.3">
      <c r="A244" s="26">
        <v>46293</v>
      </c>
      <c r="B244" s="38" t="s">
        <v>26</v>
      </c>
      <c r="C244" s="35">
        <v>439.8</v>
      </c>
      <c r="D244" s="39">
        <v>15335550</v>
      </c>
      <c r="E244" s="1" t="str">
        <f t="shared" si="6"/>
        <v>2026-09</v>
      </c>
      <c r="F244" s="36">
        <f t="shared" si="7"/>
        <v>7.3293632615665238E-3</v>
      </c>
      <c r="G244" s="1"/>
      <c r="H244" s="1"/>
    </row>
    <row r="245" spans="1:8" x14ac:dyDescent="0.3">
      <c r="A245" s="26">
        <v>46294</v>
      </c>
      <c r="B245" s="38" t="s">
        <v>26</v>
      </c>
      <c r="C245" s="35">
        <v>432</v>
      </c>
      <c r="D245" s="39">
        <v>18015236</v>
      </c>
      <c r="E245" s="1" t="str">
        <f t="shared" si="6"/>
        <v>2026-09</v>
      </c>
      <c r="F245" s="36">
        <f t="shared" si="7"/>
        <v>-1.7735334242837686E-2</v>
      </c>
      <c r="G245" s="1"/>
      <c r="H245" s="1"/>
    </row>
    <row r="246" spans="1:8" x14ac:dyDescent="0.3">
      <c r="A246" s="26">
        <v>46295</v>
      </c>
      <c r="B246" s="38" t="s">
        <v>26</v>
      </c>
      <c r="C246" s="35">
        <v>431</v>
      </c>
      <c r="D246" s="39">
        <v>22634903</v>
      </c>
      <c r="E246" s="1" t="str">
        <f t="shared" si="6"/>
        <v>2026-09</v>
      </c>
      <c r="F246" s="36">
        <f t="shared" si="7"/>
        <v>-2.3148148148147696E-3</v>
      </c>
      <c r="G246" s="1"/>
      <c r="H246" s="1"/>
    </row>
    <row r="247" spans="1:8" x14ac:dyDescent="0.3">
      <c r="A247" s="26">
        <v>46297</v>
      </c>
      <c r="B247" s="38" t="s">
        <v>26</v>
      </c>
      <c r="C247" s="35">
        <v>421.2</v>
      </c>
      <c r="D247" s="39">
        <v>19108045</v>
      </c>
      <c r="E247" s="1" t="str">
        <f t="shared" si="6"/>
        <v>2026-10</v>
      </c>
      <c r="F247" s="36">
        <f t="shared" si="7"/>
        <v>-2.2737819025522077E-2</v>
      </c>
      <c r="G247" s="1"/>
      <c r="H247" s="1"/>
    </row>
    <row r="248" spans="1:8" x14ac:dyDescent="0.3">
      <c r="A248" s="26">
        <v>46300</v>
      </c>
      <c r="B248" s="38" t="s">
        <v>26</v>
      </c>
      <c r="C248" s="35">
        <v>423</v>
      </c>
      <c r="D248" s="39">
        <v>8709438</v>
      </c>
      <c r="E248" s="1" t="str">
        <f t="shared" si="6"/>
        <v>2026-10</v>
      </c>
      <c r="F248" s="36">
        <f t="shared" si="7"/>
        <v>4.2735042735042583E-3</v>
      </c>
      <c r="G248" s="1"/>
      <c r="H248" s="1"/>
    </row>
    <row r="249" spans="1:8" x14ac:dyDescent="0.3">
      <c r="A249" s="26">
        <v>46301</v>
      </c>
      <c r="B249" s="38" t="s">
        <v>26</v>
      </c>
      <c r="C249" s="35">
        <v>428.2</v>
      </c>
      <c r="D249" s="39">
        <v>10030081</v>
      </c>
      <c r="E249" s="1" t="str">
        <f t="shared" si="6"/>
        <v>2026-10</v>
      </c>
      <c r="F249" s="36">
        <f t="shared" si="7"/>
        <v>1.2293144208037843E-2</v>
      </c>
      <c r="G249" s="1"/>
      <c r="H249" s="1"/>
    </row>
    <row r="250" spans="1:8" x14ac:dyDescent="0.3">
      <c r="A250" s="26">
        <v>46302</v>
      </c>
      <c r="B250" s="38" t="s">
        <v>26</v>
      </c>
      <c r="C250" s="35">
        <v>420.6</v>
      </c>
      <c r="D250" s="39">
        <v>12436640</v>
      </c>
      <c r="E250" s="1" t="str">
        <f t="shared" si="6"/>
        <v>2026-10</v>
      </c>
      <c r="F250" s="36">
        <f t="shared" si="7"/>
        <v>-1.7748715553479566E-2</v>
      </c>
      <c r="G250" s="1"/>
      <c r="H250" s="1"/>
    </row>
    <row r="251" spans="1:8" x14ac:dyDescent="0.3">
      <c r="A251" s="26">
        <v>46303</v>
      </c>
      <c r="B251" s="38" t="s">
        <v>26</v>
      </c>
      <c r="C251" s="35">
        <v>411.4</v>
      </c>
      <c r="D251" s="39">
        <v>30202875</v>
      </c>
      <c r="E251" s="1" t="str">
        <f t="shared" si="6"/>
        <v>2026-10</v>
      </c>
      <c r="F251" s="36">
        <f t="shared" si="7"/>
        <v>-2.1873514027579755E-2</v>
      </c>
      <c r="G251" s="1"/>
      <c r="H251" s="1"/>
    </row>
    <row r="252" spans="1:8" x14ac:dyDescent="0.3">
      <c r="A252" s="26">
        <v>46304</v>
      </c>
      <c r="B252" s="38" t="s">
        <v>26</v>
      </c>
      <c r="C252" s="35">
        <v>424.8</v>
      </c>
      <c r="D252" s="39">
        <v>20422500</v>
      </c>
      <c r="E252" s="1" t="str">
        <f t="shared" si="6"/>
        <v>2026-10</v>
      </c>
      <c r="F252" s="36">
        <f t="shared" si="7"/>
        <v>3.2571706368497821E-2</v>
      </c>
      <c r="G252" s="1"/>
      <c r="H252" s="1"/>
    </row>
    <row r="253" spans="1:8" x14ac:dyDescent="0.3">
      <c r="A253" s="26">
        <v>46307</v>
      </c>
      <c r="B253" s="38" t="s">
        <v>26</v>
      </c>
      <c r="C253" s="35">
        <v>425.8</v>
      </c>
      <c r="D253" s="39">
        <v>14011738</v>
      </c>
      <c r="E253" s="1" t="str">
        <f t="shared" si="6"/>
        <v>2026-10</v>
      </c>
      <c r="F253" s="36">
        <f t="shared" si="7"/>
        <v>2.3540489642184248E-3</v>
      </c>
      <c r="G253" s="1"/>
      <c r="H253" s="1"/>
    </row>
    <row r="254" spans="1:8" x14ac:dyDescent="0.3">
      <c r="A254" s="26">
        <v>46308</v>
      </c>
      <c r="B254" s="38" t="s">
        <v>26</v>
      </c>
      <c r="C254" s="35">
        <v>425.2</v>
      </c>
      <c r="D254" s="39">
        <v>12724935</v>
      </c>
      <c r="E254" s="1" t="str">
        <f t="shared" si="6"/>
        <v>2026-10</v>
      </c>
      <c r="F254" s="36">
        <f t="shared" si="7"/>
        <v>-1.4091122592767569E-3</v>
      </c>
      <c r="G254" s="1"/>
      <c r="H254" s="1"/>
    </row>
    <row r="255" spans="1:8" x14ac:dyDescent="0.3">
      <c r="A255" s="26">
        <v>46309</v>
      </c>
      <c r="B255" s="38" t="s">
        <v>26</v>
      </c>
      <c r="C255" s="35">
        <v>423.4</v>
      </c>
      <c r="D255" s="39">
        <v>19933548</v>
      </c>
      <c r="E255" s="1" t="str">
        <f t="shared" si="6"/>
        <v>2026-10</v>
      </c>
      <c r="F255" s="36">
        <f t="shared" si="7"/>
        <v>-4.2333019755409484E-3</v>
      </c>
      <c r="G255" s="1"/>
      <c r="H255" s="1"/>
    </row>
    <row r="256" spans="1:8" x14ac:dyDescent="0.3">
      <c r="A256" s="26">
        <v>46310</v>
      </c>
      <c r="B256" s="38" t="s">
        <v>26</v>
      </c>
      <c r="C256" s="35">
        <v>417.8</v>
      </c>
      <c r="D256" s="39">
        <v>20676017</v>
      </c>
      <c r="E256" s="1" t="str">
        <f t="shared" si="6"/>
        <v>2026-10</v>
      </c>
      <c r="F256" s="36">
        <f t="shared" si="7"/>
        <v>-1.3226263580538467E-2</v>
      </c>
      <c r="G256" s="1"/>
      <c r="H256" s="1"/>
    </row>
    <row r="257" spans="1:8" x14ac:dyDescent="0.3">
      <c r="A257" s="26">
        <v>46311</v>
      </c>
      <c r="B257" s="38" t="s">
        <v>26</v>
      </c>
      <c r="C257" s="35">
        <v>417.8</v>
      </c>
      <c r="D257" s="39">
        <v>18752869</v>
      </c>
      <c r="E257" s="1" t="str">
        <f t="shared" si="6"/>
        <v>2026-10</v>
      </c>
      <c r="F257" s="36">
        <f t="shared" si="7"/>
        <v>0</v>
      </c>
      <c r="G257" s="1"/>
      <c r="H257" s="1"/>
    </row>
    <row r="258" spans="1:8" x14ac:dyDescent="0.3">
      <c r="A258" s="26">
        <v>45932</v>
      </c>
      <c r="B258" s="38" t="s">
        <v>61</v>
      </c>
      <c r="C258" s="35">
        <v>182.8948</v>
      </c>
      <c r="D258" s="39">
        <v>96036992</v>
      </c>
      <c r="E258" s="1" t="str">
        <f t="shared" ref="E258:E321" si="8">TEXT(A258,"yyyy-mm")</f>
        <v>2025-10</v>
      </c>
      <c r="F258" s="36">
        <f t="shared" si="7"/>
        <v>0</v>
      </c>
      <c r="G258" s="1"/>
      <c r="H258" s="1"/>
    </row>
    <row r="259" spans="1:8" x14ac:dyDescent="0.3">
      <c r="A259" s="26">
        <v>45933</v>
      </c>
      <c r="B259" s="38" t="s">
        <v>61</v>
      </c>
      <c r="C259" s="35">
        <v>184.89250000000001</v>
      </c>
      <c r="D259" s="39">
        <v>56780997</v>
      </c>
      <c r="E259" s="1" t="str">
        <f t="shared" si="8"/>
        <v>2025-10</v>
      </c>
      <c r="F259" s="36">
        <f t="shared" ref="F259:F322" si="9">IF(B259=B258,C259/C258-1,0)</f>
        <v>1.0922672487134744E-2</v>
      </c>
      <c r="G259" s="1"/>
      <c r="H259" s="1"/>
    </row>
    <row r="260" spans="1:8" x14ac:dyDescent="0.3">
      <c r="A260" s="26">
        <v>45936</v>
      </c>
      <c r="B260" s="38" t="s">
        <v>61</v>
      </c>
      <c r="C260" s="35">
        <v>180.29769999999999</v>
      </c>
      <c r="D260" s="39">
        <v>49211980</v>
      </c>
      <c r="E260" s="1" t="str">
        <f t="shared" si="8"/>
        <v>2025-10</v>
      </c>
      <c r="F260" s="36">
        <f t="shared" si="9"/>
        <v>-2.4851197317360185E-2</v>
      </c>
      <c r="G260" s="1"/>
      <c r="H260" s="1"/>
    </row>
    <row r="261" spans="1:8" x14ac:dyDescent="0.3">
      <c r="A261" s="26">
        <v>45938</v>
      </c>
      <c r="B261" s="38" t="s">
        <v>61</v>
      </c>
      <c r="C261" s="35">
        <v>177.40090000000001</v>
      </c>
      <c r="D261" s="39">
        <v>75252197</v>
      </c>
      <c r="E261" s="1" t="str">
        <f t="shared" si="8"/>
        <v>2025-10</v>
      </c>
      <c r="F261" s="36">
        <f t="shared" si="9"/>
        <v>-1.6066760696337168E-2</v>
      </c>
      <c r="G261" s="1"/>
      <c r="H261" s="1"/>
    </row>
    <row r="262" spans="1:8" x14ac:dyDescent="0.3">
      <c r="A262" s="26">
        <v>45939</v>
      </c>
      <c r="B262" s="38" t="s">
        <v>61</v>
      </c>
      <c r="C262" s="35">
        <v>173.10579999999999</v>
      </c>
      <c r="D262" s="39">
        <v>158029622</v>
      </c>
      <c r="E262" s="1" t="str">
        <f t="shared" si="8"/>
        <v>2025-10</v>
      </c>
      <c r="F262" s="36">
        <f t="shared" si="9"/>
        <v>-2.4211263866192434E-2</v>
      </c>
      <c r="G262" s="1"/>
      <c r="H262" s="1"/>
    </row>
    <row r="263" spans="1:8" x14ac:dyDescent="0.3">
      <c r="A263" s="26">
        <v>45940</v>
      </c>
      <c r="B263" s="38" t="s">
        <v>61</v>
      </c>
      <c r="C263" s="35">
        <v>165.21459999999999</v>
      </c>
      <c r="D263" s="39">
        <v>186753966</v>
      </c>
      <c r="E263" s="1" t="str">
        <f t="shared" si="8"/>
        <v>2025-10</v>
      </c>
      <c r="F263" s="36">
        <f t="shared" si="9"/>
        <v>-4.5585994230118221E-2</v>
      </c>
      <c r="G263" s="1"/>
      <c r="H263" s="1"/>
    </row>
    <row r="264" spans="1:8" x14ac:dyDescent="0.3">
      <c r="A264" s="26">
        <v>45943</v>
      </c>
      <c r="B264" s="38" t="s">
        <v>61</v>
      </c>
      <c r="C264" s="35">
        <v>162.4178</v>
      </c>
      <c r="D264" s="39">
        <v>282816644</v>
      </c>
      <c r="E264" s="1" t="str">
        <f t="shared" si="8"/>
        <v>2025-10</v>
      </c>
      <c r="F264" s="36">
        <f t="shared" si="9"/>
        <v>-1.6928285998937032E-2</v>
      </c>
      <c r="G264" s="1"/>
      <c r="H264" s="1"/>
    </row>
    <row r="265" spans="1:8" x14ac:dyDescent="0.3">
      <c r="A265" s="26">
        <v>45944</v>
      </c>
      <c r="B265" s="38" t="s">
        <v>61</v>
      </c>
      <c r="C265" s="35">
        <v>155.4256</v>
      </c>
      <c r="D265" s="39">
        <v>201534774</v>
      </c>
      <c r="E265" s="1" t="str">
        <f t="shared" si="8"/>
        <v>2025-10</v>
      </c>
      <c r="F265" s="36">
        <f t="shared" si="9"/>
        <v>-4.3050700107993056E-2</v>
      </c>
      <c r="G265" s="1"/>
      <c r="H265" s="1"/>
    </row>
    <row r="266" spans="1:8" x14ac:dyDescent="0.3">
      <c r="A266" s="26">
        <v>45945</v>
      </c>
      <c r="B266" s="38" t="s">
        <v>61</v>
      </c>
      <c r="C266" s="35">
        <v>161.41890000000001</v>
      </c>
      <c r="D266" s="39">
        <v>111159729</v>
      </c>
      <c r="E266" s="1" t="str">
        <f t="shared" si="8"/>
        <v>2025-10</v>
      </c>
      <c r="F266" s="36">
        <f t="shared" si="9"/>
        <v>3.8560571746224515E-2</v>
      </c>
      <c r="G266" s="1"/>
      <c r="H266" s="1"/>
    </row>
    <row r="267" spans="1:8" x14ac:dyDescent="0.3">
      <c r="A267" s="26">
        <v>45946</v>
      </c>
      <c r="B267" s="38" t="s">
        <v>61</v>
      </c>
      <c r="C267" s="35">
        <v>161.01929999999999</v>
      </c>
      <c r="D267" s="39">
        <v>73190193</v>
      </c>
      <c r="E267" s="1" t="str">
        <f t="shared" si="8"/>
        <v>2025-10</v>
      </c>
      <c r="F267" s="36">
        <f t="shared" si="9"/>
        <v>-2.4755465438063284E-3</v>
      </c>
      <c r="G267" s="1"/>
      <c r="H267" s="1"/>
    </row>
    <row r="268" spans="1:8" x14ac:dyDescent="0.3">
      <c r="A268" s="26">
        <v>45947</v>
      </c>
      <c r="B268" s="38" t="s">
        <v>61</v>
      </c>
      <c r="C268" s="35">
        <v>154.2269</v>
      </c>
      <c r="D268" s="39">
        <v>133552318</v>
      </c>
      <c r="E268" s="1" t="str">
        <f t="shared" si="8"/>
        <v>2025-10</v>
      </c>
      <c r="F268" s="36">
        <f t="shared" si="9"/>
        <v>-4.2183763064427615E-2</v>
      </c>
      <c r="G268" s="1"/>
      <c r="H268" s="1"/>
    </row>
    <row r="269" spans="1:8" x14ac:dyDescent="0.3">
      <c r="A269" s="26">
        <v>45950</v>
      </c>
      <c r="B269" s="38" t="s">
        <v>61</v>
      </c>
      <c r="C269" s="35">
        <v>161.71850000000001</v>
      </c>
      <c r="D269" s="39">
        <v>98042110</v>
      </c>
      <c r="E269" s="1" t="str">
        <f t="shared" si="8"/>
        <v>2025-10</v>
      </c>
      <c r="F269" s="36">
        <f t="shared" si="9"/>
        <v>4.8575183706603742E-2</v>
      </c>
      <c r="G269" s="1"/>
      <c r="H269" s="1"/>
    </row>
    <row r="270" spans="1:8" x14ac:dyDescent="0.3">
      <c r="A270" s="26">
        <v>45951</v>
      </c>
      <c r="B270" s="38" t="s">
        <v>61</v>
      </c>
      <c r="C270" s="35">
        <v>164.91489999999999</v>
      </c>
      <c r="D270" s="39">
        <v>110624314</v>
      </c>
      <c r="E270" s="1" t="str">
        <f t="shared" si="8"/>
        <v>2025-10</v>
      </c>
      <c r="F270" s="36">
        <f t="shared" si="9"/>
        <v>1.9765209298874264E-2</v>
      </c>
      <c r="G270" s="1"/>
      <c r="H270" s="1"/>
    </row>
    <row r="271" spans="1:8" x14ac:dyDescent="0.3">
      <c r="A271" s="26">
        <v>45952</v>
      </c>
      <c r="B271" s="38" t="s">
        <v>61</v>
      </c>
      <c r="C271" s="35">
        <v>161.71850000000001</v>
      </c>
      <c r="D271" s="39">
        <v>67640668</v>
      </c>
      <c r="E271" s="1" t="str">
        <f t="shared" si="8"/>
        <v>2025-10</v>
      </c>
      <c r="F271" s="36">
        <f t="shared" si="9"/>
        <v>-1.9382117686151945E-2</v>
      </c>
      <c r="G271" s="1"/>
      <c r="H271" s="1"/>
    </row>
    <row r="272" spans="1:8" x14ac:dyDescent="0.3">
      <c r="A272" s="26">
        <v>45953</v>
      </c>
      <c r="B272" s="38" t="s">
        <v>61</v>
      </c>
      <c r="C272" s="35">
        <v>164.41550000000001</v>
      </c>
      <c r="D272" s="39">
        <v>86447894</v>
      </c>
      <c r="E272" s="1" t="str">
        <f t="shared" si="8"/>
        <v>2025-10</v>
      </c>
      <c r="F272" s="36">
        <f t="shared" si="9"/>
        <v>1.6677127230341648E-2</v>
      </c>
      <c r="G272" s="1"/>
      <c r="H272" s="1"/>
    </row>
    <row r="273" spans="1:8" x14ac:dyDescent="0.3">
      <c r="A273" s="26">
        <v>45954</v>
      </c>
      <c r="B273" s="38" t="s">
        <v>61</v>
      </c>
      <c r="C273" s="35">
        <v>168.1114</v>
      </c>
      <c r="D273" s="39">
        <v>84064278</v>
      </c>
      <c r="E273" s="1" t="str">
        <f t="shared" si="8"/>
        <v>2025-10</v>
      </c>
      <c r="F273" s="36">
        <f t="shared" si="9"/>
        <v>2.2479024179593798E-2</v>
      </c>
      <c r="G273" s="1"/>
      <c r="H273" s="1"/>
    </row>
    <row r="274" spans="1:8" x14ac:dyDescent="0.3">
      <c r="A274" s="26">
        <v>45957</v>
      </c>
      <c r="B274" s="38" t="s">
        <v>61</v>
      </c>
      <c r="C274" s="35">
        <v>173.40539999999999</v>
      </c>
      <c r="D274" s="39">
        <v>96795907</v>
      </c>
      <c r="E274" s="1" t="str">
        <f t="shared" si="8"/>
        <v>2025-10</v>
      </c>
      <c r="F274" s="36">
        <f t="shared" si="9"/>
        <v>3.1491023214368363E-2</v>
      </c>
      <c r="G274" s="1"/>
      <c r="H274" s="1"/>
    </row>
    <row r="275" spans="1:8" x14ac:dyDescent="0.3">
      <c r="A275" s="26">
        <v>45958</v>
      </c>
      <c r="B275" s="38" t="s">
        <v>61</v>
      </c>
      <c r="C275" s="35">
        <v>170.8083</v>
      </c>
      <c r="D275" s="39">
        <v>78492657</v>
      </c>
      <c r="E275" s="1" t="str">
        <f t="shared" si="8"/>
        <v>2025-10</v>
      </c>
      <c r="F275" s="36">
        <f t="shared" si="9"/>
        <v>-1.4977042237438898E-2</v>
      </c>
      <c r="G275" s="1"/>
      <c r="H275" s="1"/>
    </row>
    <row r="276" spans="1:8" x14ac:dyDescent="0.3">
      <c r="A276" s="26">
        <v>45960</v>
      </c>
      <c r="B276" s="38" t="s">
        <v>61</v>
      </c>
      <c r="C276" s="35">
        <v>171.90710000000001</v>
      </c>
      <c r="D276" s="39">
        <v>112254088</v>
      </c>
      <c r="E276" s="1" t="str">
        <f t="shared" si="8"/>
        <v>2025-10</v>
      </c>
      <c r="F276" s="36">
        <f t="shared" si="9"/>
        <v>6.4329426614515572E-3</v>
      </c>
      <c r="G276" s="1"/>
      <c r="H276" s="1"/>
    </row>
    <row r="277" spans="1:8" x14ac:dyDescent="0.3">
      <c r="A277" s="26">
        <v>45961</v>
      </c>
      <c r="B277" s="38" t="s">
        <v>61</v>
      </c>
      <c r="C277" s="35">
        <v>164.91489999999999</v>
      </c>
      <c r="D277" s="39">
        <v>97457096</v>
      </c>
      <c r="E277" s="1" t="str">
        <f t="shared" si="8"/>
        <v>2025-10</v>
      </c>
      <c r="F277" s="36">
        <f t="shared" si="9"/>
        <v>-4.0674294429956737E-2</v>
      </c>
      <c r="G277" s="1"/>
      <c r="H277" s="1"/>
    </row>
    <row r="278" spans="1:8" x14ac:dyDescent="0.3">
      <c r="A278" s="26">
        <v>45964</v>
      </c>
      <c r="B278" s="38" t="s">
        <v>61</v>
      </c>
      <c r="C278" s="35">
        <v>163.0171</v>
      </c>
      <c r="D278" s="39">
        <v>74773287</v>
      </c>
      <c r="E278" s="1" t="str">
        <f t="shared" si="8"/>
        <v>2025-11</v>
      </c>
      <c r="F278" s="36">
        <f t="shared" si="9"/>
        <v>-1.1507753392810405E-2</v>
      </c>
      <c r="G278" s="1"/>
      <c r="H278" s="1"/>
    </row>
    <row r="279" spans="1:8" x14ac:dyDescent="0.3">
      <c r="A279" s="26">
        <v>45965</v>
      </c>
      <c r="B279" s="38" t="s">
        <v>61</v>
      </c>
      <c r="C279" s="35">
        <v>158.8218</v>
      </c>
      <c r="D279" s="39">
        <v>89529769</v>
      </c>
      <c r="E279" s="1" t="str">
        <f t="shared" si="8"/>
        <v>2025-11</v>
      </c>
      <c r="F279" s="36">
        <f t="shared" si="9"/>
        <v>-2.5735336967716904E-2</v>
      </c>
      <c r="G279" s="1"/>
      <c r="H279" s="1"/>
    </row>
    <row r="280" spans="1:8" x14ac:dyDescent="0.3">
      <c r="A280" s="26">
        <v>45966</v>
      </c>
      <c r="B280" s="38" t="s">
        <v>61</v>
      </c>
      <c r="C280" s="35">
        <v>158.32230000000001</v>
      </c>
      <c r="D280" s="39">
        <v>94071358</v>
      </c>
      <c r="E280" s="1" t="str">
        <f t="shared" si="8"/>
        <v>2025-11</v>
      </c>
      <c r="F280" s="36">
        <f t="shared" si="9"/>
        <v>-3.1450342459283798E-3</v>
      </c>
      <c r="G280" s="1"/>
      <c r="H280" s="1"/>
    </row>
    <row r="281" spans="1:8" x14ac:dyDescent="0.3">
      <c r="A281" s="26">
        <v>45967</v>
      </c>
      <c r="B281" s="38" t="s">
        <v>61</v>
      </c>
      <c r="C281" s="35">
        <v>164.8151</v>
      </c>
      <c r="D281" s="39">
        <v>83528391</v>
      </c>
      <c r="E281" s="1" t="str">
        <f t="shared" si="8"/>
        <v>2025-11</v>
      </c>
      <c r="F281" s="36">
        <f t="shared" si="9"/>
        <v>4.1010015645300602E-2</v>
      </c>
      <c r="G281" s="1"/>
      <c r="H281" s="1"/>
    </row>
    <row r="282" spans="1:8" x14ac:dyDescent="0.3">
      <c r="A282" s="26">
        <v>45968</v>
      </c>
      <c r="B282" s="38" t="s">
        <v>61</v>
      </c>
      <c r="C282" s="35">
        <v>159.92060000000001</v>
      </c>
      <c r="D282" s="39">
        <v>66709927</v>
      </c>
      <c r="E282" s="1" t="str">
        <f t="shared" si="8"/>
        <v>2025-11</v>
      </c>
      <c r="F282" s="36">
        <f t="shared" si="9"/>
        <v>-2.9696914906461758E-2</v>
      </c>
      <c r="G282" s="1"/>
      <c r="H282" s="1"/>
    </row>
    <row r="283" spans="1:8" x14ac:dyDescent="0.3">
      <c r="A283" s="26">
        <v>45971</v>
      </c>
      <c r="B283" s="38" t="s">
        <v>61</v>
      </c>
      <c r="C283" s="35">
        <v>163.21680000000001</v>
      </c>
      <c r="D283" s="39">
        <v>57596575</v>
      </c>
      <c r="E283" s="1" t="str">
        <f t="shared" si="8"/>
        <v>2025-11</v>
      </c>
      <c r="F283" s="36">
        <f t="shared" si="9"/>
        <v>2.0611478446178833E-2</v>
      </c>
      <c r="G283" s="1"/>
      <c r="H283" s="1"/>
    </row>
    <row r="284" spans="1:8" x14ac:dyDescent="0.3">
      <c r="A284" s="26">
        <v>45972</v>
      </c>
      <c r="B284" s="38" t="s">
        <v>61</v>
      </c>
      <c r="C284" s="35">
        <v>160.22020000000001</v>
      </c>
      <c r="D284" s="39">
        <v>73054852</v>
      </c>
      <c r="E284" s="1" t="str">
        <f t="shared" si="8"/>
        <v>2025-11</v>
      </c>
      <c r="F284" s="36">
        <f t="shared" si="9"/>
        <v>-1.8359629645967823E-2</v>
      </c>
      <c r="G284" s="1"/>
      <c r="H284" s="1"/>
    </row>
    <row r="285" spans="1:8" x14ac:dyDescent="0.3">
      <c r="A285" s="26">
        <v>45973</v>
      </c>
      <c r="B285" s="38" t="s">
        <v>61</v>
      </c>
      <c r="C285" s="35">
        <v>156.62430000000001</v>
      </c>
      <c r="D285" s="39">
        <v>96741580</v>
      </c>
      <c r="E285" s="1" t="str">
        <f t="shared" si="8"/>
        <v>2025-11</v>
      </c>
      <c r="F285" s="36">
        <f t="shared" si="9"/>
        <v>-2.2443487150808683E-2</v>
      </c>
      <c r="G285" s="1"/>
      <c r="H285" s="1"/>
    </row>
    <row r="286" spans="1:8" x14ac:dyDescent="0.3">
      <c r="A286" s="26">
        <v>45974</v>
      </c>
      <c r="B286" s="38" t="s">
        <v>61</v>
      </c>
      <c r="C286" s="35">
        <v>161.8184</v>
      </c>
      <c r="D286" s="39">
        <v>155447392</v>
      </c>
      <c r="E286" s="1" t="str">
        <f t="shared" si="8"/>
        <v>2025-11</v>
      </c>
      <c r="F286" s="36">
        <f t="shared" si="9"/>
        <v>3.3162797854483506E-2</v>
      </c>
      <c r="G286" s="1"/>
      <c r="H286" s="1"/>
    </row>
    <row r="287" spans="1:8" x14ac:dyDescent="0.3">
      <c r="A287" s="26">
        <v>45975</v>
      </c>
      <c r="B287" s="38" t="s">
        <v>61</v>
      </c>
      <c r="C287" s="35">
        <v>154.72640000000001</v>
      </c>
      <c r="D287" s="39">
        <v>101354219</v>
      </c>
      <c r="E287" s="1" t="str">
        <f t="shared" si="8"/>
        <v>2025-11</v>
      </c>
      <c r="F287" s="36">
        <f t="shared" si="9"/>
        <v>-4.3826907199675635E-2</v>
      </c>
      <c r="G287" s="1"/>
      <c r="H287" s="1"/>
    </row>
    <row r="288" spans="1:8" x14ac:dyDescent="0.3">
      <c r="A288" s="26">
        <v>45978</v>
      </c>
      <c r="B288" s="38" t="s">
        <v>61</v>
      </c>
      <c r="C288" s="35">
        <v>154.72640000000001</v>
      </c>
      <c r="D288" s="39">
        <v>113907864</v>
      </c>
      <c r="E288" s="1" t="str">
        <f t="shared" si="8"/>
        <v>2025-11</v>
      </c>
      <c r="F288" s="36">
        <f t="shared" si="9"/>
        <v>0</v>
      </c>
      <c r="G288" s="1"/>
      <c r="H288" s="1"/>
    </row>
    <row r="289" spans="1:8" x14ac:dyDescent="0.3">
      <c r="A289" s="26">
        <v>45979</v>
      </c>
      <c r="B289" s="38" t="s">
        <v>61</v>
      </c>
      <c r="C289" s="35">
        <v>154.42670000000001</v>
      </c>
      <c r="D289" s="39">
        <v>102880519</v>
      </c>
      <c r="E289" s="1" t="str">
        <f t="shared" si="8"/>
        <v>2025-11</v>
      </c>
      <c r="F289" s="36">
        <f t="shared" si="9"/>
        <v>-1.9369674470549603E-3</v>
      </c>
      <c r="G289" s="1"/>
      <c r="H289" s="1"/>
    </row>
    <row r="290" spans="1:8" x14ac:dyDescent="0.3">
      <c r="A290" s="26">
        <v>45980</v>
      </c>
      <c r="B290" s="38" t="s">
        <v>61</v>
      </c>
      <c r="C290" s="35">
        <v>156.22470000000001</v>
      </c>
      <c r="D290" s="39">
        <v>71141046</v>
      </c>
      <c r="E290" s="1" t="str">
        <f t="shared" si="8"/>
        <v>2025-11</v>
      </c>
      <c r="F290" s="36">
        <f t="shared" si="9"/>
        <v>1.1643064314655449E-2</v>
      </c>
      <c r="G290" s="1"/>
      <c r="H290" s="1"/>
    </row>
    <row r="291" spans="1:8" x14ac:dyDescent="0.3">
      <c r="A291" s="26">
        <v>45981</v>
      </c>
      <c r="B291" s="38" t="s">
        <v>61</v>
      </c>
      <c r="C291" s="35">
        <v>154.62649999999999</v>
      </c>
      <c r="D291" s="39">
        <v>65486765</v>
      </c>
      <c r="E291" s="1" t="str">
        <f t="shared" si="8"/>
        <v>2025-11</v>
      </c>
      <c r="F291" s="36">
        <f t="shared" si="9"/>
        <v>-1.0230136463696304E-2</v>
      </c>
      <c r="G291" s="1"/>
      <c r="H291" s="1"/>
    </row>
    <row r="292" spans="1:8" x14ac:dyDescent="0.3">
      <c r="A292" s="26">
        <v>45982</v>
      </c>
      <c r="B292" s="38" t="s">
        <v>61</v>
      </c>
      <c r="C292" s="35">
        <v>147.43459999999999</v>
      </c>
      <c r="D292" s="39">
        <v>141043093</v>
      </c>
      <c r="E292" s="1" t="str">
        <f t="shared" si="8"/>
        <v>2025-11</v>
      </c>
      <c r="F292" s="36">
        <f t="shared" si="9"/>
        <v>-4.6511432387074669E-2</v>
      </c>
      <c r="G292" s="1"/>
      <c r="H292" s="1"/>
    </row>
    <row r="293" spans="1:8" x14ac:dyDescent="0.3">
      <c r="A293" s="26">
        <v>45985</v>
      </c>
      <c r="B293" s="38" t="s">
        <v>61</v>
      </c>
      <c r="C293" s="35">
        <v>154.32679999999999</v>
      </c>
      <c r="D293" s="39">
        <v>199790253</v>
      </c>
      <c r="E293" s="1" t="str">
        <f t="shared" si="8"/>
        <v>2025-11</v>
      </c>
      <c r="F293" s="36">
        <f t="shared" si="9"/>
        <v>4.6747507030235891E-2</v>
      </c>
      <c r="G293" s="1"/>
      <c r="H293" s="1"/>
    </row>
    <row r="294" spans="1:8" x14ac:dyDescent="0.3">
      <c r="A294" s="26">
        <v>45986</v>
      </c>
      <c r="B294" s="38" t="s">
        <v>61</v>
      </c>
      <c r="C294" s="35">
        <v>157.62309999999999</v>
      </c>
      <c r="D294" s="39">
        <v>147102629</v>
      </c>
      <c r="E294" s="1" t="str">
        <f t="shared" si="8"/>
        <v>2025-11</v>
      </c>
      <c r="F294" s="36">
        <f t="shared" si="9"/>
        <v>2.1359219526355666E-2</v>
      </c>
      <c r="G294" s="1"/>
      <c r="H294" s="1"/>
    </row>
    <row r="295" spans="1:8" x14ac:dyDescent="0.3">
      <c r="A295" s="26">
        <v>45987</v>
      </c>
      <c r="B295" s="38" t="s">
        <v>61</v>
      </c>
      <c r="C295" s="35">
        <v>154.62649999999999</v>
      </c>
      <c r="D295" s="39">
        <v>110863259</v>
      </c>
      <c r="E295" s="1" t="str">
        <f t="shared" si="8"/>
        <v>2025-11</v>
      </c>
      <c r="F295" s="36">
        <f t="shared" si="9"/>
        <v>-1.9011172854740188E-2</v>
      </c>
      <c r="G295" s="1"/>
      <c r="H295" s="1"/>
    </row>
    <row r="296" spans="1:8" x14ac:dyDescent="0.3">
      <c r="A296" s="26">
        <v>45988</v>
      </c>
      <c r="B296" s="38" t="s">
        <v>61</v>
      </c>
      <c r="C296" s="35">
        <v>150.43119999999999</v>
      </c>
      <c r="D296" s="39">
        <v>103303822</v>
      </c>
      <c r="E296" s="1" t="str">
        <f t="shared" si="8"/>
        <v>2025-11</v>
      </c>
      <c r="F296" s="36">
        <f t="shared" si="9"/>
        <v>-2.7131830572379223E-2</v>
      </c>
      <c r="G296" s="1"/>
      <c r="H296" s="1"/>
    </row>
    <row r="297" spans="1:8" x14ac:dyDescent="0.3">
      <c r="A297" s="26">
        <v>45989</v>
      </c>
      <c r="B297" s="38" t="s">
        <v>61</v>
      </c>
      <c r="C297" s="35">
        <v>151.33019999999999</v>
      </c>
      <c r="D297" s="39">
        <v>66572166</v>
      </c>
      <c r="E297" s="1" t="str">
        <f t="shared" si="8"/>
        <v>2025-11</v>
      </c>
      <c r="F297" s="36">
        <f t="shared" si="9"/>
        <v>5.9761538829710137E-3</v>
      </c>
      <c r="G297" s="1"/>
      <c r="H297" s="1"/>
    </row>
    <row r="298" spans="1:8" x14ac:dyDescent="0.3">
      <c r="A298" s="26">
        <v>45992</v>
      </c>
      <c r="B298" s="38" t="s">
        <v>61</v>
      </c>
      <c r="C298" s="35">
        <v>154.72640000000001</v>
      </c>
      <c r="D298" s="39">
        <v>93259220</v>
      </c>
      <c r="E298" s="1" t="str">
        <f t="shared" si="8"/>
        <v>2025-12</v>
      </c>
      <c r="F298" s="36">
        <f t="shared" si="9"/>
        <v>2.2442314884933978E-2</v>
      </c>
      <c r="G298" s="1"/>
      <c r="H298" s="1"/>
    </row>
    <row r="299" spans="1:8" x14ac:dyDescent="0.3">
      <c r="A299" s="26">
        <v>45993</v>
      </c>
      <c r="B299" s="38" t="s">
        <v>61</v>
      </c>
      <c r="C299" s="35">
        <v>156.82400000000001</v>
      </c>
      <c r="D299" s="39">
        <v>74133971</v>
      </c>
      <c r="E299" s="1" t="str">
        <f t="shared" si="8"/>
        <v>2025-12</v>
      </c>
      <c r="F299" s="36">
        <f t="shared" si="9"/>
        <v>1.3556833223031139E-2</v>
      </c>
      <c r="G299" s="1"/>
      <c r="H299" s="1"/>
    </row>
    <row r="300" spans="1:8" x14ac:dyDescent="0.3">
      <c r="A300" s="26">
        <v>45994</v>
      </c>
      <c r="B300" s="38" t="s">
        <v>61</v>
      </c>
      <c r="C300" s="35">
        <v>153.42779999999999</v>
      </c>
      <c r="D300" s="39">
        <v>54076752</v>
      </c>
      <c r="E300" s="1" t="str">
        <f t="shared" si="8"/>
        <v>2025-12</v>
      </c>
      <c r="F300" s="36">
        <f t="shared" si="9"/>
        <v>-2.1656124062643611E-2</v>
      </c>
      <c r="G300" s="1"/>
      <c r="H300" s="1"/>
    </row>
    <row r="301" spans="1:8" x14ac:dyDescent="0.3">
      <c r="A301" s="26">
        <v>45995</v>
      </c>
      <c r="B301" s="38" t="s">
        <v>61</v>
      </c>
      <c r="C301" s="35">
        <v>154.2269</v>
      </c>
      <c r="D301" s="39">
        <v>57110210</v>
      </c>
      <c r="E301" s="1" t="str">
        <f t="shared" si="8"/>
        <v>2025-12</v>
      </c>
      <c r="F301" s="36">
        <f t="shared" si="9"/>
        <v>5.2083129654469928E-3</v>
      </c>
      <c r="G301" s="1"/>
      <c r="H301" s="1"/>
    </row>
    <row r="302" spans="1:8" x14ac:dyDescent="0.3">
      <c r="A302" s="26">
        <v>45996</v>
      </c>
      <c r="B302" s="38" t="s">
        <v>61</v>
      </c>
      <c r="C302" s="35">
        <v>154.8263</v>
      </c>
      <c r="D302" s="39">
        <v>78815068</v>
      </c>
      <c r="E302" s="1" t="str">
        <f t="shared" si="8"/>
        <v>2025-12</v>
      </c>
      <c r="F302" s="36">
        <f t="shared" si="9"/>
        <v>3.8864815411578935E-3</v>
      </c>
      <c r="G302" s="1"/>
      <c r="H302" s="1"/>
    </row>
    <row r="303" spans="1:8" x14ac:dyDescent="0.3">
      <c r="A303" s="26">
        <v>45999</v>
      </c>
      <c r="B303" s="38" t="s">
        <v>61</v>
      </c>
      <c r="C303" s="35">
        <v>153.22810000000001</v>
      </c>
      <c r="D303" s="39">
        <v>75226835</v>
      </c>
      <c r="E303" s="1" t="str">
        <f t="shared" si="8"/>
        <v>2025-12</v>
      </c>
      <c r="F303" s="36">
        <f t="shared" si="9"/>
        <v>-1.0322535641554387E-2</v>
      </c>
      <c r="G303" s="1"/>
      <c r="H303" s="1"/>
    </row>
    <row r="304" spans="1:8" x14ac:dyDescent="0.3">
      <c r="A304" s="26">
        <v>46000</v>
      </c>
      <c r="B304" s="38" t="s">
        <v>61</v>
      </c>
      <c r="C304" s="35">
        <v>150.73089999999999</v>
      </c>
      <c r="D304" s="39">
        <v>69789164</v>
      </c>
      <c r="E304" s="1" t="str">
        <f t="shared" si="8"/>
        <v>2025-12</v>
      </c>
      <c r="F304" s="36">
        <f t="shared" si="9"/>
        <v>-1.6297271845046812E-2</v>
      </c>
      <c r="G304" s="1"/>
      <c r="H304" s="1"/>
    </row>
    <row r="305" spans="1:8" x14ac:dyDescent="0.3">
      <c r="A305" s="26">
        <v>46001</v>
      </c>
      <c r="B305" s="38" t="s">
        <v>61</v>
      </c>
      <c r="C305" s="35">
        <v>153.0283</v>
      </c>
      <c r="D305" s="39">
        <v>61369895</v>
      </c>
      <c r="E305" s="1" t="str">
        <f t="shared" si="8"/>
        <v>2025-12</v>
      </c>
      <c r="F305" s="36">
        <f t="shared" si="9"/>
        <v>1.5241732119956941E-2</v>
      </c>
      <c r="G305" s="1"/>
      <c r="H305" s="1"/>
    </row>
    <row r="306" spans="1:8" x14ac:dyDescent="0.3">
      <c r="A306" s="26">
        <v>46002</v>
      </c>
      <c r="B306" s="38" t="s">
        <v>61</v>
      </c>
      <c r="C306" s="35">
        <v>150.43119999999999</v>
      </c>
      <c r="D306" s="39">
        <v>59433982</v>
      </c>
      <c r="E306" s="1" t="str">
        <f t="shared" si="8"/>
        <v>2025-12</v>
      </c>
      <c r="F306" s="36">
        <f t="shared" si="9"/>
        <v>-1.6971370654970452E-2</v>
      </c>
      <c r="G306" s="1"/>
      <c r="H306" s="1"/>
    </row>
    <row r="307" spans="1:8" x14ac:dyDescent="0.3">
      <c r="A307" s="26">
        <v>46003</v>
      </c>
      <c r="B307" s="38" t="s">
        <v>61</v>
      </c>
      <c r="C307" s="35">
        <v>153.9273</v>
      </c>
      <c r="D307" s="39">
        <v>88532981</v>
      </c>
      <c r="E307" s="1" t="str">
        <f t="shared" si="8"/>
        <v>2025-12</v>
      </c>
      <c r="F307" s="36">
        <f t="shared" si="9"/>
        <v>2.3240524572030408E-2</v>
      </c>
      <c r="G307" s="1"/>
      <c r="H307" s="1"/>
    </row>
    <row r="308" spans="1:8" x14ac:dyDescent="0.3">
      <c r="A308" s="26">
        <v>46006</v>
      </c>
      <c r="B308" s="38" t="s">
        <v>61</v>
      </c>
      <c r="C308" s="35">
        <v>148.43340000000001</v>
      </c>
      <c r="D308" s="39">
        <v>94298860</v>
      </c>
      <c r="E308" s="1" t="str">
        <f t="shared" si="8"/>
        <v>2025-12</v>
      </c>
      <c r="F308" s="36">
        <f t="shared" si="9"/>
        <v>-3.5691524505399586E-2</v>
      </c>
      <c r="G308" s="1"/>
      <c r="H308" s="1"/>
    </row>
    <row r="309" spans="1:8" x14ac:dyDescent="0.3">
      <c r="A309" s="26">
        <v>46007</v>
      </c>
      <c r="B309" s="38" t="s">
        <v>61</v>
      </c>
      <c r="C309" s="35">
        <v>144.0384</v>
      </c>
      <c r="D309" s="39">
        <v>118119058</v>
      </c>
      <c r="E309" s="1" t="str">
        <f t="shared" si="8"/>
        <v>2025-12</v>
      </c>
      <c r="F309" s="36">
        <f t="shared" si="9"/>
        <v>-2.9609238890977441E-2</v>
      </c>
      <c r="G309" s="1"/>
      <c r="H309" s="1"/>
    </row>
    <row r="310" spans="1:8" x14ac:dyDescent="0.3">
      <c r="A310" s="26">
        <v>46008</v>
      </c>
      <c r="B310" s="38" t="s">
        <v>61</v>
      </c>
      <c r="C310" s="35">
        <v>145.83629999999999</v>
      </c>
      <c r="D310" s="39">
        <v>60486179</v>
      </c>
      <c r="E310" s="1" t="str">
        <f t="shared" si="8"/>
        <v>2025-12</v>
      </c>
      <c r="F310" s="36">
        <f t="shared" si="9"/>
        <v>1.2482088109837308E-2</v>
      </c>
      <c r="G310" s="1"/>
      <c r="H310" s="1"/>
    </row>
    <row r="311" spans="1:8" x14ac:dyDescent="0.3">
      <c r="A311" s="26">
        <v>46009</v>
      </c>
      <c r="B311" s="38" t="s">
        <v>61</v>
      </c>
      <c r="C311" s="35">
        <v>143.9385</v>
      </c>
      <c r="D311" s="39">
        <v>47014025</v>
      </c>
      <c r="E311" s="1" t="str">
        <f t="shared" si="8"/>
        <v>2025-12</v>
      </c>
      <c r="F311" s="36">
        <f t="shared" si="9"/>
        <v>-1.3013220988190133E-2</v>
      </c>
      <c r="G311" s="1"/>
      <c r="H311" s="1"/>
    </row>
    <row r="312" spans="1:8" x14ac:dyDescent="0.3">
      <c r="A312" s="26">
        <v>46010</v>
      </c>
      <c r="B312" s="38" t="s">
        <v>61</v>
      </c>
      <c r="C312" s="35">
        <v>145.1371</v>
      </c>
      <c r="D312" s="39">
        <v>70392591</v>
      </c>
      <c r="E312" s="1" t="str">
        <f t="shared" si="8"/>
        <v>2025-12</v>
      </c>
      <c r="F312" s="36">
        <f t="shared" si="9"/>
        <v>8.3271675055665018E-3</v>
      </c>
      <c r="G312" s="1"/>
      <c r="H312" s="1"/>
    </row>
    <row r="313" spans="1:8" x14ac:dyDescent="0.3">
      <c r="A313" s="26">
        <v>46013</v>
      </c>
      <c r="B313" s="38" t="s">
        <v>61</v>
      </c>
      <c r="C313" s="35">
        <v>146.23589999999999</v>
      </c>
      <c r="D313" s="39">
        <v>58877432</v>
      </c>
      <c r="E313" s="1" t="str">
        <f t="shared" si="8"/>
        <v>2025-12</v>
      </c>
      <c r="F313" s="36">
        <f t="shared" si="9"/>
        <v>7.5707727383280687E-3</v>
      </c>
      <c r="G313" s="1"/>
      <c r="H313" s="1"/>
    </row>
    <row r="314" spans="1:8" x14ac:dyDescent="0.3">
      <c r="A314" s="26">
        <v>46014</v>
      </c>
      <c r="B314" s="38" t="s">
        <v>61</v>
      </c>
      <c r="C314" s="35">
        <v>147.035</v>
      </c>
      <c r="D314" s="39">
        <v>47601549</v>
      </c>
      <c r="E314" s="1" t="str">
        <f t="shared" si="8"/>
        <v>2025-12</v>
      </c>
      <c r="F314" s="36">
        <f t="shared" si="9"/>
        <v>5.4644584537724139E-3</v>
      </c>
      <c r="G314" s="1"/>
      <c r="H314" s="1"/>
    </row>
    <row r="315" spans="1:8" x14ac:dyDescent="0.3">
      <c r="A315" s="26">
        <v>46015</v>
      </c>
      <c r="B315" s="38" t="s">
        <v>61</v>
      </c>
      <c r="C315" s="35">
        <v>145.93620000000001</v>
      </c>
      <c r="D315" s="39">
        <v>0</v>
      </c>
      <c r="E315" s="1" t="str">
        <f t="shared" si="8"/>
        <v>2025-12</v>
      </c>
      <c r="F315" s="36">
        <f t="shared" si="9"/>
        <v>-7.4730506342026715E-3</v>
      </c>
      <c r="G315" s="1"/>
      <c r="H315" s="1"/>
    </row>
    <row r="316" spans="1:8" x14ac:dyDescent="0.3">
      <c r="A316" s="26">
        <v>46020</v>
      </c>
      <c r="B316" s="38" t="s">
        <v>61</v>
      </c>
      <c r="C316" s="35">
        <v>143.13939999999999</v>
      </c>
      <c r="D316" s="39">
        <v>62656820</v>
      </c>
      <c r="E316" s="1" t="str">
        <f t="shared" si="8"/>
        <v>2025-12</v>
      </c>
      <c r="F316" s="36">
        <f t="shared" si="9"/>
        <v>-1.916453902458759E-2</v>
      </c>
      <c r="G316" s="1"/>
      <c r="H316" s="1"/>
    </row>
    <row r="317" spans="1:8" x14ac:dyDescent="0.3">
      <c r="A317" s="26">
        <v>46021</v>
      </c>
      <c r="B317" s="38" t="s">
        <v>61</v>
      </c>
      <c r="C317" s="35">
        <v>144.33799999999999</v>
      </c>
      <c r="D317" s="39">
        <v>60201594</v>
      </c>
      <c r="E317" s="1" t="str">
        <f t="shared" si="8"/>
        <v>2025-12</v>
      </c>
      <c r="F317" s="36">
        <f t="shared" si="9"/>
        <v>8.3736553317954598E-3</v>
      </c>
      <c r="G317" s="1"/>
      <c r="H317" s="1"/>
    </row>
    <row r="318" spans="1:8" x14ac:dyDescent="0.3">
      <c r="A318" s="26">
        <v>46022</v>
      </c>
      <c r="B318" s="38" t="s">
        <v>61</v>
      </c>
      <c r="C318" s="35">
        <v>142.63990000000001</v>
      </c>
      <c r="D318" s="39">
        <v>35628222</v>
      </c>
      <c r="E318" s="1" t="str">
        <f t="shared" si="8"/>
        <v>2025-12</v>
      </c>
      <c r="F318" s="36">
        <f t="shared" si="9"/>
        <v>-1.1764746636367285E-2</v>
      </c>
      <c r="G318" s="1"/>
      <c r="H318" s="1"/>
    </row>
    <row r="319" spans="1:8" x14ac:dyDescent="0.3">
      <c r="A319" s="26">
        <v>46024</v>
      </c>
      <c r="B319" s="38" t="s">
        <v>61</v>
      </c>
      <c r="C319" s="35">
        <v>148.833</v>
      </c>
      <c r="D319" s="39">
        <v>48902470</v>
      </c>
      <c r="E319" s="1" t="str">
        <f t="shared" si="8"/>
        <v>2026-01</v>
      </c>
      <c r="F319" s="36">
        <f t="shared" si="9"/>
        <v>4.3417725334916613E-2</v>
      </c>
      <c r="G319" s="1"/>
      <c r="H319" s="1"/>
    </row>
    <row r="320" spans="1:8" x14ac:dyDescent="0.3">
      <c r="A320" s="26">
        <v>46027</v>
      </c>
      <c r="B320" s="38" t="s">
        <v>61</v>
      </c>
      <c r="C320" s="35">
        <v>152.62870000000001</v>
      </c>
      <c r="D320" s="39">
        <v>102834720</v>
      </c>
      <c r="E320" s="1" t="str">
        <f t="shared" si="8"/>
        <v>2026-01</v>
      </c>
      <c r="F320" s="36">
        <f t="shared" si="9"/>
        <v>2.5503080633999309E-2</v>
      </c>
      <c r="G320" s="1"/>
      <c r="H320" s="1"/>
    </row>
    <row r="321" spans="1:8" x14ac:dyDescent="0.3">
      <c r="A321" s="26">
        <v>46028</v>
      </c>
      <c r="B321" s="38" t="s">
        <v>61</v>
      </c>
      <c r="C321" s="35">
        <v>150.631</v>
      </c>
      <c r="D321" s="39">
        <v>112004139</v>
      </c>
      <c r="E321" s="1" t="str">
        <f t="shared" si="8"/>
        <v>2026-01</v>
      </c>
      <c r="F321" s="36">
        <f t="shared" si="9"/>
        <v>-1.3088626188914709E-2</v>
      </c>
      <c r="G321" s="1"/>
      <c r="H321" s="1"/>
    </row>
    <row r="322" spans="1:8" x14ac:dyDescent="0.3">
      <c r="A322" s="26">
        <v>46029</v>
      </c>
      <c r="B322" s="38" t="s">
        <v>61</v>
      </c>
      <c r="C322" s="35">
        <v>145.73650000000001</v>
      </c>
      <c r="D322" s="39">
        <v>149677478</v>
      </c>
      <c r="E322" s="1" t="str">
        <f t="shared" ref="E322:E385" si="10">TEXT(A322,"yyyy-mm")</f>
        <v>2026-01</v>
      </c>
      <c r="F322" s="36">
        <f t="shared" si="9"/>
        <v>-3.2493311469750541E-2</v>
      </c>
      <c r="G322" s="1"/>
      <c r="H322" s="1"/>
    </row>
    <row r="323" spans="1:8" x14ac:dyDescent="0.3">
      <c r="A323" s="26">
        <v>46030</v>
      </c>
      <c r="B323" s="38" t="s">
        <v>61</v>
      </c>
      <c r="C323" s="35">
        <v>142.4402</v>
      </c>
      <c r="D323" s="39">
        <v>107421412</v>
      </c>
      <c r="E323" s="1" t="str">
        <f t="shared" si="10"/>
        <v>2026-01</v>
      </c>
      <c r="F323" s="36">
        <f t="shared" ref="F323:F386" si="11">IF(B323=B322,C323/C322-1,0)</f>
        <v>-2.2618218497082121E-2</v>
      </c>
      <c r="G323" s="1"/>
      <c r="H323" s="1"/>
    </row>
    <row r="324" spans="1:8" x14ac:dyDescent="0.3">
      <c r="A324" s="26">
        <v>46031</v>
      </c>
      <c r="B324" s="38" t="s">
        <v>61</v>
      </c>
      <c r="C324" s="35">
        <v>146.33580000000001</v>
      </c>
      <c r="D324" s="39">
        <v>115234256</v>
      </c>
      <c r="E324" s="1" t="str">
        <f t="shared" si="10"/>
        <v>2026-01</v>
      </c>
      <c r="F324" s="36">
        <f t="shared" si="11"/>
        <v>2.734902085225932E-2</v>
      </c>
      <c r="G324" s="1"/>
      <c r="H324" s="1"/>
    </row>
    <row r="325" spans="1:8" x14ac:dyDescent="0.3">
      <c r="A325" s="26">
        <v>46034</v>
      </c>
      <c r="B325" s="38" t="s">
        <v>61</v>
      </c>
      <c r="C325" s="35">
        <v>154.12710000000001</v>
      </c>
      <c r="D325" s="39">
        <v>164580300</v>
      </c>
      <c r="E325" s="1" t="str">
        <f t="shared" si="10"/>
        <v>2026-01</v>
      </c>
      <c r="F325" s="36">
        <f t="shared" si="11"/>
        <v>5.324261048902601E-2</v>
      </c>
      <c r="G325" s="1"/>
      <c r="H325" s="1"/>
    </row>
    <row r="326" spans="1:8" x14ac:dyDescent="0.3">
      <c r="A326" s="26">
        <v>46035</v>
      </c>
      <c r="B326" s="38" t="s">
        <v>61</v>
      </c>
      <c r="C326" s="35">
        <v>159.7208</v>
      </c>
      <c r="D326" s="39">
        <v>153153842</v>
      </c>
      <c r="E326" s="1" t="str">
        <f t="shared" si="10"/>
        <v>2026-01</v>
      </c>
      <c r="F326" s="36">
        <f t="shared" si="11"/>
        <v>3.6292773950849622E-2</v>
      </c>
      <c r="G326" s="1"/>
      <c r="H326" s="1"/>
    </row>
    <row r="327" spans="1:8" x14ac:dyDescent="0.3">
      <c r="A327" s="26">
        <v>46036</v>
      </c>
      <c r="B327" s="38" t="s">
        <v>61</v>
      </c>
      <c r="C327" s="35">
        <v>168.81059999999999</v>
      </c>
      <c r="D327" s="39">
        <v>244622843</v>
      </c>
      <c r="E327" s="1" t="str">
        <f t="shared" si="10"/>
        <v>2026-01</v>
      </c>
      <c r="F327" s="36">
        <f t="shared" si="11"/>
        <v>5.6910558925324706E-2</v>
      </c>
      <c r="G327" s="1"/>
      <c r="H327" s="1"/>
    </row>
    <row r="328" spans="1:8" x14ac:dyDescent="0.3">
      <c r="A328" s="26">
        <v>46037</v>
      </c>
      <c r="B328" s="38" t="s">
        <v>61</v>
      </c>
      <c r="C328" s="35">
        <v>164.41550000000001</v>
      </c>
      <c r="D328" s="39">
        <v>133061563</v>
      </c>
      <c r="E328" s="1" t="str">
        <f t="shared" si="10"/>
        <v>2026-01</v>
      </c>
      <c r="F328" s="36">
        <f t="shared" si="11"/>
        <v>-2.6035687332430446E-2</v>
      </c>
      <c r="G328" s="1"/>
      <c r="H328" s="1"/>
    </row>
    <row r="329" spans="1:8" x14ac:dyDescent="0.3">
      <c r="A329" s="26">
        <v>46038</v>
      </c>
      <c r="B329" s="38" t="s">
        <v>61</v>
      </c>
      <c r="C329" s="35">
        <v>166.0137</v>
      </c>
      <c r="D329" s="39">
        <v>79370877</v>
      </c>
      <c r="E329" s="1" t="str">
        <f t="shared" si="10"/>
        <v>2026-01</v>
      </c>
      <c r="F329" s="36">
        <f t="shared" si="11"/>
        <v>9.7204947222129245E-3</v>
      </c>
      <c r="G329" s="1"/>
      <c r="H329" s="1"/>
    </row>
    <row r="330" spans="1:8" x14ac:dyDescent="0.3">
      <c r="A330" s="26">
        <v>46041</v>
      </c>
      <c r="B330" s="38" t="s">
        <v>61</v>
      </c>
      <c r="C330" s="35">
        <v>160.22020000000001</v>
      </c>
      <c r="D330" s="39">
        <v>72500898</v>
      </c>
      <c r="E330" s="1" t="str">
        <f t="shared" si="10"/>
        <v>2026-01</v>
      </c>
      <c r="F330" s="36">
        <f t="shared" si="11"/>
        <v>-3.4897722296412859E-2</v>
      </c>
      <c r="G330" s="1"/>
      <c r="H330" s="1"/>
    </row>
    <row r="331" spans="1:8" x14ac:dyDescent="0.3">
      <c r="A331" s="26">
        <v>46042</v>
      </c>
      <c r="B331" s="38" t="s">
        <v>61</v>
      </c>
      <c r="C331" s="35">
        <v>159.52099999999999</v>
      </c>
      <c r="D331" s="39">
        <v>55456218</v>
      </c>
      <c r="E331" s="1" t="str">
        <f t="shared" si="10"/>
        <v>2026-01</v>
      </c>
      <c r="F331" s="36">
        <f t="shared" si="11"/>
        <v>-4.363994053184439E-3</v>
      </c>
      <c r="G331" s="1"/>
      <c r="H331" s="1"/>
    </row>
    <row r="332" spans="1:8" x14ac:dyDescent="0.3">
      <c r="A332" s="26">
        <v>46043</v>
      </c>
      <c r="B332" s="38" t="s">
        <v>61</v>
      </c>
      <c r="C332" s="35">
        <v>163.0171</v>
      </c>
      <c r="D332" s="39">
        <v>67441221</v>
      </c>
      <c r="E332" s="1" t="str">
        <f t="shared" si="10"/>
        <v>2026-01</v>
      </c>
      <c r="F332" s="36">
        <f t="shared" si="11"/>
        <v>2.1916236733721561E-2</v>
      </c>
      <c r="G332" s="1"/>
      <c r="H332" s="1"/>
    </row>
    <row r="333" spans="1:8" x14ac:dyDescent="0.3">
      <c r="A333" s="26">
        <v>46044</v>
      </c>
      <c r="B333" s="38" t="s">
        <v>61</v>
      </c>
      <c r="C333" s="35">
        <v>164.61529999999999</v>
      </c>
      <c r="D333" s="39">
        <v>59810988</v>
      </c>
      <c r="E333" s="1" t="str">
        <f t="shared" si="10"/>
        <v>2026-01</v>
      </c>
      <c r="F333" s="36">
        <f t="shared" si="11"/>
        <v>9.8038794703132481E-3</v>
      </c>
      <c r="G333" s="1"/>
      <c r="H333" s="1"/>
    </row>
    <row r="334" spans="1:8" x14ac:dyDescent="0.3">
      <c r="A334" s="26">
        <v>46045</v>
      </c>
      <c r="B334" s="38" t="s">
        <v>61</v>
      </c>
      <c r="C334" s="35">
        <v>168.31110000000001</v>
      </c>
      <c r="D334" s="39">
        <v>93252549</v>
      </c>
      <c r="E334" s="1" t="str">
        <f t="shared" si="10"/>
        <v>2026-01</v>
      </c>
      <c r="F334" s="36">
        <f t="shared" si="11"/>
        <v>2.2451133035629178E-2</v>
      </c>
      <c r="G334" s="1"/>
      <c r="H334" s="1"/>
    </row>
    <row r="335" spans="1:8" x14ac:dyDescent="0.3">
      <c r="A335" s="26">
        <v>46048</v>
      </c>
      <c r="B335" s="38" t="s">
        <v>61</v>
      </c>
      <c r="C335" s="35">
        <v>165.01480000000001</v>
      </c>
      <c r="D335" s="39">
        <v>67819829</v>
      </c>
      <c r="E335" s="1" t="str">
        <f t="shared" si="10"/>
        <v>2026-01</v>
      </c>
      <c r="F335" s="36">
        <f t="shared" si="11"/>
        <v>-1.9584566912105084E-2</v>
      </c>
      <c r="G335" s="1"/>
      <c r="H335" s="1"/>
    </row>
    <row r="336" spans="1:8" x14ac:dyDescent="0.3">
      <c r="A336" s="26">
        <v>46049</v>
      </c>
      <c r="B336" s="38" t="s">
        <v>61</v>
      </c>
      <c r="C336" s="35">
        <v>169.70959999999999</v>
      </c>
      <c r="D336" s="39">
        <v>73661350</v>
      </c>
      <c r="E336" s="1" t="str">
        <f t="shared" si="10"/>
        <v>2026-01</v>
      </c>
      <c r="F336" s="36">
        <f t="shared" si="11"/>
        <v>2.8450781384457446E-2</v>
      </c>
      <c r="G336" s="1"/>
      <c r="H336" s="1"/>
    </row>
    <row r="337" spans="1:8" x14ac:dyDescent="0.3">
      <c r="A337" s="26">
        <v>46050</v>
      </c>
      <c r="B337" s="38" t="s">
        <v>61</v>
      </c>
      <c r="C337" s="35">
        <v>173.30549999999999</v>
      </c>
      <c r="D337" s="39">
        <v>102209414</v>
      </c>
      <c r="E337" s="1" t="str">
        <f t="shared" si="10"/>
        <v>2026-01</v>
      </c>
      <c r="F337" s="36">
        <f t="shared" si="11"/>
        <v>2.1188547966644267E-2</v>
      </c>
      <c r="G337" s="1"/>
      <c r="H337" s="1"/>
    </row>
    <row r="338" spans="1:8" x14ac:dyDescent="0.3">
      <c r="A338" s="26">
        <v>46051</v>
      </c>
      <c r="B338" s="38" t="s">
        <v>61</v>
      </c>
      <c r="C338" s="35">
        <v>173.10579999999999</v>
      </c>
      <c r="D338" s="39">
        <v>67539478</v>
      </c>
      <c r="E338" s="1" t="str">
        <f t="shared" si="10"/>
        <v>2026-01</v>
      </c>
      <c r="F338" s="36">
        <f t="shared" si="11"/>
        <v>-1.1523004174709417E-3</v>
      </c>
      <c r="G338" s="1"/>
      <c r="H338" s="1"/>
    </row>
    <row r="339" spans="1:8" x14ac:dyDescent="0.3">
      <c r="A339" s="26">
        <v>46052</v>
      </c>
      <c r="B339" s="38" t="s">
        <v>61</v>
      </c>
      <c r="C339" s="35">
        <v>169.0103</v>
      </c>
      <c r="D339" s="39">
        <v>75134065</v>
      </c>
      <c r="E339" s="1" t="str">
        <f t="shared" si="10"/>
        <v>2026-01</v>
      </c>
      <c r="F339" s="36">
        <f t="shared" si="11"/>
        <v>-2.365894152593373E-2</v>
      </c>
      <c r="G339" s="1"/>
      <c r="H339" s="1"/>
    </row>
    <row r="340" spans="1:8" x14ac:dyDescent="0.3">
      <c r="A340" s="26">
        <v>46055</v>
      </c>
      <c r="B340" s="38" t="s">
        <v>61</v>
      </c>
      <c r="C340" s="35">
        <v>163.11699999999999</v>
      </c>
      <c r="D340" s="39">
        <v>100747598</v>
      </c>
      <c r="E340" s="1" t="str">
        <f t="shared" si="10"/>
        <v>2026-02</v>
      </c>
      <c r="F340" s="36">
        <f t="shared" si="11"/>
        <v>-3.4869472452270678E-2</v>
      </c>
      <c r="G340" s="1"/>
      <c r="H340" s="1"/>
    </row>
    <row r="341" spans="1:8" x14ac:dyDescent="0.3">
      <c r="A341" s="26">
        <v>46056</v>
      </c>
      <c r="B341" s="38" t="s">
        <v>61</v>
      </c>
      <c r="C341" s="35">
        <v>160.81950000000001</v>
      </c>
      <c r="D341" s="39">
        <v>111086312</v>
      </c>
      <c r="E341" s="1" t="str">
        <f t="shared" si="10"/>
        <v>2026-02</v>
      </c>
      <c r="F341" s="36">
        <f t="shared" si="11"/>
        <v>-1.4084981945474584E-2</v>
      </c>
      <c r="G341" s="1"/>
      <c r="H341" s="1"/>
    </row>
    <row r="342" spans="1:8" x14ac:dyDescent="0.3">
      <c r="A342" s="26">
        <v>46057</v>
      </c>
      <c r="B342" s="38" t="s">
        <v>61</v>
      </c>
      <c r="C342" s="35">
        <v>159.3212</v>
      </c>
      <c r="D342" s="39">
        <v>71689072</v>
      </c>
      <c r="E342" s="1" t="str">
        <f t="shared" si="10"/>
        <v>2026-02</v>
      </c>
      <c r="F342" s="36">
        <f t="shared" si="11"/>
        <v>-9.3166562512631002E-3</v>
      </c>
      <c r="G342" s="1"/>
      <c r="H342" s="1"/>
    </row>
    <row r="343" spans="1:8" x14ac:dyDescent="0.3">
      <c r="A343" s="26">
        <v>46058</v>
      </c>
      <c r="B343" s="38" t="s">
        <v>61</v>
      </c>
      <c r="C343" s="35">
        <v>159.4211</v>
      </c>
      <c r="D343" s="39">
        <v>89720504</v>
      </c>
      <c r="E343" s="1" t="str">
        <f t="shared" si="10"/>
        <v>2026-02</v>
      </c>
      <c r="F343" s="36">
        <f t="shared" si="11"/>
        <v>6.2703519682250075E-4</v>
      </c>
      <c r="G343" s="1"/>
      <c r="H343" s="1"/>
    </row>
    <row r="344" spans="1:8" x14ac:dyDescent="0.3">
      <c r="A344" s="26">
        <v>46059</v>
      </c>
      <c r="B344" s="38" t="s">
        <v>61</v>
      </c>
      <c r="C344" s="35">
        <v>154.8263</v>
      </c>
      <c r="D344" s="39">
        <v>78125091</v>
      </c>
      <c r="E344" s="1" t="str">
        <f t="shared" si="10"/>
        <v>2026-02</v>
      </c>
      <c r="F344" s="36">
        <f t="shared" si="11"/>
        <v>-2.8821780805677544E-2</v>
      </c>
      <c r="G344" s="1"/>
      <c r="H344" s="1"/>
    </row>
    <row r="345" spans="1:8" x14ac:dyDescent="0.3">
      <c r="A345" s="26">
        <v>46062</v>
      </c>
      <c r="B345" s="38" t="s">
        <v>61</v>
      </c>
      <c r="C345" s="35">
        <v>157.72300000000001</v>
      </c>
      <c r="D345" s="39">
        <v>58582947</v>
      </c>
      <c r="E345" s="1" t="str">
        <f t="shared" si="10"/>
        <v>2026-02</v>
      </c>
      <c r="F345" s="36">
        <f t="shared" si="11"/>
        <v>1.8709353643405535E-2</v>
      </c>
      <c r="G345" s="1"/>
      <c r="H345" s="1"/>
    </row>
    <row r="346" spans="1:8" x14ac:dyDescent="0.3">
      <c r="A346" s="26">
        <v>46063</v>
      </c>
      <c r="B346" s="38" t="s">
        <v>61</v>
      </c>
      <c r="C346" s="35">
        <v>160.3201</v>
      </c>
      <c r="D346" s="39">
        <v>58402811</v>
      </c>
      <c r="E346" s="1" t="str">
        <f t="shared" si="10"/>
        <v>2026-02</v>
      </c>
      <c r="F346" s="36">
        <f t="shared" si="11"/>
        <v>1.6466209747468596E-2</v>
      </c>
      <c r="G346" s="1"/>
      <c r="H346" s="1"/>
    </row>
    <row r="347" spans="1:8" x14ac:dyDescent="0.3">
      <c r="A347" s="26">
        <v>46064</v>
      </c>
      <c r="B347" s="38" t="s">
        <v>61</v>
      </c>
      <c r="C347" s="35">
        <v>159.92060000000001</v>
      </c>
      <c r="D347" s="39">
        <v>51639528</v>
      </c>
      <c r="E347" s="1" t="str">
        <f t="shared" si="10"/>
        <v>2026-02</v>
      </c>
      <c r="F347" s="36">
        <f t="shared" si="11"/>
        <v>-2.4918896632424303E-3</v>
      </c>
      <c r="G347" s="1"/>
      <c r="H347" s="1"/>
    </row>
    <row r="348" spans="1:8" x14ac:dyDescent="0.3">
      <c r="A348" s="26">
        <v>46065</v>
      </c>
      <c r="B348" s="38" t="s">
        <v>61</v>
      </c>
      <c r="C348" s="35">
        <v>158.4222</v>
      </c>
      <c r="D348" s="39">
        <v>56768511</v>
      </c>
      <c r="E348" s="1" t="str">
        <f t="shared" si="10"/>
        <v>2026-02</v>
      </c>
      <c r="F348" s="36">
        <f t="shared" si="11"/>
        <v>-9.3696496886580549E-3</v>
      </c>
      <c r="G348" s="1"/>
      <c r="H348" s="1"/>
    </row>
    <row r="349" spans="1:8" x14ac:dyDescent="0.3">
      <c r="A349" s="26">
        <v>46066</v>
      </c>
      <c r="B349" s="38" t="s">
        <v>61</v>
      </c>
      <c r="C349" s="35">
        <v>155.22579999999999</v>
      </c>
      <c r="D349" s="39">
        <v>69945660</v>
      </c>
      <c r="E349" s="1" t="str">
        <f t="shared" si="10"/>
        <v>2026-02</v>
      </c>
      <c r="F349" s="36">
        <f t="shared" si="11"/>
        <v>-2.0176465167129454E-2</v>
      </c>
      <c r="G349" s="1"/>
      <c r="H349" s="1"/>
    </row>
    <row r="350" spans="1:8" x14ac:dyDescent="0.3">
      <c r="A350" s="26">
        <v>46069</v>
      </c>
      <c r="B350" s="38" t="s">
        <v>61</v>
      </c>
      <c r="C350" s="35">
        <v>154.5266</v>
      </c>
      <c r="D350" s="39">
        <v>0</v>
      </c>
      <c r="E350" s="1" t="str">
        <f t="shared" si="10"/>
        <v>2026-02</v>
      </c>
      <c r="F350" s="36">
        <f t="shared" si="11"/>
        <v>-4.504405839750758E-3</v>
      </c>
      <c r="G350" s="1"/>
      <c r="H350" s="1"/>
    </row>
    <row r="351" spans="1:8" x14ac:dyDescent="0.3">
      <c r="A351" s="26">
        <v>46073</v>
      </c>
      <c r="B351" s="38" t="s">
        <v>61</v>
      </c>
      <c r="C351" s="35">
        <v>146.93510000000001</v>
      </c>
      <c r="D351" s="39">
        <v>70273864</v>
      </c>
      <c r="E351" s="1" t="str">
        <f t="shared" si="10"/>
        <v>2026-02</v>
      </c>
      <c r="F351" s="36">
        <f t="shared" si="11"/>
        <v>-4.9127464138860266E-2</v>
      </c>
      <c r="G351" s="1"/>
      <c r="H351" s="1"/>
    </row>
    <row r="352" spans="1:8" x14ac:dyDescent="0.3">
      <c r="A352" s="26">
        <v>46076</v>
      </c>
      <c r="B352" s="38" t="s">
        <v>61</v>
      </c>
      <c r="C352" s="35">
        <v>152.02940000000001</v>
      </c>
      <c r="D352" s="39">
        <v>44852186</v>
      </c>
      <c r="E352" s="1" t="str">
        <f t="shared" si="10"/>
        <v>2026-02</v>
      </c>
      <c r="F352" s="36">
        <f t="shared" si="11"/>
        <v>3.4670408908422878E-2</v>
      </c>
      <c r="G352" s="1"/>
      <c r="H352" s="1"/>
    </row>
    <row r="353" spans="1:8" x14ac:dyDescent="0.3">
      <c r="A353" s="26">
        <v>46077</v>
      </c>
      <c r="B353" s="38" t="s">
        <v>61</v>
      </c>
      <c r="C353" s="35">
        <v>147.83410000000001</v>
      </c>
      <c r="D353" s="39">
        <v>82838070</v>
      </c>
      <c r="E353" s="1" t="str">
        <f t="shared" si="10"/>
        <v>2026-02</v>
      </c>
      <c r="F353" s="36">
        <f t="shared" si="11"/>
        <v>-2.7595320378821508E-2</v>
      </c>
      <c r="G353" s="1"/>
      <c r="H353" s="1"/>
    </row>
    <row r="354" spans="1:8" x14ac:dyDescent="0.3">
      <c r="A354" s="26">
        <v>46078</v>
      </c>
      <c r="B354" s="38" t="s">
        <v>61</v>
      </c>
      <c r="C354" s="35">
        <v>148.13380000000001</v>
      </c>
      <c r="D354" s="39">
        <v>47742854</v>
      </c>
      <c r="E354" s="1" t="str">
        <f t="shared" si="10"/>
        <v>2026-02</v>
      </c>
      <c r="F354" s="36">
        <f t="shared" si="11"/>
        <v>2.0272724628485062E-3</v>
      </c>
      <c r="G354" s="1"/>
      <c r="H354" s="1"/>
    </row>
    <row r="355" spans="1:8" x14ac:dyDescent="0.3">
      <c r="A355" s="26">
        <v>46079</v>
      </c>
      <c r="B355" s="38" t="s">
        <v>61</v>
      </c>
      <c r="C355" s="35">
        <v>142.83969999999999</v>
      </c>
      <c r="D355" s="39">
        <v>98872855</v>
      </c>
      <c r="E355" s="1" t="str">
        <f t="shared" si="10"/>
        <v>2026-02</v>
      </c>
      <c r="F355" s="36">
        <f t="shared" si="11"/>
        <v>-3.573863628692453E-2</v>
      </c>
      <c r="G355" s="1"/>
      <c r="H355" s="1"/>
    </row>
    <row r="356" spans="1:8" x14ac:dyDescent="0.3">
      <c r="A356" s="26">
        <v>46080</v>
      </c>
      <c r="B356" s="38" t="s">
        <v>61</v>
      </c>
      <c r="C356" s="35">
        <v>142.7398</v>
      </c>
      <c r="D356" s="39">
        <v>88719769</v>
      </c>
      <c r="E356" s="1" t="str">
        <f t="shared" si="10"/>
        <v>2026-02</v>
      </c>
      <c r="F356" s="36">
        <f t="shared" si="11"/>
        <v>-6.9938539495661978E-4</v>
      </c>
      <c r="G356" s="1"/>
      <c r="H356" s="1"/>
    </row>
    <row r="357" spans="1:8" x14ac:dyDescent="0.3">
      <c r="A357" s="26">
        <v>46083</v>
      </c>
      <c r="B357" s="38" t="s">
        <v>61</v>
      </c>
      <c r="C357" s="35">
        <v>136.24709999999999</v>
      </c>
      <c r="D357" s="39">
        <v>134838521</v>
      </c>
      <c r="E357" s="1" t="str">
        <f t="shared" si="10"/>
        <v>2026-03</v>
      </c>
      <c r="F357" s="36">
        <f t="shared" si="11"/>
        <v>-4.5486262415948553E-2</v>
      </c>
      <c r="G357" s="1"/>
      <c r="H357" s="1"/>
    </row>
    <row r="358" spans="1:8" x14ac:dyDescent="0.3">
      <c r="A358" s="26">
        <v>46084</v>
      </c>
      <c r="B358" s="38" t="s">
        <v>61</v>
      </c>
      <c r="C358" s="35">
        <v>134.6489</v>
      </c>
      <c r="D358" s="39">
        <v>88507248</v>
      </c>
      <c r="E358" s="1" t="str">
        <f t="shared" si="10"/>
        <v>2026-03</v>
      </c>
      <c r="F358" s="36">
        <f t="shared" si="11"/>
        <v>-1.1730157926297058E-2</v>
      </c>
      <c r="G358" s="1"/>
      <c r="H358" s="1"/>
    </row>
    <row r="359" spans="1:8" x14ac:dyDescent="0.3">
      <c r="A359" s="26">
        <v>46085</v>
      </c>
      <c r="B359" s="38" t="s">
        <v>61</v>
      </c>
      <c r="C359" s="35">
        <v>129.7544</v>
      </c>
      <c r="D359" s="39">
        <v>163124992</v>
      </c>
      <c r="E359" s="1" t="str">
        <f t="shared" si="10"/>
        <v>2026-03</v>
      </c>
      <c r="F359" s="36">
        <f t="shared" si="11"/>
        <v>-3.6350092722628902E-2</v>
      </c>
      <c r="G359" s="1"/>
      <c r="H359" s="1"/>
    </row>
    <row r="360" spans="1:8" x14ac:dyDescent="0.3">
      <c r="A360" s="26">
        <v>46086</v>
      </c>
      <c r="B360" s="38" t="s">
        <v>61</v>
      </c>
      <c r="C360" s="35">
        <v>126.1584</v>
      </c>
      <c r="D360" s="39">
        <v>141677427</v>
      </c>
      <c r="E360" s="1" t="str">
        <f t="shared" si="10"/>
        <v>2026-03</v>
      </c>
      <c r="F360" s="36">
        <f t="shared" si="11"/>
        <v>-2.7713896407366545E-2</v>
      </c>
      <c r="G360" s="1"/>
      <c r="H360" s="1"/>
    </row>
    <row r="361" spans="1:8" x14ac:dyDescent="0.3">
      <c r="A361" s="26">
        <v>46087</v>
      </c>
      <c r="B361" s="38" t="s">
        <v>61</v>
      </c>
      <c r="C361" s="35">
        <v>130.55350000000001</v>
      </c>
      <c r="D361" s="39">
        <v>100859931</v>
      </c>
      <c r="E361" s="1" t="str">
        <f t="shared" si="10"/>
        <v>2026-03</v>
      </c>
      <c r="F361" s="36">
        <f t="shared" si="11"/>
        <v>3.4837949752057895E-2</v>
      </c>
      <c r="G361" s="1"/>
      <c r="H361" s="1"/>
    </row>
    <row r="362" spans="1:8" x14ac:dyDescent="0.3">
      <c r="A362" s="26">
        <v>46090</v>
      </c>
      <c r="B362" s="38" t="s">
        <v>61</v>
      </c>
      <c r="C362" s="35">
        <v>128.5557</v>
      </c>
      <c r="D362" s="39">
        <v>102893047</v>
      </c>
      <c r="E362" s="1" t="str">
        <f t="shared" si="10"/>
        <v>2026-03</v>
      </c>
      <c r="F362" s="36">
        <f t="shared" si="11"/>
        <v>-1.5302538805930244E-2</v>
      </c>
      <c r="G362" s="1"/>
      <c r="H362" s="1"/>
    </row>
    <row r="363" spans="1:8" x14ac:dyDescent="0.3">
      <c r="A363" s="26">
        <v>46091</v>
      </c>
      <c r="B363" s="38" t="s">
        <v>61</v>
      </c>
      <c r="C363" s="35">
        <v>133.35040000000001</v>
      </c>
      <c r="D363" s="39">
        <v>98445281</v>
      </c>
      <c r="E363" s="1" t="str">
        <f t="shared" si="10"/>
        <v>2026-03</v>
      </c>
      <c r="F363" s="36">
        <f t="shared" si="11"/>
        <v>3.729667373753176E-2</v>
      </c>
      <c r="G363" s="1"/>
      <c r="H363" s="1"/>
    </row>
    <row r="364" spans="1:8" x14ac:dyDescent="0.3">
      <c r="A364" s="26">
        <v>46092</v>
      </c>
      <c r="B364" s="38" t="s">
        <v>61</v>
      </c>
      <c r="C364" s="35">
        <v>133.05070000000001</v>
      </c>
      <c r="D364" s="39">
        <v>61695884</v>
      </c>
      <c r="E364" s="1" t="str">
        <f t="shared" si="10"/>
        <v>2026-03</v>
      </c>
      <c r="F364" s="36">
        <f t="shared" si="11"/>
        <v>-2.2474623248224246E-3</v>
      </c>
      <c r="G364" s="1"/>
      <c r="H364" s="1"/>
    </row>
    <row r="365" spans="1:8" x14ac:dyDescent="0.3">
      <c r="A365" s="26">
        <v>46093</v>
      </c>
      <c r="B365" s="38" t="s">
        <v>61</v>
      </c>
      <c r="C365" s="35">
        <v>131.45249999999999</v>
      </c>
      <c r="D365" s="39">
        <v>57889342</v>
      </c>
      <c r="E365" s="1" t="str">
        <f t="shared" si="10"/>
        <v>2026-03</v>
      </c>
      <c r="F365" s="36">
        <f t="shared" si="11"/>
        <v>-1.2011962357206807E-2</v>
      </c>
      <c r="G365" s="1"/>
      <c r="H365" s="1"/>
    </row>
    <row r="366" spans="1:8" x14ac:dyDescent="0.3">
      <c r="A366" s="26">
        <v>46094</v>
      </c>
      <c r="B366" s="38" t="s">
        <v>61</v>
      </c>
      <c r="C366" s="35">
        <v>132.35149999999999</v>
      </c>
      <c r="D366" s="39">
        <v>51862084</v>
      </c>
      <c r="E366" s="1" t="str">
        <f t="shared" si="10"/>
        <v>2026-03</v>
      </c>
      <c r="F366" s="36">
        <f t="shared" si="11"/>
        <v>6.8389722523345409E-3</v>
      </c>
      <c r="G366" s="1"/>
      <c r="H366" s="1"/>
    </row>
    <row r="367" spans="1:8" x14ac:dyDescent="0.3">
      <c r="A367" s="26">
        <v>46097</v>
      </c>
      <c r="B367" s="38" t="s">
        <v>61</v>
      </c>
      <c r="C367" s="35">
        <v>133.84979999999999</v>
      </c>
      <c r="D367" s="39">
        <v>50025123</v>
      </c>
      <c r="E367" s="1" t="str">
        <f t="shared" si="10"/>
        <v>2026-03</v>
      </c>
      <c r="F367" s="36">
        <f t="shared" si="11"/>
        <v>1.132061215777691E-2</v>
      </c>
      <c r="G367" s="1"/>
      <c r="H367" s="1"/>
    </row>
    <row r="368" spans="1:8" x14ac:dyDescent="0.3">
      <c r="A368" s="26">
        <v>46098</v>
      </c>
      <c r="B368" s="38" t="s">
        <v>61</v>
      </c>
      <c r="C368" s="35">
        <v>134.44909999999999</v>
      </c>
      <c r="D368" s="39">
        <v>76247583</v>
      </c>
      <c r="E368" s="1" t="str">
        <f t="shared" si="10"/>
        <v>2026-03</v>
      </c>
      <c r="F368" s="36">
        <f t="shared" si="11"/>
        <v>4.4774067648962745E-3</v>
      </c>
      <c r="G368" s="1"/>
      <c r="H368" s="1"/>
    </row>
    <row r="369" spans="1:8" x14ac:dyDescent="0.3">
      <c r="A369" s="26">
        <v>46099</v>
      </c>
      <c r="B369" s="38" t="s">
        <v>61</v>
      </c>
      <c r="C369" s="35">
        <v>137.54570000000001</v>
      </c>
      <c r="D369" s="39">
        <v>108384226</v>
      </c>
      <c r="E369" s="1" t="str">
        <f t="shared" si="10"/>
        <v>2026-03</v>
      </c>
      <c r="F369" s="36">
        <f t="shared" si="11"/>
        <v>2.3031764437248192E-2</v>
      </c>
      <c r="G369" s="1"/>
      <c r="H369" s="1"/>
    </row>
    <row r="370" spans="1:8" x14ac:dyDescent="0.3">
      <c r="A370" s="26">
        <v>46100</v>
      </c>
      <c r="B370" s="38" t="s">
        <v>61</v>
      </c>
      <c r="C370" s="35">
        <v>131.85210000000001</v>
      </c>
      <c r="D370" s="39">
        <v>112049539</v>
      </c>
      <c r="E370" s="1" t="str">
        <f t="shared" si="10"/>
        <v>2026-03</v>
      </c>
      <c r="F370" s="36">
        <f t="shared" si="11"/>
        <v>-4.1394242059184738E-2</v>
      </c>
      <c r="G370" s="1"/>
      <c r="H370" s="1"/>
    </row>
    <row r="371" spans="1:8" x14ac:dyDescent="0.3">
      <c r="A371" s="26">
        <v>46101</v>
      </c>
      <c r="B371" s="38" t="s">
        <v>61</v>
      </c>
      <c r="C371" s="35">
        <v>123.5613</v>
      </c>
      <c r="D371" s="39">
        <v>206068855</v>
      </c>
      <c r="E371" s="1" t="str">
        <f t="shared" si="10"/>
        <v>2026-03</v>
      </c>
      <c r="F371" s="36">
        <f t="shared" si="11"/>
        <v>-6.2879544580632385E-2</v>
      </c>
      <c r="G371" s="1"/>
      <c r="H371" s="1"/>
    </row>
    <row r="372" spans="1:8" x14ac:dyDescent="0.3">
      <c r="A372" s="26">
        <v>46104</v>
      </c>
      <c r="B372" s="38" t="s">
        <v>61</v>
      </c>
      <c r="C372" s="35">
        <v>119.5658</v>
      </c>
      <c r="D372" s="39">
        <v>136352855</v>
      </c>
      <c r="E372" s="1" t="str">
        <f t="shared" si="10"/>
        <v>2026-03</v>
      </c>
      <c r="F372" s="36">
        <f t="shared" si="11"/>
        <v>-3.2336176456544297E-2</v>
      </c>
      <c r="G372" s="1"/>
      <c r="H372" s="1"/>
    </row>
    <row r="373" spans="1:8" x14ac:dyDescent="0.3">
      <c r="A373" s="26">
        <v>46105</v>
      </c>
      <c r="B373" s="38" t="s">
        <v>61</v>
      </c>
      <c r="C373" s="35">
        <v>123.06189999999999</v>
      </c>
      <c r="D373" s="39">
        <v>86973171</v>
      </c>
      <c r="E373" s="1" t="str">
        <f t="shared" si="10"/>
        <v>2026-03</v>
      </c>
      <c r="F373" s="36">
        <f t="shared" si="11"/>
        <v>2.9239966612526258E-2</v>
      </c>
      <c r="G373" s="1"/>
      <c r="H373" s="1"/>
    </row>
    <row r="374" spans="1:8" x14ac:dyDescent="0.3">
      <c r="A374" s="26">
        <v>46106</v>
      </c>
      <c r="B374" s="38" t="s">
        <v>61</v>
      </c>
      <c r="C374" s="35">
        <v>128.75550000000001</v>
      </c>
      <c r="D374" s="39">
        <v>148277825</v>
      </c>
      <c r="E374" s="1" t="str">
        <f t="shared" si="10"/>
        <v>2026-03</v>
      </c>
      <c r="F374" s="36">
        <f t="shared" si="11"/>
        <v>4.6266147361612386E-2</v>
      </c>
      <c r="G374" s="1"/>
      <c r="H374" s="1"/>
    </row>
    <row r="375" spans="1:8" x14ac:dyDescent="0.3">
      <c r="A375" s="26">
        <v>46107</v>
      </c>
      <c r="B375" s="38" t="s">
        <v>61</v>
      </c>
      <c r="C375" s="35">
        <v>122.8621</v>
      </c>
      <c r="D375" s="39">
        <v>87500096</v>
      </c>
      <c r="E375" s="1" t="str">
        <f t="shared" si="10"/>
        <v>2026-03</v>
      </c>
      <c r="F375" s="36">
        <f t="shared" si="11"/>
        <v>-4.5772025272706851E-2</v>
      </c>
      <c r="G375" s="1"/>
      <c r="H375" s="1"/>
    </row>
    <row r="376" spans="1:8" x14ac:dyDescent="0.3">
      <c r="A376" s="26">
        <v>46108</v>
      </c>
      <c r="B376" s="38" t="s">
        <v>61</v>
      </c>
      <c r="C376" s="35">
        <v>122.46259999999999</v>
      </c>
      <c r="D376" s="39">
        <v>53442572</v>
      </c>
      <c r="E376" s="1" t="str">
        <f t="shared" si="10"/>
        <v>2026-03</v>
      </c>
      <c r="F376" s="36">
        <f t="shared" si="11"/>
        <v>-3.251612987243413E-3</v>
      </c>
      <c r="G376" s="1"/>
      <c r="H376" s="1"/>
    </row>
    <row r="377" spans="1:8" x14ac:dyDescent="0.3">
      <c r="A377" s="26">
        <v>46111</v>
      </c>
      <c r="B377" s="38" t="s">
        <v>61</v>
      </c>
      <c r="C377" s="35">
        <v>120.36490000000001</v>
      </c>
      <c r="D377" s="39">
        <v>80519074</v>
      </c>
      <c r="E377" s="1" t="str">
        <f t="shared" si="10"/>
        <v>2026-03</v>
      </c>
      <c r="F377" s="36">
        <f t="shared" si="11"/>
        <v>-1.7129311316271156E-2</v>
      </c>
      <c r="G377" s="1"/>
      <c r="H377" s="1"/>
    </row>
    <row r="378" spans="1:8" x14ac:dyDescent="0.3">
      <c r="A378" s="26">
        <v>46112</v>
      </c>
      <c r="B378" s="38" t="s">
        <v>61</v>
      </c>
      <c r="C378" s="35">
        <v>118.86660000000001</v>
      </c>
      <c r="D378" s="39">
        <v>72026359</v>
      </c>
      <c r="E378" s="1" t="str">
        <f t="shared" si="10"/>
        <v>2026-03</v>
      </c>
      <c r="F378" s="36">
        <f t="shared" si="11"/>
        <v>-1.2447981097479466E-2</v>
      </c>
      <c r="G378" s="1"/>
      <c r="H378" s="1"/>
    </row>
    <row r="379" spans="1:8" x14ac:dyDescent="0.3">
      <c r="A379" s="26">
        <v>46113</v>
      </c>
      <c r="B379" s="38" t="s">
        <v>61</v>
      </c>
      <c r="C379" s="35">
        <v>122.5625</v>
      </c>
      <c r="D379" s="39">
        <v>67832865</v>
      </c>
      <c r="E379" s="1" t="str">
        <f t="shared" si="10"/>
        <v>2026-04</v>
      </c>
      <c r="F379" s="36">
        <f t="shared" si="11"/>
        <v>3.1092838526549871E-2</v>
      </c>
      <c r="G379" s="1"/>
      <c r="H379" s="1"/>
    </row>
    <row r="380" spans="1:8" x14ac:dyDescent="0.3">
      <c r="A380" s="26">
        <v>46114</v>
      </c>
      <c r="B380" s="38" t="s">
        <v>61</v>
      </c>
      <c r="C380" s="35">
        <v>118.3672</v>
      </c>
      <c r="D380" s="39">
        <v>95121535</v>
      </c>
      <c r="E380" s="1" t="str">
        <f t="shared" si="10"/>
        <v>2026-04</v>
      </c>
      <c r="F380" s="36">
        <f t="shared" si="11"/>
        <v>-3.4229882712901616E-2</v>
      </c>
      <c r="G380" s="1"/>
      <c r="H380" s="1"/>
    </row>
    <row r="381" spans="1:8" x14ac:dyDescent="0.3">
      <c r="A381" s="26">
        <v>46120</v>
      </c>
      <c r="B381" s="38" t="s">
        <v>61</v>
      </c>
      <c r="C381" s="35">
        <v>126.3582</v>
      </c>
      <c r="D381" s="39">
        <v>181819816</v>
      </c>
      <c r="E381" s="1" t="str">
        <f t="shared" si="10"/>
        <v>2026-04</v>
      </c>
      <c r="F381" s="36">
        <f t="shared" si="11"/>
        <v>6.7510256219628362E-2</v>
      </c>
      <c r="G381" s="1"/>
      <c r="H381" s="1"/>
    </row>
    <row r="382" spans="1:8" x14ac:dyDescent="0.3">
      <c r="A382" s="26">
        <v>46121</v>
      </c>
      <c r="B382" s="38" t="s">
        <v>61</v>
      </c>
      <c r="C382" s="35">
        <v>122.76220000000001</v>
      </c>
      <c r="D382" s="39">
        <v>82451818</v>
      </c>
      <c r="E382" s="1" t="str">
        <f t="shared" si="10"/>
        <v>2026-04</v>
      </c>
      <c r="F382" s="36">
        <f t="shared" si="11"/>
        <v>-2.8458778298519505E-2</v>
      </c>
      <c r="G382" s="1"/>
      <c r="H382" s="1"/>
    </row>
    <row r="383" spans="1:8" x14ac:dyDescent="0.3">
      <c r="A383" s="26">
        <v>46122</v>
      </c>
      <c r="B383" s="38" t="s">
        <v>61</v>
      </c>
      <c r="C383" s="35">
        <v>125.3593</v>
      </c>
      <c r="D383" s="39">
        <v>78382509</v>
      </c>
      <c r="E383" s="1" t="str">
        <f t="shared" si="10"/>
        <v>2026-04</v>
      </c>
      <c r="F383" s="36">
        <f t="shared" si="11"/>
        <v>2.1155534847045798E-2</v>
      </c>
      <c r="G383" s="1"/>
      <c r="H383" s="1"/>
    </row>
    <row r="384" spans="1:8" x14ac:dyDescent="0.3">
      <c r="A384" s="26">
        <v>46125</v>
      </c>
      <c r="B384" s="38" t="s">
        <v>61</v>
      </c>
      <c r="C384" s="35">
        <v>123.06189999999999</v>
      </c>
      <c r="D384" s="39">
        <v>51100996</v>
      </c>
      <c r="E384" s="1" t="str">
        <f t="shared" si="10"/>
        <v>2026-04</v>
      </c>
      <c r="F384" s="36">
        <f t="shared" si="11"/>
        <v>-1.832652224446063E-2</v>
      </c>
      <c r="G384" s="1"/>
      <c r="H384" s="1"/>
    </row>
    <row r="385" spans="1:8" x14ac:dyDescent="0.3">
      <c r="A385" s="26">
        <v>46126</v>
      </c>
      <c r="B385" s="38" t="s">
        <v>61</v>
      </c>
      <c r="C385" s="35">
        <v>124.3605</v>
      </c>
      <c r="D385" s="39">
        <v>52390198</v>
      </c>
      <c r="E385" s="1" t="str">
        <f t="shared" si="10"/>
        <v>2026-04</v>
      </c>
      <c r="F385" s="36">
        <f t="shared" si="11"/>
        <v>1.0552413053918519E-2</v>
      </c>
      <c r="G385" s="1"/>
      <c r="H385" s="1"/>
    </row>
    <row r="386" spans="1:8" x14ac:dyDescent="0.3">
      <c r="A386" s="26">
        <v>46127</v>
      </c>
      <c r="B386" s="38" t="s">
        <v>61</v>
      </c>
      <c r="C386" s="35">
        <v>128.45590000000001</v>
      </c>
      <c r="D386" s="39">
        <v>95222677</v>
      </c>
      <c r="E386" s="1" t="str">
        <f t="shared" ref="E386:E449" si="12">TEXT(A386,"yyyy-mm")</f>
        <v>2026-04</v>
      </c>
      <c r="F386" s="36">
        <f t="shared" si="11"/>
        <v>3.2931678467037484E-2</v>
      </c>
      <c r="G386" s="1"/>
      <c r="H386" s="1"/>
    </row>
    <row r="387" spans="1:8" x14ac:dyDescent="0.3">
      <c r="A387" s="26">
        <v>46128</v>
      </c>
      <c r="B387" s="38" t="s">
        <v>61</v>
      </c>
      <c r="C387" s="35">
        <v>135.64779999999999</v>
      </c>
      <c r="D387" s="39">
        <v>127392595</v>
      </c>
      <c r="E387" s="1" t="str">
        <f t="shared" si="12"/>
        <v>2026-04</v>
      </c>
      <c r="F387" s="36">
        <f t="shared" ref="F387:F450" si="13">IF(B387=B386,C387/C386-1,0)</f>
        <v>5.5987307706379941E-2</v>
      </c>
      <c r="G387" s="1"/>
      <c r="H387" s="1"/>
    </row>
    <row r="388" spans="1:8" x14ac:dyDescent="0.3">
      <c r="A388" s="26">
        <v>46129</v>
      </c>
      <c r="B388" s="38" t="s">
        <v>61</v>
      </c>
      <c r="C388" s="35">
        <v>136.24709999999999</v>
      </c>
      <c r="D388" s="39">
        <v>83379143</v>
      </c>
      <c r="E388" s="1" t="str">
        <f t="shared" si="12"/>
        <v>2026-04</v>
      </c>
      <c r="F388" s="36">
        <f t="shared" si="13"/>
        <v>4.4180591207523268E-3</v>
      </c>
      <c r="G388" s="1"/>
      <c r="H388" s="1"/>
    </row>
    <row r="389" spans="1:8" x14ac:dyDescent="0.3">
      <c r="A389" s="26">
        <v>46132</v>
      </c>
      <c r="B389" s="38" t="s">
        <v>61</v>
      </c>
      <c r="C389" s="35">
        <v>136.84639999999999</v>
      </c>
      <c r="D389" s="39">
        <v>71204282</v>
      </c>
      <c r="E389" s="1" t="str">
        <f t="shared" si="12"/>
        <v>2026-04</v>
      </c>
      <c r="F389" s="36">
        <f t="shared" si="13"/>
        <v>4.3986257322174982E-3</v>
      </c>
      <c r="G389" s="1"/>
      <c r="H389" s="1"/>
    </row>
    <row r="390" spans="1:8" x14ac:dyDescent="0.3">
      <c r="A390" s="26">
        <v>46133</v>
      </c>
      <c r="B390" s="38" t="s">
        <v>61</v>
      </c>
      <c r="C390" s="35">
        <v>136.1472</v>
      </c>
      <c r="D390" s="39">
        <v>44920044</v>
      </c>
      <c r="E390" s="1" t="str">
        <f t="shared" si="12"/>
        <v>2026-04</v>
      </c>
      <c r="F390" s="36">
        <f t="shared" si="13"/>
        <v>-5.1093781056716914E-3</v>
      </c>
      <c r="G390" s="1"/>
      <c r="H390" s="1"/>
    </row>
    <row r="391" spans="1:8" x14ac:dyDescent="0.3">
      <c r="A391" s="26">
        <v>46134</v>
      </c>
      <c r="B391" s="38" t="s">
        <v>61</v>
      </c>
      <c r="C391" s="35">
        <v>131.3526</v>
      </c>
      <c r="D391" s="39">
        <v>69494718</v>
      </c>
      <c r="E391" s="1" t="str">
        <f t="shared" si="12"/>
        <v>2026-04</v>
      </c>
      <c r="F391" s="36">
        <f t="shared" si="13"/>
        <v>-3.5216295303906353E-2</v>
      </c>
      <c r="G391" s="1"/>
      <c r="H391" s="1"/>
    </row>
    <row r="392" spans="1:8" x14ac:dyDescent="0.3">
      <c r="A392" s="26">
        <v>46135</v>
      </c>
      <c r="B392" s="38" t="s">
        <v>61</v>
      </c>
      <c r="C392" s="35">
        <v>130.25380000000001</v>
      </c>
      <c r="D392" s="39">
        <v>54768842</v>
      </c>
      <c r="E392" s="1" t="str">
        <f t="shared" si="12"/>
        <v>2026-04</v>
      </c>
      <c r="F392" s="36">
        <f t="shared" si="13"/>
        <v>-8.3652702725335315E-3</v>
      </c>
      <c r="G392" s="1"/>
      <c r="H392" s="1"/>
    </row>
    <row r="393" spans="1:8" x14ac:dyDescent="0.3">
      <c r="A393" s="26">
        <v>46136</v>
      </c>
      <c r="B393" s="38" t="s">
        <v>61</v>
      </c>
      <c r="C393" s="35">
        <v>131.6523</v>
      </c>
      <c r="D393" s="39">
        <v>63648525</v>
      </c>
      <c r="E393" s="1" t="str">
        <f t="shared" si="12"/>
        <v>2026-04</v>
      </c>
      <c r="F393" s="36">
        <f t="shared" si="13"/>
        <v>1.0736730905355429E-2</v>
      </c>
      <c r="G393" s="1"/>
      <c r="H393" s="1"/>
    </row>
    <row r="394" spans="1:8" x14ac:dyDescent="0.3">
      <c r="A394" s="26">
        <v>46139</v>
      </c>
      <c r="B394" s="38" t="s">
        <v>61</v>
      </c>
      <c r="C394" s="35">
        <v>130.05410000000001</v>
      </c>
      <c r="D394" s="39">
        <v>51858735</v>
      </c>
      <c r="E394" s="1" t="str">
        <f t="shared" si="12"/>
        <v>2026-04</v>
      </c>
      <c r="F394" s="36">
        <f t="shared" si="13"/>
        <v>-1.2139552442304358E-2</v>
      </c>
      <c r="G394" s="1"/>
      <c r="H394" s="1"/>
    </row>
    <row r="395" spans="1:8" x14ac:dyDescent="0.3">
      <c r="A395" s="26">
        <v>46140</v>
      </c>
      <c r="B395" s="38" t="s">
        <v>61</v>
      </c>
      <c r="C395" s="35">
        <v>126.3582</v>
      </c>
      <c r="D395" s="39">
        <v>72924924</v>
      </c>
      <c r="E395" s="1" t="str">
        <f t="shared" si="12"/>
        <v>2026-04</v>
      </c>
      <c r="F395" s="36">
        <f t="shared" si="13"/>
        <v>-2.8418173667727586E-2</v>
      </c>
      <c r="G395" s="1"/>
      <c r="H395" s="1"/>
    </row>
    <row r="396" spans="1:8" x14ac:dyDescent="0.3">
      <c r="A396" s="26">
        <v>46141</v>
      </c>
      <c r="B396" s="38" t="s">
        <v>61</v>
      </c>
      <c r="C396" s="35">
        <v>130.45359999999999</v>
      </c>
      <c r="D396" s="39">
        <v>59643280</v>
      </c>
      <c r="E396" s="1" t="str">
        <f t="shared" si="12"/>
        <v>2026-04</v>
      </c>
      <c r="F396" s="36">
        <f t="shared" si="13"/>
        <v>3.241103466177897E-2</v>
      </c>
      <c r="G396" s="1"/>
      <c r="H396" s="1"/>
    </row>
    <row r="397" spans="1:8" x14ac:dyDescent="0.3">
      <c r="A397" s="26">
        <v>46142</v>
      </c>
      <c r="B397" s="38" t="s">
        <v>61</v>
      </c>
      <c r="C397" s="35">
        <v>125.8588</v>
      </c>
      <c r="D397" s="39">
        <v>88190461</v>
      </c>
      <c r="E397" s="1" t="str">
        <f t="shared" si="12"/>
        <v>2026-04</v>
      </c>
      <c r="F397" s="36">
        <f t="shared" si="13"/>
        <v>-3.522171868005175E-2</v>
      </c>
      <c r="G397" s="1"/>
      <c r="H397" s="1"/>
    </row>
    <row r="398" spans="1:8" x14ac:dyDescent="0.3">
      <c r="A398" s="26">
        <v>46146</v>
      </c>
      <c r="B398" s="38" t="s">
        <v>61</v>
      </c>
      <c r="C398" s="35">
        <v>131.55240000000001</v>
      </c>
      <c r="D398" s="39">
        <v>67792478</v>
      </c>
      <c r="E398" s="1" t="str">
        <f t="shared" si="12"/>
        <v>2026-05</v>
      </c>
      <c r="F398" s="36">
        <f t="shared" si="13"/>
        <v>4.5237996866329677E-2</v>
      </c>
      <c r="G398" s="1"/>
      <c r="H398" s="1"/>
    </row>
    <row r="399" spans="1:8" x14ac:dyDescent="0.3">
      <c r="A399" s="26">
        <v>46147</v>
      </c>
      <c r="B399" s="38" t="s">
        <v>61</v>
      </c>
      <c r="C399" s="35">
        <v>131.05289999999999</v>
      </c>
      <c r="D399" s="39">
        <v>25517465</v>
      </c>
      <c r="E399" s="1" t="str">
        <f t="shared" si="12"/>
        <v>2026-05</v>
      </c>
      <c r="F399" s="36">
        <f t="shared" si="13"/>
        <v>-3.7969660758755408E-3</v>
      </c>
      <c r="G399" s="1"/>
      <c r="H399" s="1"/>
    </row>
    <row r="400" spans="1:8" x14ac:dyDescent="0.3">
      <c r="A400" s="26">
        <v>46148</v>
      </c>
      <c r="B400" s="38" t="s">
        <v>61</v>
      </c>
      <c r="C400" s="35">
        <v>134.0496</v>
      </c>
      <c r="D400" s="39">
        <v>115976497</v>
      </c>
      <c r="E400" s="1" t="str">
        <f t="shared" si="12"/>
        <v>2026-05</v>
      </c>
      <c r="F400" s="36">
        <f t="shared" si="13"/>
        <v>2.286633870749899E-2</v>
      </c>
      <c r="G400" s="1"/>
      <c r="H400" s="1"/>
    </row>
    <row r="401" spans="1:8" x14ac:dyDescent="0.3">
      <c r="A401" s="26">
        <v>46149</v>
      </c>
      <c r="B401" s="38" t="s">
        <v>61</v>
      </c>
      <c r="C401" s="35">
        <v>140.74209999999999</v>
      </c>
      <c r="D401" s="39">
        <v>116084635</v>
      </c>
      <c r="E401" s="1" t="str">
        <f t="shared" si="12"/>
        <v>2026-05</v>
      </c>
      <c r="F401" s="36">
        <f t="shared" si="13"/>
        <v>4.992554994569165E-2</v>
      </c>
      <c r="G401" s="1"/>
      <c r="H401" s="1"/>
    </row>
    <row r="402" spans="1:8" x14ac:dyDescent="0.3">
      <c r="A402" s="26">
        <v>46150</v>
      </c>
      <c r="B402" s="38" t="s">
        <v>61</v>
      </c>
      <c r="C402" s="35">
        <v>138.8442</v>
      </c>
      <c r="D402" s="39">
        <v>59348966</v>
      </c>
      <c r="E402" s="1" t="str">
        <f t="shared" si="12"/>
        <v>2026-05</v>
      </c>
      <c r="F402" s="36">
        <f t="shared" si="13"/>
        <v>-1.3484948711153133E-2</v>
      </c>
      <c r="G402" s="1"/>
      <c r="H402" s="1"/>
    </row>
    <row r="403" spans="1:8" x14ac:dyDescent="0.3">
      <c r="A403" s="26">
        <v>46153</v>
      </c>
      <c r="B403" s="38" t="s">
        <v>61</v>
      </c>
      <c r="C403" s="35">
        <v>133.7499</v>
      </c>
      <c r="D403" s="39">
        <v>98275069</v>
      </c>
      <c r="E403" s="1" t="str">
        <f t="shared" si="12"/>
        <v>2026-05</v>
      </c>
      <c r="F403" s="36">
        <f t="shared" si="13"/>
        <v>-3.6690765620746135E-2</v>
      </c>
      <c r="G403" s="1"/>
      <c r="H403" s="1"/>
    </row>
    <row r="404" spans="1:8" x14ac:dyDescent="0.3">
      <c r="A404" s="26">
        <v>46154</v>
      </c>
      <c r="B404" s="38" t="s">
        <v>61</v>
      </c>
      <c r="C404" s="35">
        <v>133.1506</v>
      </c>
      <c r="D404" s="39">
        <v>57483637</v>
      </c>
      <c r="E404" s="1" t="str">
        <f t="shared" si="12"/>
        <v>2026-05</v>
      </c>
      <c r="F404" s="36">
        <f t="shared" si="13"/>
        <v>-4.4807510136456452E-3</v>
      </c>
      <c r="G404" s="1"/>
      <c r="H404" s="1"/>
    </row>
    <row r="405" spans="1:8" x14ac:dyDescent="0.3">
      <c r="A405" s="26">
        <v>46155</v>
      </c>
      <c r="B405" s="38" t="s">
        <v>61</v>
      </c>
      <c r="C405" s="35">
        <v>132.65119999999999</v>
      </c>
      <c r="D405" s="39">
        <v>89332520</v>
      </c>
      <c r="E405" s="1" t="str">
        <f t="shared" si="12"/>
        <v>2026-05</v>
      </c>
      <c r="F405" s="36">
        <f t="shared" si="13"/>
        <v>-3.7506402524660754E-3</v>
      </c>
      <c r="G405" s="1"/>
      <c r="H405" s="1"/>
    </row>
    <row r="406" spans="1:8" x14ac:dyDescent="0.3">
      <c r="A406" s="26">
        <v>46156</v>
      </c>
      <c r="B406" s="38" t="s">
        <v>61</v>
      </c>
      <c r="C406" s="35">
        <v>137.74539999999999</v>
      </c>
      <c r="D406" s="39">
        <v>171292701</v>
      </c>
      <c r="E406" s="1" t="str">
        <f t="shared" si="12"/>
        <v>2026-05</v>
      </c>
      <c r="F406" s="36">
        <f t="shared" si="13"/>
        <v>3.8402969592434832E-2</v>
      </c>
      <c r="G406" s="1"/>
      <c r="H406" s="1"/>
    </row>
    <row r="407" spans="1:8" x14ac:dyDescent="0.3">
      <c r="A407" s="26">
        <v>46157</v>
      </c>
      <c r="B407" s="38" t="s">
        <v>61</v>
      </c>
      <c r="C407" s="35">
        <v>132.15170000000001</v>
      </c>
      <c r="D407" s="39">
        <v>90144879</v>
      </c>
      <c r="E407" s="1" t="str">
        <f t="shared" si="12"/>
        <v>2026-05</v>
      </c>
      <c r="F407" s="36">
        <f t="shared" si="13"/>
        <v>-4.0608978593840384E-2</v>
      </c>
      <c r="G407" s="1"/>
      <c r="H407" s="1"/>
    </row>
    <row r="408" spans="1:8" x14ac:dyDescent="0.3">
      <c r="A408" s="26">
        <v>46160</v>
      </c>
      <c r="B408" s="38" t="s">
        <v>61</v>
      </c>
      <c r="C408" s="35">
        <v>131.55240000000001</v>
      </c>
      <c r="D408" s="39">
        <v>94625028</v>
      </c>
      <c r="E408" s="1" t="str">
        <f t="shared" si="12"/>
        <v>2026-05</v>
      </c>
      <c r="F408" s="36">
        <f t="shared" si="13"/>
        <v>-4.5349397699764316E-3</v>
      </c>
      <c r="G408" s="1"/>
      <c r="H408" s="1"/>
    </row>
    <row r="409" spans="1:8" x14ac:dyDescent="0.3">
      <c r="A409" s="26">
        <v>46161</v>
      </c>
      <c r="B409" s="38" t="s">
        <v>61</v>
      </c>
      <c r="C409" s="35">
        <v>133.1506</v>
      </c>
      <c r="D409" s="39">
        <v>75905647</v>
      </c>
      <c r="E409" s="1" t="str">
        <f t="shared" si="12"/>
        <v>2026-05</v>
      </c>
      <c r="F409" s="36">
        <f t="shared" si="13"/>
        <v>1.2148771136064385E-2</v>
      </c>
      <c r="G409" s="1"/>
      <c r="H409" s="1"/>
    </row>
    <row r="410" spans="1:8" x14ac:dyDescent="0.3">
      <c r="A410" s="26">
        <v>46162</v>
      </c>
      <c r="B410" s="38" t="s">
        <v>61</v>
      </c>
      <c r="C410" s="35">
        <v>131.75219999999999</v>
      </c>
      <c r="D410" s="39">
        <v>64904996</v>
      </c>
      <c r="E410" s="1" t="str">
        <f t="shared" si="12"/>
        <v>2026-05</v>
      </c>
      <c r="F410" s="36">
        <f t="shared" si="13"/>
        <v>-1.0502393530333443E-2</v>
      </c>
      <c r="G410" s="1"/>
      <c r="H410" s="1"/>
    </row>
    <row r="411" spans="1:8" x14ac:dyDescent="0.3">
      <c r="A411" s="26">
        <v>46163</v>
      </c>
      <c r="B411" s="38" t="s">
        <v>61</v>
      </c>
      <c r="C411" s="35">
        <v>125.8588</v>
      </c>
      <c r="D411" s="39">
        <v>124833824</v>
      </c>
      <c r="E411" s="1" t="str">
        <f t="shared" si="12"/>
        <v>2026-05</v>
      </c>
      <c r="F411" s="36">
        <f t="shared" si="13"/>
        <v>-4.4730941874215224E-2</v>
      </c>
      <c r="G411" s="1"/>
      <c r="H411" s="1"/>
    </row>
    <row r="412" spans="1:8" x14ac:dyDescent="0.3">
      <c r="A412" s="26">
        <v>46164</v>
      </c>
      <c r="B412" s="38" t="s">
        <v>61</v>
      </c>
      <c r="C412" s="35">
        <v>126.85769999999999</v>
      </c>
      <c r="D412" s="39">
        <v>67105437</v>
      </c>
      <c r="E412" s="1" t="str">
        <f t="shared" si="12"/>
        <v>2026-05</v>
      </c>
      <c r="F412" s="36">
        <f t="shared" si="13"/>
        <v>7.936671889450686E-3</v>
      </c>
      <c r="G412" s="1"/>
      <c r="H412" s="1"/>
    </row>
    <row r="413" spans="1:8" x14ac:dyDescent="0.3">
      <c r="A413" s="26">
        <v>46168</v>
      </c>
      <c r="B413" s="38" t="s">
        <v>61</v>
      </c>
      <c r="C413" s="35">
        <v>127.45699999999999</v>
      </c>
      <c r="D413" s="39">
        <v>81943801</v>
      </c>
      <c r="E413" s="1" t="str">
        <f t="shared" si="12"/>
        <v>2026-05</v>
      </c>
      <c r="F413" s="36">
        <f t="shared" si="13"/>
        <v>4.7241909635757917E-3</v>
      </c>
      <c r="G413" s="1"/>
      <c r="H413" s="1"/>
    </row>
    <row r="414" spans="1:8" x14ac:dyDescent="0.3">
      <c r="A414" s="26">
        <v>46169</v>
      </c>
      <c r="B414" s="38" t="s">
        <v>61</v>
      </c>
      <c r="C414" s="35">
        <v>124.16070000000001</v>
      </c>
      <c r="D414" s="39">
        <v>73913384</v>
      </c>
      <c r="E414" s="1" t="str">
        <f t="shared" si="12"/>
        <v>2026-05</v>
      </c>
      <c r="F414" s="36">
        <f t="shared" si="13"/>
        <v>-2.5862055438304554E-2</v>
      </c>
      <c r="G414" s="1"/>
      <c r="H414" s="1"/>
    </row>
    <row r="415" spans="1:8" x14ac:dyDescent="0.3">
      <c r="A415" s="26">
        <v>46170</v>
      </c>
      <c r="B415" s="38" t="s">
        <v>61</v>
      </c>
      <c r="C415" s="35">
        <v>121.6635</v>
      </c>
      <c r="D415" s="39">
        <v>113734767</v>
      </c>
      <c r="E415" s="1" t="str">
        <f t="shared" si="12"/>
        <v>2026-05</v>
      </c>
      <c r="F415" s="36">
        <f t="shared" si="13"/>
        <v>-2.0112644339150831E-2</v>
      </c>
      <c r="G415" s="1"/>
      <c r="H415" s="1"/>
    </row>
    <row r="416" spans="1:8" x14ac:dyDescent="0.3">
      <c r="A416" s="26">
        <v>46171</v>
      </c>
      <c r="B416" s="38" t="s">
        <v>61</v>
      </c>
      <c r="C416" s="35">
        <v>120.7645</v>
      </c>
      <c r="D416" s="39">
        <v>106781469</v>
      </c>
      <c r="E416" s="1" t="str">
        <f t="shared" si="12"/>
        <v>2026-05</v>
      </c>
      <c r="F416" s="36">
        <f t="shared" si="13"/>
        <v>-7.3892334184040287E-3</v>
      </c>
      <c r="G416" s="1"/>
      <c r="H416" s="1"/>
    </row>
    <row r="417" spans="1:8" x14ac:dyDescent="0.3">
      <c r="A417" s="26">
        <v>46174</v>
      </c>
      <c r="B417" s="38" t="s">
        <v>61</v>
      </c>
      <c r="C417" s="35">
        <v>122.66240000000001</v>
      </c>
      <c r="D417" s="39">
        <v>64910941</v>
      </c>
      <c r="E417" s="1" t="str">
        <f t="shared" si="12"/>
        <v>2026-06</v>
      </c>
      <c r="F417" s="36">
        <f t="shared" si="13"/>
        <v>1.5715711156838452E-2</v>
      </c>
      <c r="G417" s="1"/>
      <c r="H417" s="1"/>
    </row>
    <row r="418" spans="1:8" x14ac:dyDescent="0.3">
      <c r="A418" s="26">
        <v>46175</v>
      </c>
      <c r="B418" s="38" t="s">
        <v>61</v>
      </c>
      <c r="C418" s="35">
        <v>130.7533</v>
      </c>
      <c r="D418" s="39">
        <v>126607691</v>
      </c>
      <c r="E418" s="1" t="str">
        <f t="shared" si="12"/>
        <v>2026-06</v>
      </c>
      <c r="F418" s="36">
        <f t="shared" si="13"/>
        <v>6.5960718198893709E-2</v>
      </c>
      <c r="G418" s="1"/>
      <c r="H418" s="1"/>
    </row>
    <row r="419" spans="1:8" x14ac:dyDescent="0.3">
      <c r="A419" s="26">
        <v>46176</v>
      </c>
      <c r="B419" s="38" t="s">
        <v>61</v>
      </c>
      <c r="C419" s="35">
        <v>126.4581</v>
      </c>
      <c r="D419" s="39">
        <v>90810223</v>
      </c>
      <c r="E419" s="1" t="str">
        <f t="shared" si="12"/>
        <v>2026-06</v>
      </c>
      <c r="F419" s="36">
        <f t="shared" si="13"/>
        <v>-3.2849648918994778E-2</v>
      </c>
      <c r="G419" s="1"/>
      <c r="H419" s="1"/>
    </row>
    <row r="420" spans="1:8" x14ac:dyDescent="0.3">
      <c r="A420" s="26">
        <v>46177</v>
      </c>
      <c r="B420" s="38" t="s">
        <v>61</v>
      </c>
      <c r="C420" s="35">
        <v>123.3616</v>
      </c>
      <c r="D420" s="39">
        <v>60737375</v>
      </c>
      <c r="E420" s="1" t="str">
        <f t="shared" si="12"/>
        <v>2026-06</v>
      </c>
      <c r="F420" s="36">
        <f t="shared" si="13"/>
        <v>-2.4486371375182836E-2</v>
      </c>
      <c r="G420" s="1"/>
      <c r="H420" s="1"/>
    </row>
    <row r="421" spans="1:8" x14ac:dyDescent="0.3">
      <c r="A421" s="26">
        <v>46178</v>
      </c>
      <c r="B421" s="38" t="s">
        <v>61</v>
      </c>
      <c r="C421" s="35">
        <v>122.2628</v>
      </c>
      <c r="D421" s="39">
        <v>75982909</v>
      </c>
      <c r="E421" s="1" t="str">
        <f t="shared" si="12"/>
        <v>2026-06</v>
      </c>
      <c r="F421" s="36">
        <f t="shared" si="13"/>
        <v>-8.9071477672144628E-3</v>
      </c>
      <c r="G421" s="1"/>
      <c r="H421" s="1"/>
    </row>
    <row r="422" spans="1:8" x14ac:dyDescent="0.3">
      <c r="A422" s="26">
        <v>46181</v>
      </c>
      <c r="B422" s="38" t="s">
        <v>61</v>
      </c>
      <c r="C422" s="35">
        <v>118.66679999999999</v>
      </c>
      <c r="D422" s="39">
        <v>84021112</v>
      </c>
      <c r="E422" s="1" t="str">
        <f t="shared" si="12"/>
        <v>2026-06</v>
      </c>
      <c r="F422" s="36">
        <f t="shared" si="13"/>
        <v>-2.9412053380096004E-2</v>
      </c>
      <c r="G422" s="1"/>
      <c r="H422" s="1"/>
    </row>
    <row r="423" spans="1:8" x14ac:dyDescent="0.3">
      <c r="A423" s="26">
        <v>46182</v>
      </c>
      <c r="B423" s="38" t="s">
        <v>61</v>
      </c>
      <c r="C423" s="35">
        <v>116.9687</v>
      </c>
      <c r="D423" s="39">
        <v>66707175</v>
      </c>
      <c r="E423" s="1" t="str">
        <f t="shared" si="12"/>
        <v>2026-06</v>
      </c>
      <c r="F423" s="36">
        <f t="shared" si="13"/>
        <v>-1.4309815382229862E-2</v>
      </c>
      <c r="G423" s="1"/>
      <c r="H423" s="1"/>
    </row>
    <row r="424" spans="1:8" x14ac:dyDescent="0.3">
      <c r="A424" s="26">
        <v>46183</v>
      </c>
      <c r="B424" s="38" t="s">
        <v>61</v>
      </c>
      <c r="C424" s="35">
        <v>113.5</v>
      </c>
      <c r="D424" s="39">
        <v>115892674</v>
      </c>
      <c r="E424" s="1" t="str">
        <f t="shared" si="12"/>
        <v>2026-06</v>
      </c>
      <c r="F424" s="36">
        <f t="shared" si="13"/>
        <v>-2.9654941877613417E-2</v>
      </c>
      <c r="G424" s="1"/>
      <c r="H424" s="1"/>
    </row>
    <row r="425" spans="1:8" x14ac:dyDescent="0.3">
      <c r="A425" s="26">
        <v>46184</v>
      </c>
      <c r="B425" s="38" t="s">
        <v>61</v>
      </c>
      <c r="C425" s="35">
        <v>107.4</v>
      </c>
      <c r="D425" s="39">
        <v>160350719</v>
      </c>
      <c r="E425" s="1" t="str">
        <f t="shared" si="12"/>
        <v>2026-06</v>
      </c>
      <c r="F425" s="36">
        <f t="shared" si="13"/>
        <v>-5.3744493392070436E-2</v>
      </c>
      <c r="G425" s="1"/>
      <c r="H425" s="1"/>
    </row>
    <row r="426" spans="1:8" x14ac:dyDescent="0.3">
      <c r="A426" s="26">
        <v>46185</v>
      </c>
      <c r="B426" s="38" t="s">
        <v>61</v>
      </c>
      <c r="C426" s="35">
        <v>110.2</v>
      </c>
      <c r="D426" s="39">
        <v>74743889</v>
      </c>
      <c r="E426" s="1" t="str">
        <f t="shared" si="12"/>
        <v>2026-06</v>
      </c>
      <c r="F426" s="36">
        <f t="shared" si="13"/>
        <v>2.607076350093096E-2</v>
      </c>
      <c r="G426" s="1"/>
      <c r="H426" s="1"/>
    </row>
    <row r="427" spans="1:8" x14ac:dyDescent="0.3">
      <c r="A427" s="26">
        <v>46188</v>
      </c>
      <c r="B427" s="38" t="s">
        <v>61</v>
      </c>
      <c r="C427" s="35">
        <v>109.3</v>
      </c>
      <c r="D427" s="39">
        <v>83179704</v>
      </c>
      <c r="E427" s="1" t="str">
        <f t="shared" si="12"/>
        <v>2026-06</v>
      </c>
      <c r="F427" s="36">
        <f t="shared" si="13"/>
        <v>-8.1669691470055428E-3</v>
      </c>
      <c r="G427" s="1"/>
      <c r="H427" s="1"/>
    </row>
    <row r="428" spans="1:8" x14ac:dyDescent="0.3">
      <c r="A428" s="26">
        <v>46189</v>
      </c>
      <c r="B428" s="38" t="s">
        <v>61</v>
      </c>
      <c r="C428" s="35">
        <v>107</v>
      </c>
      <c r="D428" s="39">
        <v>69138026</v>
      </c>
      <c r="E428" s="1" t="str">
        <f t="shared" si="12"/>
        <v>2026-06</v>
      </c>
      <c r="F428" s="36">
        <f t="shared" si="13"/>
        <v>-2.1043000914913068E-2</v>
      </c>
      <c r="G428" s="1"/>
      <c r="H428" s="1"/>
    </row>
    <row r="429" spans="1:8" x14ac:dyDescent="0.3">
      <c r="A429" s="26">
        <v>46190</v>
      </c>
      <c r="B429" s="38" t="s">
        <v>61</v>
      </c>
      <c r="C429" s="35">
        <v>106.9</v>
      </c>
      <c r="D429" s="39">
        <v>71467113</v>
      </c>
      <c r="E429" s="1" t="str">
        <f t="shared" si="12"/>
        <v>2026-06</v>
      </c>
      <c r="F429" s="36">
        <f t="shared" si="13"/>
        <v>-9.3457943925223663E-4</v>
      </c>
      <c r="G429" s="1"/>
      <c r="H429" s="1"/>
    </row>
    <row r="430" spans="1:8" x14ac:dyDescent="0.3">
      <c r="A430" s="26">
        <v>46191</v>
      </c>
      <c r="B430" s="38" t="s">
        <v>61</v>
      </c>
      <c r="C430" s="35">
        <v>104.9</v>
      </c>
      <c r="D430" s="39">
        <v>160333163</v>
      </c>
      <c r="E430" s="1" t="str">
        <f t="shared" si="12"/>
        <v>2026-06</v>
      </c>
      <c r="F430" s="36">
        <f t="shared" si="13"/>
        <v>-1.8709073900841866E-2</v>
      </c>
      <c r="G430" s="1"/>
      <c r="H430" s="1"/>
    </row>
    <row r="431" spans="1:8" x14ac:dyDescent="0.3">
      <c r="A431" s="26">
        <v>46195</v>
      </c>
      <c r="B431" s="38" t="s">
        <v>61</v>
      </c>
      <c r="C431" s="35">
        <v>102.9</v>
      </c>
      <c r="D431" s="39">
        <v>99214294</v>
      </c>
      <c r="E431" s="1" t="str">
        <f t="shared" si="12"/>
        <v>2026-06</v>
      </c>
      <c r="F431" s="36">
        <f t="shared" si="13"/>
        <v>-1.9065776930409895E-2</v>
      </c>
      <c r="G431" s="1"/>
      <c r="H431" s="1"/>
    </row>
    <row r="432" spans="1:8" x14ac:dyDescent="0.3">
      <c r="A432" s="26">
        <v>46196</v>
      </c>
      <c r="B432" s="38" t="s">
        <v>61</v>
      </c>
      <c r="C432" s="35">
        <v>98.95</v>
      </c>
      <c r="D432" s="39">
        <v>98049349</v>
      </c>
      <c r="E432" s="1" t="str">
        <f t="shared" si="12"/>
        <v>2026-06</v>
      </c>
      <c r="F432" s="36">
        <f t="shared" si="13"/>
        <v>-3.8386783284742543E-2</v>
      </c>
      <c r="G432" s="1"/>
      <c r="H432" s="1"/>
    </row>
    <row r="433" spans="1:8" x14ac:dyDescent="0.3">
      <c r="A433" s="26">
        <v>46197</v>
      </c>
      <c r="B433" s="38" t="s">
        <v>61</v>
      </c>
      <c r="C433" s="35">
        <v>99.4</v>
      </c>
      <c r="D433" s="39">
        <v>103216499</v>
      </c>
      <c r="E433" s="1" t="str">
        <f t="shared" si="12"/>
        <v>2026-06</v>
      </c>
      <c r="F433" s="36">
        <f t="shared" si="13"/>
        <v>4.5477513895906263E-3</v>
      </c>
      <c r="G433" s="1"/>
      <c r="H433" s="1"/>
    </row>
    <row r="434" spans="1:8" x14ac:dyDescent="0.3">
      <c r="A434" s="26">
        <v>46198</v>
      </c>
      <c r="B434" s="38" t="s">
        <v>61</v>
      </c>
      <c r="C434" s="35">
        <v>95</v>
      </c>
      <c r="D434" s="39">
        <v>141402714</v>
      </c>
      <c r="E434" s="1" t="str">
        <f t="shared" si="12"/>
        <v>2026-06</v>
      </c>
      <c r="F434" s="36">
        <f t="shared" si="13"/>
        <v>-4.4265593561368277E-2</v>
      </c>
      <c r="G434" s="1"/>
      <c r="H434" s="1"/>
    </row>
    <row r="435" spans="1:8" x14ac:dyDescent="0.3">
      <c r="A435" s="26">
        <v>46199</v>
      </c>
      <c r="B435" s="38" t="s">
        <v>61</v>
      </c>
      <c r="C435" s="35">
        <v>89.5</v>
      </c>
      <c r="D435" s="39">
        <v>176208269</v>
      </c>
      <c r="E435" s="1" t="str">
        <f t="shared" si="12"/>
        <v>2026-06</v>
      </c>
      <c r="F435" s="36">
        <f t="shared" si="13"/>
        <v>-5.7894736842105221E-2</v>
      </c>
      <c r="G435" s="1"/>
      <c r="H435" s="1"/>
    </row>
    <row r="436" spans="1:8" x14ac:dyDescent="0.3">
      <c r="A436" s="26">
        <v>46202</v>
      </c>
      <c r="B436" s="38" t="s">
        <v>61</v>
      </c>
      <c r="C436" s="35">
        <v>93</v>
      </c>
      <c r="D436" s="39">
        <v>123324036</v>
      </c>
      <c r="E436" s="1" t="str">
        <f t="shared" si="12"/>
        <v>2026-06</v>
      </c>
      <c r="F436" s="36">
        <f t="shared" si="13"/>
        <v>3.9106145251396551E-2</v>
      </c>
      <c r="G436" s="1"/>
      <c r="H436" s="1"/>
    </row>
    <row r="437" spans="1:8" x14ac:dyDescent="0.3">
      <c r="A437" s="26">
        <v>46203</v>
      </c>
      <c r="B437" s="38" t="s">
        <v>61</v>
      </c>
      <c r="C437" s="35">
        <v>92.85</v>
      </c>
      <c r="D437" s="39">
        <v>89897596</v>
      </c>
      <c r="E437" s="1" t="str">
        <f t="shared" si="12"/>
        <v>2026-06</v>
      </c>
      <c r="F437" s="36">
        <f t="shared" si="13"/>
        <v>-1.612903225806539E-3</v>
      </c>
      <c r="G437" s="1"/>
      <c r="H437" s="1"/>
    </row>
    <row r="438" spans="1:8" x14ac:dyDescent="0.3">
      <c r="A438" s="26">
        <v>46205</v>
      </c>
      <c r="B438" s="38" t="s">
        <v>61</v>
      </c>
      <c r="C438" s="35">
        <v>94.5</v>
      </c>
      <c r="D438" s="39">
        <v>106165597</v>
      </c>
      <c r="E438" s="1" t="str">
        <f t="shared" si="12"/>
        <v>2026-07</v>
      </c>
      <c r="F438" s="36">
        <f t="shared" si="13"/>
        <v>1.7770597738287597E-2</v>
      </c>
      <c r="G438" s="1"/>
      <c r="H438" s="1"/>
    </row>
    <row r="439" spans="1:8" x14ac:dyDescent="0.3">
      <c r="A439" s="26">
        <v>46206</v>
      </c>
      <c r="B439" s="38" t="s">
        <v>61</v>
      </c>
      <c r="C439" s="35">
        <v>94.1</v>
      </c>
      <c r="D439" s="39">
        <v>67295654</v>
      </c>
      <c r="E439" s="1" t="str">
        <f t="shared" si="12"/>
        <v>2026-07</v>
      </c>
      <c r="F439" s="36">
        <f t="shared" si="13"/>
        <v>-4.2328042328042548E-3</v>
      </c>
      <c r="G439" s="1"/>
      <c r="H439" s="1"/>
    </row>
    <row r="440" spans="1:8" x14ac:dyDescent="0.3">
      <c r="A440" s="26">
        <v>46209</v>
      </c>
      <c r="B440" s="38" t="s">
        <v>61</v>
      </c>
      <c r="C440" s="35">
        <v>95.95</v>
      </c>
      <c r="D440" s="39">
        <v>81423639</v>
      </c>
      <c r="E440" s="1" t="str">
        <f t="shared" si="12"/>
        <v>2026-07</v>
      </c>
      <c r="F440" s="36">
        <f t="shared" si="13"/>
        <v>1.965993623804474E-2</v>
      </c>
      <c r="G440" s="1"/>
      <c r="H440" s="1"/>
    </row>
    <row r="441" spans="1:8" x14ac:dyDescent="0.3">
      <c r="A441" s="26">
        <v>46210</v>
      </c>
      <c r="B441" s="38" t="s">
        <v>61</v>
      </c>
      <c r="C441" s="35">
        <v>95.8</v>
      </c>
      <c r="D441" s="39">
        <v>100211364</v>
      </c>
      <c r="E441" s="1" t="str">
        <f t="shared" si="12"/>
        <v>2026-07</v>
      </c>
      <c r="F441" s="36">
        <f t="shared" si="13"/>
        <v>-1.5633142261595179E-3</v>
      </c>
      <c r="G441" s="1"/>
      <c r="H441" s="1"/>
    </row>
    <row r="442" spans="1:8" x14ac:dyDescent="0.3">
      <c r="A442" s="26">
        <v>46211</v>
      </c>
      <c r="B442" s="38" t="s">
        <v>61</v>
      </c>
      <c r="C442" s="35">
        <v>107.5</v>
      </c>
      <c r="D442" s="39">
        <v>282125685</v>
      </c>
      <c r="E442" s="1" t="str">
        <f t="shared" si="12"/>
        <v>2026-07</v>
      </c>
      <c r="F442" s="36">
        <f t="shared" si="13"/>
        <v>0.12212943632567863</v>
      </c>
      <c r="G442" s="1"/>
      <c r="H442" s="1"/>
    </row>
    <row r="443" spans="1:8" x14ac:dyDescent="0.3">
      <c r="A443" s="26">
        <v>46212</v>
      </c>
      <c r="B443" s="38" t="s">
        <v>61</v>
      </c>
      <c r="C443" s="35">
        <v>108</v>
      </c>
      <c r="D443" s="39">
        <v>190535828</v>
      </c>
      <c r="E443" s="1" t="str">
        <f t="shared" si="12"/>
        <v>2026-07</v>
      </c>
      <c r="F443" s="36">
        <f t="shared" si="13"/>
        <v>4.6511627906977715E-3</v>
      </c>
      <c r="G443" s="1"/>
      <c r="H443" s="1"/>
    </row>
    <row r="444" spans="1:8" x14ac:dyDescent="0.3">
      <c r="A444" s="26">
        <v>46213</v>
      </c>
      <c r="B444" s="38" t="s">
        <v>61</v>
      </c>
      <c r="C444" s="35">
        <v>110.2</v>
      </c>
      <c r="D444" s="39">
        <v>103843838</v>
      </c>
      <c r="E444" s="1" t="str">
        <f t="shared" si="12"/>
        <v>2026-07</v>
      </c>
      <c r="F444" s="36">
        <f t="shared" si="13"/>
        <v>2.0370370370370372E-2</v>
      </c>
      <c r="G444" s="1"/>
      <c r="H444" s="1"/>
    </row>
    <row r="445" spans="1:8" x14ac:dyDescent="0.3">
      <c r="A445" s="26">
        <v>46216</v>
      </c>
      <c r="B445" s="38" t="s">
        <v>61</v>
      </c>
      <c r="C445" s="35">
        <v>110.7</v>
      </c>
      <c r="D445" s="39">
        <v>100489536</v>
      </c>
      <c r="E445" s="1" t="str">
        <f t="shared" si="12"/>
        <v>2026-07</v>
      </c>
      <c r="F445" s="36">
        <f t="shared" si="13"/>
        <v>4.5372050816696596E-3</v>
      </c>
      <c r="G445" s="1"/>
      <c r="H445" s="1"/>
    </row>
    <row r="446" spans="1:8" x14ac:dyDescent="0.3">
      <c r="A446" s="26">
        <v>46217</v>
      </c>
      <c r="B446" s="38" t="s">
        <v>61</v>
      </c>
      <c r="C446" s="35">
        <v>110.8</v>
      </c>
      <c r="D446" s="39">
        <v>100890456</v>
      </c>
      <c r="E446" s="1" t="str">
        <f t="shared" si="12"/>
        <v>2026-07</v>
      </c>
      <c r="F446" s="36">
        <f t="shared" si="13"/>
        <v>9.0334236675704283E-4</v>
      </c>
      <c r="G446" s="1"/>
      <c r="H446" s="1"/>
    </row>
    <row r="447" spans="1:8" x14ac:dyDescent="0.3">
      <c r="A447" s="26">
        <v>46218</v>
      </c>
      <c r="B447" s="38" t="s">
        <v>61</v>
      </c>
      <c r="C447" s="35">
        <v>113.4</v>
      </c>
      <c r="D447" s="39">
        <v>112769038</v>
      </c>
      <c r="E447" s="1" t="str">
        <f t="shared" si="12"/>
        <v>2026-07</v>
      </c>
      <c r="F447" s="36">
        <f t="shared" si="13"/>
        <v>2.3465703971119245E-2</v>
      </c>
      <c r="G447" s="1"/>
      <c r="H447" s="1"/>
    </row>
    <row r="448" spans="1:8" x14ac:dyDescent="0.3">
      <c r="A448" s="26">
        <v>46219</v>
      </c>
      <c r="B448" s="38" t="s">
        <v>61</v>
      </c>
      <c r="C448" s="35">
        <v>116.9</v>
      </c>
      <c r="D448" s="39">
        <v>153608858</v>
      </c>
      <c r="E448" s="1" t="str">
        <f t="shared" si="12"/>
        <v>2026-07</v>
      </c>
      <c r="F448" s="36">
        <f t="shared" si="13"/>
        <v>3.0864197530864113E-2</v>
      </c>
      <c r="G448" s="1"/>
      <c r="H448" s="1"/>
    </row>
    <row r="449" spans="1:8" x14ac:dyDescent="0.3">
      <c r="A449" s="26">
        <v>46220</v>
      </c>
      <c r="B449" s="38" t="s">
        <v>61</v>
      </c>
      <c r="C449" s="35">
        <v>112.6</v>
      </c>
      <c r="D449" s="39">
        <v>125635830</v>
      </c>
      <c r="E449" s="1" t="str">
        <f t="shared" si="12"/>
        <v>2026-07</v>
      </c>
      <c r="F449" s="36">
        <f t="shared" si="13"/>
        <v>-3.6783575705731542E-2</v>
      </c>
      <c r="G449" s="1"/>
      <c r="H449" s="1"/>
    </row>
    <row r="450" spans="1:8" x14ac:dyDescent="0.3">
      <c r="A450" s="26">
        <v>46223</v>
      </c>
      <c r="B450" s="38" t="s">
        <v>61</v>
      </c>
      <c r="C450" s="35">
        <v>116.8</v>
      </c>
      <c r="D450" s="39">
        <v>125351835</v>
      </c>
      <c r="E450" s="1" t="str">
        <f t="shared" ref="E450:E513" si="14">TEXT(A450,"yyyy-mm")</f>
        <v>2026-07</v>
      </c>
      <c r="F450" s="36">
        <f t="shared" si="13"/>
        <v>3.7300177619893349E-2</v>
      </c>
      <c r="G450" s="1"/>
      <c r="H450" s="1"/>
    </row>
    <row r="451" spans="1:8" x14ac:dyDescent="0.3">
      <c r="A451" s="26">
        <v>46224</v>
      </c>
      <c r="B451" s="38" t="s">
        <v>61</v>
      </c>
      <c r="C451" s="35">
        <v>117</v>
      </c>
      <c r="D451" s="39">
        <v>98262426</v>
      </c>
      <c r="E451" s="1" t="str">
        <f t="shared" si="14"/>
        <v>2026-07</v>
      </c>
      <c r="F451" s="36">
        <f t="shared" ref="F451:F514" si="15">IF(B451=B450,C451/C450-1,0)</f>
        <v>1.712328767123239E-3</v>
      </c>
      <c r="G451" s="1"/>
      <c r="H451" s="1"/>
    </row>
    <row r="452" spans="1:8" x14ac:dyDescent="0.3">
      <c r="A452" s="26">
        <v>46225</v>
      </c>
      <c r="B452" s="38" t="s">
        <v>61</v>
      </c>
      <c r="C452" s="35">
        <v>113.6</v>
      </c>
      <c r="D452" s="39">
        <v>120611396</v>
      </c>
      <c r="E452" s="1" t="str">
        <f t="shared" si="14"/>
        <v>2026-07</v>
      </c>
      <c r="F452" s="36">
        <f t="shared" si="15"/>
        <v>-2.9059829059829068E-2</v>
      </c>
      <c r="G452" s="1"/>
      <c r="H452" s="1"/>
    </row>
    <row r="453" spans="1:8" x14ac:dyDescent="0.3">
      <c r="A453" s="26">
        <v>46226</v>
      </c>
      <c r="B453" s="38" t="s">
        <v>61</v>
      </c>
      <c r="C453" s="35">
        <v>114.9</v>
      </c>
      <c r="D453" s="39">
        <v>52344763</v>
      </c>
      <c r="E453" s="1" t="str">
        <f t="shared" si="14"/>
        <v>2026-07</v>
      </c>
      <c r="F453" s="36">
        <f t="shared" si="15"/>
        <v>1.1443661971830998E-2</v>
      </c>
      <c r="G453" s="1"/>
      <c r="H453" s="1"/>
    </row>
    <row r="454" spans="1:8" x14ac:dyDescent="0.3">
      <c r="A454" s="26">
        <v>46227</v>
      </c>
      <c r="B454" s="38" t="s">
        <v>61</v>
      </c>
      <c r="C454" s="35">
        <v>110</v>
      </c>
      <c r="D454" s="39">
        <v>107488512</v>
      </c>
      <c r="E454" s="1" t="str">
        <f t="shared" si="14"/>
        <v>2026-07</v>
      </c>
      <c r="F454" s="36">
        <f t="shared" si="15"/>
        <v>-4.2645778938207202E-2</v>
      </c>
      <c r="G454" s="1"/>
      <c r="H454" s="1"/>
    </row>
    <row r="455" spans="1:8" x14ac:dyDescent="0.3">
      <c r="A455" s="26">
        <v>46230</v>
      </c>
      <c r="B455" s="38" t="s">
        <v>61</v>
      </c>
      <c r="C455" s="35">
        <v>111</v>
      </c>
      <c r="D455" s="39">
        <v>58415973</v>
      </c>
      <c r="E455" s="1" t="str">
        <f t="shared" si="14"/>
        <v>2026-07</v>
      </c>
      <c r="F455" s="36">
        <f t="shared" si="15"/>
        <v>9.0909090909090384E-3</v>
      </c>
      <c r="G455" s="1"/>
      <c r="H455" s="1"/>
    </row>
    <row r="456" spans="1:8" x14ac:dyDescent="0.3">
      <c r="A456" s="26">
        <v>46231</v>
      </c>
      <c r="B456" s="38" t="s">
        <v>61</v>
      </c>
      <c r="C456" s="35">
        <v>112</v>
      </c>
      <c r="D456" s="39">
        <v>75913853</v>
      </c>
      <c r="E456" s="1" t="str">
        <f t="shared" si="14"/>
        <v>2026-07</v>
      </c>
      <c r="F456" s="36">
        <f t="shared" si="15"/>
        <v>9.009009009008917E-3</v>
      </c>
      <c r="G456" s="1"/>
      <c r="H456" s="1"/>
    </row>
    <row r="457" spans="1:8" x14ac:dyDescent="0.3">
      <c r="A457" s="26">
        <v>46232</v>
      </c>
      <c r="B457" s="38" t="s">
        <v>61</v>
      </c>
      <c r="C457" s="35">
        <v>113.6</v>
      </c>
      <c r="D457" s="39">
        <v>93154775</v>
      </c>
      <c r="E457" s="1" t="str">
        <f t="shared" si="14"/>
        <v>2026-07</v>
      </c>
      <c r="F457" s="36">
        <f t="shared" si="15"/>
        <v>1.4285714285714235E-2</v>
      </c>
      <c r="G457" s="1"/>
      <c r="H457" s="1"/>
    </row>
    <row r="458" spans="1:8" x14ac:dyDescent="0.3">
      <c r="A458" s="26">
        <v>46233</v>
      </c>
      <c r="B458" s="38" t="s">
        <v>61</v>
      </c>
      <c r="C458" s="35">
        <v>111.8</v>
      </c>
      <c r="D458" s="39">
        <v>74326961</v>
      </c>
      <c r="E458" s="1" t="str">
        <f t="shared" si="14"/>
        <v>2026-07</v>
      </c>
      <c r="F458" s="36">
        <f t="shared" si="15"/>
        <v>-1.5845070422535135E-2</v>
      </c>
      <c r="G458" s="1"/>
      <c r="H458" s="1"/>
    </row>
    <row r="459" spans="1:8" x14ac:dyDescent="0.3">
      <c r="A459" s="26">
        <v>46234</v>
      </c>
      <c r="B459" s="38" t="s">
        <v>61</v>
      </c>
      <c r="C459" s="35">
        <v>117</v>
      </c>
      <c r="D459" s="39">
        <v>144668807</v>
      </c>
      <c r="E459" s="1" t="str">
        <f t="shared" si="14"/>
        <v>2026-07</v>
      </c>
      <c r="F459" s="36">
        <f t="shared" si="15"/>
        <v>4.6511627906976827E-2</v>
      </c>
      <c r="G459" s="1"/>
      <c r="H459" s="1"/>
    </row>
    <row r="460" spans="1:8" x14ac:dyDescent="0.3">
      <c r="A460" s="26">
        <v>46237</v>
      </c>
      <c r="B460" s="38" t="s">
        <v>61</v>
      </c>
      <c r="C460" s="35">
        <v>125.2</v>
      </c>
      <c r="D460" s="39">
        <v>192268809</v>
      </c>
      <c r="E460" s="1" t="str">
        <f t="shared" si="14"/>
        <v>2026-08</v>
      </c>
      <c r="F460" s="36">
        <f t="shared" si="15"/>
        <v>7.0085470085470059E-2</v>
      </c>
      <c r="G460" s="1"/>
      <c r="H460" s="1"/>
    </row>
    <row r="461" spans="1:8" x14ac:dyDescent="0.3">
      <c r="A461" s="26">
        <v>46238</v>
      </c>
      <c r="B461" s="38" t="s">
        <v>61</v>
      </c>
      <c r="C461" s="35">
        <v>125.8</v>
      </c>
      <c r="D461" s="39">
        <v>125358922</v>
      </c>
      <c r="E461" s="1" t="str">
        <f t="shared" si="14"/>
        <v>2026-08</v>
      </c>
      <c r="F461" s="36">
        <f t="shared" si="15"/>
        <v>4.7923322683705027E-3</v>
      </c>
      <c r="G461" s="1"/>
      <c r="H461" s="1"/>
    </row>
    <row r="462" spans="1:8" x14ac:dyDescent="0.3">
      <c r="A462" s="26">
        <v>46239</v>
      </c>
      <c r="B462" s="38" t="s">
        <v>61</v>
      </c>
      <c r="C462" s="35">
        <v>128.1</v>
      </c>
      <c r="D462" s="39">
        <v>93382622</v>
      </c>
      <c r="E462" s="1" t="str">
        <f t="shared" si="14"/>
        <v>2026-08</v>
      </c>
      <c r="F462" s="36">
        <f t="shared" si="15"/>
        <v>1.8282988871224148E-2</v>
      </c>
      <c r="G462" s="1"/>
      <c r="H462" s="1"/>
    </row>
    <row r="463" spans="1:8" x14ac:dyDescent="0.3">
      <c r="A463" s="26">
        <v>46240</v>
      </c>
      <c r="B463" s="38" t="s">
        <v>61</v>
      </c>
      <c r="C463" s="35">
        <v>124.4</v>
      </c>
      <c r="D463" s="39">
        <v>67212277</v>
      </c>
      <c r="E463" s="1" t="str">
        <f t="shared" si="14"/>
        <v>2026-08</v>
      </c>
      <c r="F463" s="36">
        <f t="shared" si="15"/>
        <v>-2.888368462138946E-2</v>
      </c>
      <c r="G463" s="1"/>
      <c r="H463" s="1"/>
    </row>
    <row r="464" spans="1:8" x14ac:dyDescent="0.3">
      <c r="A464" s="26">
        <v>46241</v>
      </c>
      <c r="B464" s="38" t="s">
        <v>61</v>
      </c>
      <c r="C464" s="35">
        <v>123.8</v>
      </c>
      <c r="D464" s="39">
        <v>58259425</v>
      </c>
      <c r="E464" s="1" t="str">
        <f t="shared" si="14"/>
        <v>2026-08</v>
      </c>
      <c r="F464" s="36">
        <f t="shared" si="15"/>
        <v>-4.8231511254019921E-3</v>
      </c>
      <c r="G464" s="1"/>
      <c r="H464" s="1"/>
    </row>
    <row r="465" spans="1:8" x14ac:dyDescent="0.3">
      <c r="A465" s="26">
        <v>46244</v>
      </c>
      <c r="B465" s="38" t="s">
        <v>61</v>
      </c>
      <c r="C465" s="35">
        <v>126.7</v>
      </c>
      <c r="D465" s="39">
        <v>53629555</v>
      </c>
      <c r="E465" s="1" t="str">
        <f t="shared" si="14"/>
        <v>2026-08</v>
      </c>
      <c r="F465" s="36">
        <f t="shared" si="15"/>
        <v>2.342487883683364E-2</v>
      </c>
      <c r="G465" s="1"/>
      <c r="H465" s="1"/>
    </row>
    <row r="466" spans="1:8" x14ac:dyDescent="0.3">
      <c r="A466" s="26">
        <v>46245</v>
      </c>
      <c r="B466" s="38" t="s">
        <v>61</v>
      </c>
      <c r="C466" s="35">
        <v>126.4</v>
      </c>
      <c r="D466" s="39">
        <v>74286963</v>
      </c>
      <c r="E466" s="1" t="str">
        <f t="shared" si="14"/>
        <v>2026-08</v>
      </c>
      <c r="F466" s="36">
        <f t="shared" si="15"/>
        <v>-2.3677979479084232E-3</v>
      </c>
      <c r="G466" s="1"/>
      <c r="H466" s="1"/>
    </row>
    <row r="467" spans="1:8" x14ac:dyDescent="0.3">
      <c r="A467" s="26">
        <v>46246</v>
      </c>
      <c r="B467" s="38" t="s">
        <v>61</v>
      </c>
      <c r="C467" s="35">
        <v>122.6</v>
      </c>
      <c r="D467" s="39">
        <v>65057854</v>
      </c>
      <c r="E467" s="1" t="str">
        <f t="shared" si="14"/>
        <v>2026-08</v>
      </c>
      <c r="F467" s="36">
        <f t="shared" si="15"/>
        <v>-3.0063291139240556E-2</v>
      </c>
      <c r="G467" s="1"/>
      <c r="H467" s="1"/>
    </row>
    <row r="468" spans="1:8" x14ac:dyDescent="0.3">
      <c r="A468" s="26">
        <v>46247</v>
      </c>
      <c r="B468" s="38" t="s">
        <v>61</v>
      </c>
      <c r="C468" s="35">
        <v>121.9</v>
      </c>
      <c r="D468" s="39">
        <v>58154432</v>
      </c>
      <c r="E468" s="1" t="str">
        <f t="shared" si="14"/>
        <v>2026-08</v>
      </c>
      <c r="F468" s="36">
        <f t="shared" si="15"/>
        <v>-5.7096247960847224E-3</v>
      </c>
      <c r="G468" s="1"/>
      <c r="H468" s="1"/>
    </row>
    <row r="469" spans="1:8" x14ac:dyDescent="0.3">
      <c r="A469" s="26">
        <v>46248</v>
      </c>
      <c r="B469" s="38" t="s">
        <v>61</v>
      </c>
      <c r="C469" s="35">
        <v>119.9</v>
      </c>
      <c r="D469" s="39">
        <v>56905091</v>
      </c>
      <c r="E469" s="1" t="str">
        <f t="shared" si="14"/>
        <v>2026-08</v>
      </c>
      <c r="F469" s="36">
        <f t="shared" si="15"/>
        <v>-1.6406890894175574E-2</v>
      </c>
      <c r="G469" s="1"/>
      <c r="H469" s="1"/>
    </row>
    <row r="470" spans="1:8" x14ac:dyDescent="0.3">
      <c r="A470" s="26">
        <v>46251</v>
      </c>
      <c r="B470" s="38" t="s">
        <v>61</v>
      </c>
      <c r="C470" s="35">
        <v>122.2</v>
      </c>
      <c r="D470" s="39">
        <v>48563292</v>
      </c>
      <c r="E470" s="1" t="str">
        <f t="shared" si="14"/>
        <v>2026-08</v>
      </c>
      <c r="F470" s="36">
        <f t="shared" si="15"/>
        <v>1.9182652210175011E-2</v>
      </c>
      <c r="G470" s="1"/>
      <c r="H470" s="1"/>
    </row>
    <row r="471" spans="1:8" x14ac:dyDescent="0.3">
      <c r="A471" s="26">
        <v>46252</v>
      </c>
      <c r="B471" s="38" t="s">
        <v>61</v>
      </c>
      <c r="C471" s="35">
        <v>126.7</v>
      </c>
      <c r="D471" s="39">
        <v>120433806</v>
      </c>
      <c r="E471" s="1" t="str">
        <f t="shared" si="14"/>
        <v>2026-08</v>
      </c>
      <c r="F471" s="36">
        <f t="shared" si="15"/>
        <v>3.6824877250409171E-2</v>
      </c>
      <c r="G471" s="1"/>
      <c r="H471" s="1"/>
    </row>
    <row r="472" spans="1:8" x14ac:dyDescent="0.3">
      <c r="A472" s="26">
        <v>46253</v>
      </c>
      <c r="B472" s="38" t="s">
        <v>61</v>
      </c>
      <c r="C472" s="35">
        <v>124.2</v>
      </c>
      <c r="D472" s="39">
        <v>70727616</v>
      </c>
      <c r="E472" s="1" t="str">
        <f t="shared" si="14"/>
        <v>2026-08</v>
      </c>
      <c r="F472" s="36">
        <f t="shared" si="15"/>
        <v>-1.9731649565903675E-2</v>
      </c>
      <c r="G472" s="1"/>
      <c r="H472" s="1"/>
    </row>
    <row r="473" spans="1:8" x14ac:dyDescent="0.3">
      <c r="A473" s="26">
        <v>46254</v>
      </c>
      <c r="B473" s="38" t="s">
        <v>61</v>
      </c>
      <c r="C473" s="35">
        <v>126.2</v>
      </c>
      <c r="D473" s="39">
        <v>92028319</v>
      </c>
      <c r="E473" s="1" t="str">
        <f t="shared" si="14"/>
        <v>2026-08</v>
      </c>
      <c r="F473" s="36">
        <f t="shared" si="15"/>
        <v>1.6103059581320522E-2</v>
      </c>
      <c r="G473" s="1"/>
      <c r="H473" s="1"/>
    </row>
    <row r="474" spans="1:8" x14ac:dyDescent="0.3">
      <c r="A474" s="26">
        <v>46255</v>
      </c>
      <c r="B474" s="38" t="s">
        <v>61</v>
      </c>
      <c r="C474" s="35">
        <v>123</v>
      </c>
      <c r="D474" s="39">
        <v>146890540</v>
      </c>
      <c r="E474" s="1" t="str">
        <f t="shared" si="14"/>
        <v>2026-08</v>
      </c>
      <c r="F474" s="36">
        <f t="shared" si="15"/>
        <v>-2.535657686212367E-2</v>
      </c>
      <c r="G474" s="1"/>
      <c r="H474" s="1"/>
    </row>
    <row r="475" spans="1:8" x14ac:dyDescent="0.3">
      <c r="A475" s="26">
        <v>46258</v>
      </c>
      <c r="B475" s="38" t="s">
        <v>61</v>
      </c>
      <c r="C475" s="35">
        <v>112.5</v>
      </c>
      <c r="D475" s="39">
        <v>362953456</v>
      </c>
      <c r="E475" s="1" t="str">
        <f t="shared" si="14"/>
        <v>2026-08</v>
      </c>
      <c r="F475" s="36">
        <f t="shared" si="15"/>
        <v>-8.536585365853655E-2</v>
      </c>
      <c r="G475" s="1"/>
      <c r="H475" s="1"/>
    </row>
    <row r="476" spans="1:8" x14ac:dyDescent="0.3">
      <c r="A476" s="26">
        <v>46259</v>
      </c>
      <c r="B476" s="38" t="s">
        <v>61</v>
      </c>
      <c r="C476" s="35">
        <v>114.2</v>
      </c>
      <c r="D476" s="39">
        <v>124296637</v>
      </c>
      <c r="E476" s="1" t="str">
        <f t="shared" si="14"/>
        <v>2026-08</v>
      </c>
      <c r="F476" s="36">
        <f t="shared" si="15"/>
        <v>1.5111111111111075E-2</v>
      </c>
      <c r="G476" s="1"/>
      <c r="H476" s="1"/>
    </row>
    <row r="477" spans="1:8" x14ac:dyDescent="0.3">
      <c r="A477" s="26">
        <v>46260</v>
      </c>
      <c r="B477" s="38" t="s">
        <v>61</v>
      </c>
      <c r="C477" s="35">
        <v>116.6</v>
      </c>
      <c r="D477" s="39">
        <v>133860910</v>
      </c>
      <c r="E477" s="1" t="str">
        <f t="shared" si="14"/>
        <v>2026-08</v>
      </c>
      <c r="F477" s="36">
        <f t="shared" si="15"/>
        <v>2.1015761821365997E-2</v>
      </c>
      <c r="G477" s="1"/>
      <c r="H477" s="1"/>
    </row>
    <row r="478" spans="1:8" x14ac:dyDescent="0.3">
      <c r="A478" s="26">
        <v>46261</v>
      </c>
      <c r="B478" s="38" t="s">
        <v>61</v>
      </c>
      <c r="C478" s="35">
        <v>115.5</v>
      </c>
      <c r="D478" s="39">
        <v>83206714</v>
      </c>
      <c r="E478" s="1" t="str">
        <f t="shared" si="14"/>
        <v>2026-08</v>
      </c>
      <c r="F478" s="36">
        <f t="shared" si="15"/>
        <v>-9.4339622641509413E-3</v>
      </c>
      <c r="G478" s="1"/>
      <c r="H478" s="1"/>
    </row>
    <row r="479" spans="1:8" x14ac:dyDescent="0.3">
      <c r="A479" s="26">
        <v>46262</v>
      </c>
      <c r="B479" s="38" t="s">
        <v>61</v>
      </c>
      <c r="C479" s="35">
        <v>113.9</v>
      </c>
      <c r="D479" s="39">
        <v>73086522</v>
      </c>
      <c r="E479" s="1" t="str">
        <f t="shared" si="14"/>
        <v>2026-08</v>
      </c>
      <c r="F479" s="36">
        <f t="shared" si="15"/>
        <v>-1.3852813852813783E-2</v>
      </c>
      <c r="G479" s="1"/>
      <c r="H479" s="1"/>
    </row>
    <row r="480" spans="1:8" x14ac:dyDescent="0.3">
      <c r="A480" s="26">
        <v>46265</v>
      </c>
      <c r="B480" s="38" t="s">
        <v>61</v>
      </c>
      <c r="C480" s="35">
        <v>114.2</v>
      </c>
      <c r="D480" s="39">
        <v>82619229</v>
      </c>
      <c r="E480" s="1" t="str">
        <f t="shared" si="14"/>
        <v>2026-08</v>
      </c>
      <c r="F480" s="36">
        <f t="shared" si="15"/>
        <v>2.6338893766462146E-3</v>
      </c>
      <c r="G480" s="1"/>
      <c r="H480" s="1"/>
    </row>
    <row r="481" spans="1:8" x14ac:dyDescent="0.3">
      <c r="A481" s="26">
        <v>46266</v>
      </c>
      <c r="B481" s="38" t="s">
        <v>61</v>
      </c>
      <c r="C481" s="35">
        <v>110.4</v>
      </c>
      <c r="D481" s="39">
        <v>99751649</v>
      </c>
      <c r="E481" s="1" t="str">
        <f t="shared" si="14"/>
        <v>2026-09</v>
      </c>
      <c r="F481" s="36">
        <f t="shared" si="15"/>
        <v>-3.327495621716281E-2</v>
      </c>
      <c r="G481" s="1"/>
      <c r="H481" s="1"/>
    </row>
    <row r="482" spans="1:8" x14ac:dyDescent="0.3">
      <c r="A482" s="26">
        <v>46267</v>
      </c>
      <c r="B482" s="38" t="s">
        <v>61</v>
      </c>
      <c r="C482" s="35">
        <v>109.9</v>
      </c>
      <c r="D482" s="39">
        <v>76466094</v>
      </c>
      <c r="E482" s="1" t="str">
        <f t="shared" si="14"/>
        <v>2026-09</v>
      </c>
      <c r="F482" s="36">
        <f t="shared" si="15"/>
        <v>-4.5289855072463414E-3</v>
      </c>
      <c r="G482" s="1"/>
      <c r="H482" s="1"/>
    </row>
    <row r="483" spans="1:8" x14ac:dyDescent="0.3">
      <c r="A483" s="26">
        <v>46268</v>
      </c>
      <c r="B483" s="38" t="s">
        <v>61</v>
      </c>
      <c r="C483" s="35">
        <v>107.5</v>
      </c>
      <c r="D483" s="39">
        <v>69972408</v>
      </c>
      <c r="E483" s="1" t="str">
        <f t="shared" si="14"/>
        <v>2026-09</v>
      </c>
      <c r="F483" s="36">
        <f t="shared" si="15"/>
        <v>-2.1838034576888155E-2</v>
      </c>
      <c r="G483" s="1"/>
      <c r="H483" s="1"/>
    </row>
    <row r="484" spans="1:8" x14ac:dyDescent="0.3">
      <c r="A484" s="26">
        <v>46269</v>
      </c>
      <c r="B484" s="38" t="s">
        <v>61</v>
      </c>
      <c r="C484" s="35">
        <v>110.1</v>
      </c>
      <c r="D484" s="39">
        <v>103698738</v>
      </c>
      <c r="E484" s="1" t="str">
        <f t="shared" si="14"/>
        <v>2026-09</v>
      </c>
      <c r="F484" s="36">
        <f t="shared" si="15"/>
        <v>2.4186046511627923E-2</v>
      </c>
      <c r="G484" s="1"/>
      <c r="H484" s="1"/>
    </row>
    <row r="485" spans="1:8" x14ac:dyDescent="0.3">
      <c r="A485" s="26">
        <v>46272</v>
      </c>
      <c r="B485" s="38" t="s">
        <v>61</v>
      </c>
      <c r="C485" s="35">
        <v>109.6</v>
      </c>
      <c r="D485" s="39">
        <v>40367117</v>
      </c>
      <c r="E485" s="1" t="str">
        <f t="shared" si="14"/>
        <v>2026-09</v>
      </c>
      <c r="F485" s="36">
        <f t="shared" si="15"/>
        <v>-4.5413260672115818E-3</v>
      </c>
      <c r="G485" s="1"/>
      <c r="H485" s="1"/>
    </row>
    <row r="486" spans="1:8" x14ac:dyDescent="0.3">
      <c r="A486" s="26">
        <v>46273</v>
      </c>
      <c r="B486" s="38" t="s">
        <v>61</v>
      </c>
      <c r="C486" s="35">
        <v>109.5</v>
      </c>
      <c r="D486" s="39">
        <v>44150465</v>
      </c>
      <c r="E486" s="1" t="str">
        <f t="shared" si="14"/>
        <v>2026-09</v>
      </c>
      <c r="F486" s="36">
        <f t="shared" si="15"/>
        <v>-9.1240875912401709E-4</v>
      </c>
      <c r="G486" s="1"/>
      <c r="H486" s="1"/>
    </row>
    <row r="487" spans="1:8" x14ac:dyDescent="0.3">
      <c r="A487" s="26">
        <v>46274</v>
      </c>
      <c r="B487" s="38" t="s">
        <v>61</v>
      </c>
      <c r="C487" s="35">
        <v>109.8</v>
      </c>
      <c r="D487" s="39">
        <v>46572012</v>
      </c>
      <c r="E487" s="1" t="str">
        <f t="shared" si="14"/>
        <v>2026-09</v>
      </c>
      <c r="F487" s="36">
        <f t="shared" si="15"/>
        <v>2.739726027397138E-3</v>
      </c>
      <c r="G487" s="1"/>
      <c r="H487" s="1"/>
    </row>
    <row r="488" spans="1:8" x14ac:dyDescent="0.3">
      <c r="A488" s="26">
        <v>46275</v>
      </c>
      <c r="B488" s="38" t="s">
        <v>61</v>
      </c>
      <c r="C488" s="35">
        <v>106.9</v>
      </c>
      <c r="D488" s="39">
        <v>65902181</v>
      </c>
      <c r="E488" s="1" t="str">
        <f t="shared" si="14"/>
        <v>2026-09</v>
      </c>
      <c r="F488" s="36">
        <f t="shared" si="15"/>
        <v>-2.6411657559198498E-2</v>
      </c>
      <c r="G488" s="1"/>
      <c r="H488" s="1"/>
    </row>
    <row r="489" spans="1:8" x14ac:dyDescent="0.3">
      <c r="A489" s="26">
        <v>46276</v>
      </c>
      <c r="B489" s="38" t="s">
        <v>61</v>
      </c>
      <c r="C489" s="35">
        <v>107.5</v>
      </c>
      <c r="D489" s="39">
        <v>56226973</v>
      </c>
      <c r="E489" s="1" t="str">
        <f t="shared" si="14"/>
        <v>2026-09</v>
      </c>
      <c r="F489" s="36">
        <f t="shared" si="15"/>
        <v>5.6127221702524377E-3</v>
      </c>
      <c r="G489" s="1"/>
      <c r="H489" s="1"/>
    </row>
    <row r="490" spans="1:8" x14ac:dyDescent="0.3">
      <c r="A490" s="26">
        <v>46279</v>
      </c>
      <c r="B490" s="38" t="s">
        <v>61</v>
      </c>
      <c r="C490" s="35">
        <v>105.9</v>
      </c>
      <c r="D490" s="39">
        <v>48442049</v>
      </c>
      <c r="E490" s="1" t="str">
        <f t="shared" si="14"/>
        <v>2026-09</v>
      </c>
      <c r="F490" s="36">
        <f t="shared" si="15"/>
        <v>-1.4883720930232491E-2</v>
      </c>
      <c r="G490" s="1"/>
      <c r="H490" s="1"/>
    </row>
    <row r="491" spans="1:8" x14ac:dyDescent="0.3">
      <c r="A491" s="26">
        <v>46280</v>
      </c>
      <c r="B491" s="38" t="s">
        <v>61</v>
      </c>
      <c r="C491" s="35">
        <v>107.2</v>
      </c>
      <c r="D491" s="39">
        <v>47161376</v>
      </c>
      <c r="E491" s="1" t="str">
        <f t="shared" si="14"/>
        <v>2026-09</v>
      </c>
      <c r="F491" s="36">
        <f t="shared" si="15"/>
        <v>1.227573182247399E-2</v>
      </c>
      <c r="G491" s="1"/>
      <c r="H491" s="1"/>
    </row>
    <row r="492" spans="1:8" x14ac:dyDescent="0.3">
      <c r="A492" s="26">
        <v>46281</v>
      </c>
      <c r="B492" s="38" t="s">
        <v>61</v>
      </c>
      <c r="C492" s="35">
        <v>106.2</v>
      </c>
      <c r="D492" s="39">
        <v>34061594</v>
      </c>
      <c r="E492" s="1" t="str">
        <f t="shared" si="14"/>
        <v>2026-09</v>
      </c>
      <c r="F492" s="36">
        <f t="shared" si="15"/>
        <v>-9.3283582089552786E-3</v>
      </c>
      <c r="G492" s="1"/>
      <c r="H492" s="1"/>
    </row>
    <row r="493" spans="1:8" x14ac:dyDescent="0.3">
      <c r="A493" s="26">
        <v>46282</v>
      </c>
      <c r="B493" s="38" t="s">
        <v>61</v>
      </c>
      <c r="C493" s="35">
        <v>105.1</v>
      </c>
      <c r="D493" s="39">
        <v>50647519</v>
      </c>
      <c r="E493" s="1" t="str">
        <f t="shared" si="14"/>
        <v>2026-09</v>
      </c>
      <c r="F493" s="36">
        <f t="shared" si="15"/>
        <v>-1.0357815442561313E-2</v>
      </c>
      <c r="G493" s="1"/>
      <c r="H493" s="1"/>
    </row>
    <row r="494" spans="1:8" x14ac:dyDescent="0.3">
      <c r="A494" s="26">
        <v>46283</v>
      </c>
      <c r="B494" s="38" t="s">
        <v>61</v>
      </c>
      <c r="C494" s="35">
        <v>109.3</v>
      </c>
      <c r="D494" s="39">
        <v>90084892</v>
      </c>
      <c r="E494" s="1" t="str">
        <f t="shared" si="14"/>
        <v>2026-09</v>
      </c>
      <c r="F494" s="36">
        <f t="shared" si="15"/>
        <v>3.9961941008563207E-2</v>
      </c>
      <c r="G494" s="1"/>
      <c r="H494" s="1"/>
    </row>
    <row r="495" spans="1:8" x14ac:dyDescent="0.3">
      <c r="A495" s="26">
        <v>46286</v>
      </c>
      <c r="B495" s="38" t="s">
        <v>61</v>
      </c>
      <c r="C495" s="35">
        <v>112.6</v>
      </c>
      <c r="D495" s="39">
        <v>54733772</v>
      </c>
      <c r="E495" s="1" t="str">
        <f t="shared" si="14"/>
        <v>2026-09</v>
      </c>
      <c r="F495" s="36">
        <f t="shared" si="15"/>
        <v>3.019213174748403E-2</v>
      </c>
      <c r="G495" s="1"/>
      <c r="H495" s="1"/>
    </row>
    <row r="496" spans="1:8" x14ac:dyDescent="0.3">
      <c r="A496" s="26">
        <v>46287</v>
      </c>
      <c r="B496" s="38" t="s">
        <v>61</v>
      </c>
      <c r="C496" s="35">
        <v>114.8</v>
      </c>
      <c r="D496" s="39">
        <v>123942194</v>
      </c>
      <c r="E496" s="1" t="str">
        <f t="shared" si="14"/>
        <v>2026-09</v>
      </c>
      <c r="F496" s="36">
        <f t="shared" si="15"/>
        <v>1.9538188277087087E-2</v>
      </c>
      <c r="G496" s="1"/>
      <c r="H496" s="1"/>
    </row>
    <row r="497" spans="1:8" x14ac:dyDescent="0.3">
      <c r="A497" s="26">
        <v>46288</v>
      </c>
      <c r="B497" s="38" t="s">
        <v>61</v>
      </c>
      <c r="C497" s="35">
        <v>109.8</v>
      </c>
      <c r="D497" s="39">
        <v>86835983</v>
      </c>
      <c r="E497" s="1" t="str">
        <f t="shared" si="14"/>
        <v>2026-09</v>
      </c>
      <c r="F497" s="36">
        <f t="shared" si="15"/>
        <v>-4.355400696864109E-2</v>
      </c>
      <c r="G497" s="1"/>
      <c r="H497" s="1"/>
    </row>
    <row r="498" spans="1:8" x14ac:dyDescent="0.3">
      <c r="A498" s="26">
        <v>46289</v>
      </c>
      <c r="B498" s="38" t="s">
        <v>61</v>
      </c>
      <c r="C498" s="35">
        <v>110</v>
      </c>
      <c r="D498" s="39">
        <v>37259984</v>
      </c>
      <c r="E498" s="1" t="str">
        <f t="shared" si="14"/>
        <v>2026-09</v>
      </c>
      <c r="F498" s="36">
        <f t="shared" si="15"/>
        <v>1.8214936247722413E-3</v>
      </c>
      <c r="G498" s="1"/>
      <c r="H498" s="1"/>
    </row>
    <row r="499" spans="1:8" x14ac:dyDescent="0.3">
      <c r="A499" s="26">
        <v>46290</v>
      </c>
      <c r="B499" s="38" t="s">
        <v>61</v>
      </c>
      <c r="C499" s="35">
        <v>108.4</v>
      </c>
      <c r="D499" s="39">
        <v>28037888</v>
      </c>
      <c r="E499" s="1" t="str">
        <f t="shared" si="14"/>
        <v>2026-09</v>
      </c>
      <c r="F499" s="36">
        <f t="shared" si="15"/>
        <v>-1.4545454545454528E-2</v>
      </c>
      <c r="G499" s="1"/>
      <c r="H499" s="1"/>
    </row>
    <row r="500" spans="1:8" x14ac:dyDescent="0.3">
      <c r="A500" s="26">
        <v>46293</v>
      </c>
      <c r="B500" s="38" t="s">
        <v>61</v>
      </c>
      <c r="C500" s="35">
        <v>107.7</v>
      </c>
      <c r="D500" s="39">
        <v>45286580</v>
      </c>
      <c r="E500" s="1" t="str">
        <f t="shared" si="14"/>
        <v>2026-09</v>
      </c>
      <c r="F500" s="36">
        <f t="shared" si="15"/>
        <v>-6.4575645756458355E-3</v>
      </c>
      <c r="G500" s="1"/>
      <c r="H500" s="1"/>
    </row>
    <row r="501" spans="1:8" x14ac:dyDescent="0.3">
      <c r="A501" s="26">
        <v>46294</v>
      </c>
      <c r="B501" s="38" t="s">
        <v>61</v>
      </c>
      <c r="C501" s="35">
        <v>106.2</v>
      </c>
      <c r="D501" s="39">
        <v>57027476</v>
      </c>
      <c r="E501" s="1" t="str">
        <f t="shared" si="14"/>
        <v>2026-09</v>
      </c>
      <c r="F501" s="36">
        <f t="shared" si="15"/>
        <v>-1.3927576601671321E-2</v>
      </c>
      <c r="G501" s="1"/>
      <c r="H501" s="1"/>
    </row>
    <row r="502" spans="1:8" x14ac:dyDescent="0.3">
      <c r="A502" s="26">
        <v>46295</v>
      </c>
      <c r="B502" s="38" t="s">
        <v>61</v>
      </c>
      <c r="C502" s="35">
        <v>106.6</v>
      </c>
      <c r="D502" s="39">
        <v>47287932</v>
      </c>
      <c r="E502" s="1" t="str">
        <f t="shared" si="14"/>
        <v>2026-09</v>
      </c>
      <c r="F502" s="36">
        <f t="shared" si="15"/>
        <v>3.7664783427493465E-3</v>
      </c>
      <c r="G502" s="1"/>
      <c r="H502" s="1"/>
    </row>
    <row r="503" spans="1:8" x14ac:dyDescent="0.3">
      <c r="A503" s="26">
        <v>46297</v>
      </c>
      <c r="B503" s="38" t="s">
        <v>61</v>
      </c>
      <c r="C503" s="35">
        <v>104.4</v>
      </c>
      <c r="D503" s="39">
        <v>39772509</v>
      </c>
      <c r="E503" s="1" t="str">
        <f t="shared" si="14"/>
        <v>2026-10</v>
      </c>
      <c r="F503" s="36">
        <f t="shared" si="15"/>
        <v>-2.063789868667909E-2</v>
      </c>
      <c r="G503" s="1"/>
      <c r="H503" s="1"/>
    </row>
    <row r="504" spans="1:8" x14ac:dyDescent="0.3">
      <c r="A504" s="26">
        <v>46300</v>
      </c>
      <c r="B504" s="38" t="s">
        <v>61</v>
      </c>
      <c r="C504" s="35">
        <v>105.4</v>
      </c>
      <c r="D504" s="39">
        <v>24811599</v>
      </c>
      <c r="E504" s="1" t="str">
        <f t="shared" si="14"/>
        <v>2026-10</v>
      </c>
      <c r="F504" s="36">
        <f t="shared" si="15"/>
        <v>9.5785440613027628E-3</v>
      </c>
      <c r="G504" s="1"/>
      <c r="H504" s="1"/>
    </row>
    <row r="505" spans="1:8" x14ac:dyDescent="0.3">
      <c r="A505" s="26">
        <v>46301</v>
      </c>
      <c r="B505" s="38" t="s">
        <v>61</v>
      </c>
      <c r="C505" s="35">
        <v>108.2</v>
      </c>
      <c r="D505" s="39">
        <v>31496596</v>
      </c>
      <c r="E505" s="1" t="str">
        <f t="shared" si="14"/>
        <v>2026-10</v>
      </c>
      <c r="F505" s="36">
        <f t="shared" si="15"/>
        <v>2.6565464895635715E-2</v>
      </c>
      <c r="G505" s="1"/>
      <c r="H505" s="1"/>
    </row>
    <row r="506" spans="1:8" x14ac:dyDescent="0.3">
      <c r="A506" s="26">
        <v>46302</v>
      </c>
      <c r="B506" s="38" t="s">
        <v>61</v>
      </c>
      <c r="C506" s="35">
        <v>105.4</v>
      </c>
      <c r="D506" s="39">
        <v>59110253</v>
      </c>
      <c r="E506" s="1" t="str">
        <f t="shared" si="14"/>
        <v>2026-10</v>
      </c>
      <c r="F506" s="36">
        <f t="shared" si="15"/>
        <v>-2.5878003696857665E-2</v>
      </c>
      <c r="G506" s="1"/>
      <c r="H506" s="1"/>
    </row>
    <row r="507" spans="1:8" x14ac:dyDescent="0.3">
      <c r="A507" s="26">
        <v>46303</v>
      </c>
      <c r="B507" s="38" t="s">
        <v>61</v>
      </c>
      <c r="C507" s="35">
        <v>104.3</v>
      </c>
      <c r="D507" s="39">
        <v>66440072</v>
      </c>
      <c r="E507" s="1" t="str">
        <f t="shared" si="14"/>
        <v>2026-10</v>
      </c>
      <c r="F507" s="36">
        <f t="shared" si="15"/>
        <v>-1.0436432637571214E-2</v>
      </c>
      <c r="G507" s="1"/>
      <c r="H507" s="1"/>
    </row>
    <row r="508" spans="1:8" x14ac:dyDescent="0.3">
      <c r="A508" s="26">
        <v>46304</v>
      </c>
      <c r="B508" s="38" t="s">
        <v>61</v>
      </c>
      <c r="C508" s="35">
        <v>107</v>
      </c>
      <c r="D508" s="39">
        <v>72349748</v>
      </c>
      <c r="E508" s="1" t="str">
        <f t="shared" si="14"/>
        <v>2026-10</v>
      </c>
      <c r="F508" s="36">
        <f t="shared" si="15"/>
        <v>2.5886864813039256E-2</v>
      </c>
      <c r="G508" s="1"/>
      <c r="H508" s="1"/>
    </row>
    <row r="509" spans="1:8" x14ac:dyDescent="0.3">
      <c r="A509" s="26">
        <v>46307</v>
      </c>
      <c r="B509" s="38" t="s">
        <v>61</v>
      </c>
      <c r="C509" s="35">
        <v>108.2</v>
      </c>
      <c r="D509" s="39">
        <v>46617409</v>
      </c>
      <c r="E509" s="1" t="str">
        <f t="shared" si="14"/>
        <v>2026-10</v>
      </c>
      <c r="F509" s="36">
        <f t="shared" si="15"/>
        <v>1.1214953271028172E-2</v>
      </c>
      <c r="G509" s="1"/>
      <c r="H509" s="1"/>
    </row>
    <row r="510" spans="1:8" x14ac:dyDescent="0.3">
      <c r="A510" s="26">
        <v>46308</v>
      </c>
      <c r="B510" s="38" t="s">
        <v>61</v>
      </c>
      <c r="C510" s="35">
        <v>107.2</v>
      </c>
      <c r="D510" s="39">
        <v>49272346</v>
      </c>
      <c r="E510" s="1" t="str">
        <f t="shared" si="14"/>
        <v>2026-10</v>
      </c>
      <c r="F510" s="36">
        <f t="shared" si="15"/>
        <v>-9.2421441774491742E-3</v>
      </c>
      <c r="G510" s="1"/>
      <c r="H510" s="1"/>
    </row>
    <row r="511" spans="1:8" x14ac:dyDescent="0.3">
      <c r="A511" s="26">
        <v>46309</v>
      </c>
      <c r="B511" s="38" t="s">
        <v>61</v>
      </c>
      <c r="C511" s="35">
        <v>110.5</v>
      </c>
      <c r="D511" s="39">
        <v>101342353</v>
      </c>
      <c r="E511" s="1" t="str">
        <f t="shared" si="14"/>
        <v>2026-10</v>
      </c>
      <c r="F511" s="36">
        <f t="shared" si="15"/>
        <v>3.0783582089552119E-2</v>
      </c>
      <c r="G511" s="1"/>
      <c r="H511" s="1"/>
    </row>
    <row r="512" spans="1:8" x14ac:dyDescent="0.3">
      <c r="A512" s="26">
        <v>46310</v>
      </c>
      <c r="B512" s="38" t="s">
        <v>61</v>
      </c>
      <c r="C512" s="35">
        <v>106.4</v>
      </c>
      <c r="D512" s="39">
        <v>79762680</v>
      </c>
      <c r="E512" s="1" t="str">
        <f t="shared" si="14"/>
        <v>2026-10</v>
      </c>
      <c r="F512" s="36">
        <f t="shared" si="15"/>
        <v>-3.7104072398190024E-2</v>
      </c>
      <c r="G512" s="1"/>
      <c r="H512" s="1"/>
    </row>
    <row r="513" spans="1:8" x14ac:dyDescent="0.3">
      <c r="A513" s="26">
        <v>46311</v>
      </c>
      <c r="B513" s="38" t="s">
        <v>61</v>
      </c>
      <c r="C513" s="35">
        <v>108.8</v>
      </c>
      <c r="D513" s="39">
        <v>51610590</v>
      </c>
      <c r="E513" s="1" t="str">
        <f t="shared" si="14"/>
        <v>2026-10</v>
      </c>
      <c r="F513" s="36">
        <f t="shared" si="15"/>
        <v>2.2556390977443552E-2</v>
      </c>
      <c r="G513" s="1"/>
      <c r="H513" s="1"/>
    </row>
    <row r="514" spans="1:8" x14ac:dyDescent="0.3">
      <c r="A514" s="26">
        <v>45932</v>
      </c>
      <c r="B514" s="38" t="s">
        <v>63</v>
      </c>
      <c r="C514" s="35">
        <v>105.97799999999999</v>
      </c>
      <c r="D514" s="39">
        <v>14287215</v>
      </c>
      <c r="E514" s="1" t="str">
        <f t="shared" ref="E514:E577" si="16">TEXT(A514,"yyyy-mm")</f>
        <v>2025-10</v>
      </c>
      <c r="F514" s="36">
        <f t="shared" si="15"/>
        <v>0</v>
      </c>
      <c r="G514" s="1"/>
      <c r="H514" s="1"/>
    </row>
    <row r="515" spans="1:8" x14ac:dyDescent="0.3">
      <c r="A515" s="26">
        <v>45933</v>
      </c>
      <c r="B515" s="38" t="s">
        <v>63</v>
      </c>
      <c r="C515" s="35">
        <v>105.1172</v>
      </c>
      <c r="D515" s="39">
        <v>9743604</v>
      </c>
      <c r="E515" s="1" t="str">
        <f t="shared" si="16"/>
        <v>2025-10</v>
      </c>
      <c r="F515" s="36">
        <f t="shared" ref="F515:F578" si="17">IF(B515=B514,C515/C514-1,0)</f>
        <v>-8.1224405065202232E-3</v>
      </c>
      <c r="G515" s="1"/>
      <c r="H515" s="1"/>
    </row>
    <row r="516" spans="1:8" x14ac:dyDescent="0.3">
      <c r="A516" s="26">
        <v>45936</v>
      </c>
      <c r="B516" s="38" t="s">
        <v>63</v>
      </c>
      <c r="C516" s="35">
        <v>106.0737</v>
      </c>
      <c r="D516" s="39">
        <v>15257276</v>
      </c>
      <c r="E516" s="1" t="str">
        <f t="shared" si="16"/>
        <v>2025-10</v>
      </c>
      <c r="F516" s="36">
        <f t="shared" si="17"/>
        <v>9.0993671825354561E-3</v>
      </c>
      <c r="G516" s="1"/>
      <c r="H516" s="1"/>
    </row>
    <row r="517" spans="1:8" x14ac:dyDescent="0.3">
      <c r="A517" s="26">
        <v>45938</v>
      </c>
      <c r="B517" s="38" t="s">
        <v>63</v>
      </c>
      <c r="C517" s="35">
        <v>105.7867</v>
      </c>
      <c r="D517" s="39">
        <v>10546369</v>
      </c>
      <c r="E517" s="1" t="str">
        <f t="shared" si="16"/>
        <v>2025-10</v>
      </c>
      <c r="F517" s="36">
        <f t="shared" si="17"/>
        <v>-2.7056659662103577E-3</v>
      </c>
      <c r="G517" s="1"/>
      <c r="H517" s="1"/>
    </row>
    <row r="518" spans="1:8" x14ac:dyDescent="0.3">
      <c r="A518" s="26">
        <v>45939</v>
      </c>
      <c r="B518" s="38" t="s">
        <v>63</v>
      </c>
      <c r="C518" s="35">
        <v>99.474000000000004</v>
      </c>
      <c r="D518" s="39">
        <v>92919887</v>
      </c>
      <c r="E518" s="1" t="str">
        <f t="shared" si="16"/>
        <v>2025-10</v>
      </c>
      <c r="F518" s="36">
        <f t="shared" si="17"/>
        <v>-5.9673853140328581E-2</v>
      </c>
      <c r="G518" s="1"/>
      <c r="H518" s="1"/>
    </row>
    <row r="519" spans="1:8" x14ac:dyDescent="0.3">
      <c r="A519" s="26">
        <v>45940</v>
      </c>
      <c r="B519" s="38" t="s">
        <v>63</v>
      </c>
      <c r="C519" s="35">
        <v>98.995699999999999</v>
      </c>
      <c r="D519" s="39">
        <v>36090348</v>
      </c>
      <c r="E519" s="1" t="str">
        <f t="shared" si="16"/>
        <v>2025-10</v>
      </c>
      <c r="F519" s="36">
        <f t="shared" si="17"/>
        <v>-4.8082916138890708E-3</v>
      </c>
      <c r="G519" s="1"/>
      <c r="H519" s="1"/>
    </row>
    <row r="520" spans="1:8" x14ac:dyDescent="0.3">
      <c r="A520" s="26">
        <v>45943</v>
      </c>
      <c r="B520" s="38" t="s">
        <v>63</v>
      </c>
      <c r="C520" s="35">
        <v>98.134900000000002</v>
      </c>
      <c r="D520" s="39">
        <v>35129469</v>
      </c>
      <c r="E520" s="1" t="str">
        <f t="shared" si="16"/>
        <v>2025-10</v>
      </c>
      <c r="F520" s="36">
        <f t="shared" si="17"/>
        <v>-8.6953271707760349E-3</v>
      </c>
      <c r="G520" s="1"/>
      <c r="H520" s="1"/>
    </row>
    <row r="521" spans="1:8" x14ac:dyDescent="0.3">
      <c r="A521" s="26">
        <v>45944</v>
      </c>
      <c r="B521" s="38" t="s">
        <v>63</v>
      </c>
      <c r="C521" s="35">
        <v>97.465299999999999</v>
      </c>
      <c r="D521" s="39">
        <v>24066211</v>
      </c>
      <c r="E521" s="1" t="str">
        <f t="shared" si="16"/>
        <v>2025-10</v>
      </c>
      <c r="F521" s="36">
        <f t="shared" si="17"/>
        <v>-6.8232606340863367E-3</v>
      </c>
      <c r="G521" s="1"/>
      <c r="H521" s="1"/>
    </row>
    <row r="522" spans="1:8" x14ac:dyDescent="0.3">
      <c r="A522" s="26">
        <v>45945</v>
      </c>
      <c r="B522" s="38" t="s">
        <v>63</v>
      </c>
      <c r="C522" s="35">
        <v>98.995699999999999</v>
      </c>
      <c r="D522" s="39">
        <v>16340175</v>
      </c>
      <c r="E522" s="1" t="str">
        <f t="shared" si="16"/>
        <v>2025-10</v>
      </c>
      <c r="F522" s="36">
        <f t="shared" si="17"/>
        <v>1.570199855743537E-2</v>
      </c>
      <c r="G522" s="1"/>
      <c r="H522" s="1"/>
    </row>
    <row r="523" spans="1:8" x14ac:dyDescent="0.3">
      <c r="A523" s="26">
        <v>45946</v>
      </c>
      <c r="B523" s="38" t="s">
        <v>63</v>
      </c>
      <c r="C523" s="35">
        <v>98.421800000000005</v>
      </c>
      <c r="D523" s="39">
        <v>20032905</v>
      </c>
      <c r="E523" s="1" t="str">
        <f t="shared" si="16"/>
        <v>2025-10</v>
      </c>
      <c r="F523" s="36">
        <f t="shared" si="17"/>
        <v>-5.7972214954790102E-3</v>
      </c>
      <c r="G523" s="1"/>
      <c r="H523" s="1"/>
    </row>
    <row r="524" spans="1:8" x14ac:dyDescent="0.3">
      <c r="A524" s="26">
        <v>45947</v>
      </c>
      <c r="B524" s="38" t="s">
        <v>63</v>
      </c>
      <c r="C524" s="35">
        <v>96.508899999999997</v>
      </c>
      <c r="D524" s="39">
        <v>25380495</v>
      </c>
      <c r="E524" s="1" t="str">
        <f t="shared" si="16"/>
        <v>2025-10</v>
      </c>
      <c r="F524" s="36">
        <f t="shared" si="17"/>
        <v>-1.9435734766078294E-2</v>
      </c>
      <c r="G524" s="1"/>
      <c r="H524" s="1"/>
    </row>
    <row r="525" spans="1:8" x14ac:dyDescent="0.3">
      <c r="A525" s="26">
        <v>45950</v>
      </c>
      <c r="B525" s="38" t="s">
        <v>63</v>
      </c>
      <c r="C525" s="35">
        <v>97.656599999999997</v>
      </c>
      <c r="D525" s="39">
        <v>14257592</v>
      </c>
      <c r="E525" s="1" t="str">
        <f t="shared" si="16"/>
        <v>2025-10</v>
      </c>
      <c r="F525" s="36">
        <f t="shared" si="17"/>
        <v>1.1892167458130709E-2</v>
      </c>
      <c r="G525" s="1"/>
      <c r="H525" s="1"/>
    </row>
    <row r="526" spans="1:8" x14ac:dyDescent="0.3">
      <c r="A526" s="26">
        <v>45951</v>
      </c>
      <c r="B526" s="38" t="s">
        <v>63</v>
      </c>
      <c r="C526" s="35">
        <v>97.943600000000004</v>
      </c>
      <c r="D526" s="39">
        <v>17638573</v>
      </c>
      <c r="E526" s="1" t="str">
        <f t="shared" si="16"/>
        <v>2025-10</v>
      </c>
      <c r="F526" s="36">
        <f t="shared" si="17"/>
        <v>2.9388694670919868E-3</v>
      </c>
      <c r="G526" s="1"/>
      <c r="H526" s="1"/>
    </row>
    <row r="527" spans="1:8" x14ac:dyDescent="0.3">
      <c r="A527" s="26">
        <v>45952</v>
      </c>
      <c r="B527" s="38" t="s">
        <v>63</v>
      </c>
      <c r="C527" s="35">
        <v>98.039199999999994</v>
      </c>
      <c r="D527" s="39">
        <v>9717663</v>
      </c>
      <c r="E527" s="1" t="str">
        <f t="shared" si="16"/>
        <v>2025-10</v>
      </c>
      <c r="F527" s="36">
        <f t="shared" si="17"/>
        <v>9.7607194344484505E-4</v>
      </c>
      <c r="G527" s="1"/>
      <c r="H527" s="1"/>
    </row>
    <row r="528" spans="1:8" x14ac:dyDescent="0.3">
      <c r="A528" s="26">
        <v>45953</v>
      </c>
      <c r="B528" s="38" t="s">
        <v>63</v>
      </c>
      <c r="C528" s="35">
        <v>98.230500000000006</v>
      </c>
      <c r="D528" s="39">
        <v>7515170</v>
      </c>
      <c r="E528" s="1" t="str">
        <f t="shared" si="16"/>
        <v>2025-10</v>
      </c>
      <c r="F528" s="36">
        <f t="shared" si="17"/>
        <v>1.9512603122018302E-3</v>
      </c>
      <c r="G528" s="1"/>
      <c r="H528" s="1"/>
    </row>
    <row r="529" spans="1:8" x14ac:dyDescent="0.3">
      <c r="A529" s="26">
        <v>45954</v>
      </c>
      <c r="B529" s="38" t="s">
        <v>63</v>
      </c>
      <c r="C529" s="35">
        <v>98.613100000000003</v>
      </c>
      <c r="D529" s="39">
        <v>12264938</v>
      </c>
      <c r="E529" s="1" t="str">
        <f t="shared" si="16"/>
        <v>2025-10</v>
      </c>
      <c r="F529" s="36">
        <f t="shared" si="17"/>
        <v>3.894920620377551E-3</v>
      </c>
      <c r="G529" s="1"/>
      <c r="H529" s="1"/>
    </row>
    <row r="530" spans="1:8" x14ac:dyDescent="0.3">
      <c r="A530" s="26">
        <v>45957</v>
      </c>
      <c r="B530" s="38" t="s">
        <v>63</v>
      </c>
      <c r="C530" s="35">
        <v>97.561000000000007</v>
      </c>
      <c r="D530" s="39">
        <v>22950060</v>
      </c>
      <c r="E530" s="1" t="str">
        <f t="shared" si="16"/>
        <v>2025-10</v>
      </c>
      <c r="F530" s="36">
        <f t="shared" si="17"/>
        <v>-1.0668967916027339E-2</v>
      </c>
      <c r="G530" s="1"/>
      <c r="H530" s="1"/>
    </row>
    <row r="531" spans="1:8" x14ac:dyDescent="0.3">
      <c r="A531" s="26">
        <v>45958</v>
      </c>
      <c r="B531" s="38" t="s">
        <v>63</v>
      </c>
      <c r="C531" s="35">
        <v>101.8652</v>
      </c>
      <c r="D531" s="39">
        <v>30318072</v>
      </c>
      <c r="E531" s="1" t="str">
        <f t="shared" si="16"/>
        <v>2025-10</v>
      </c>
      <c r="F531" s="36">
        <f t="shared" si="17"/>
        <v>4.411803897049027E-2</v>
      </c>
      <c r="G531" s="1"/>
      <c r="H531" s="1"/>
    </row>
    <row r="532" spans="1:8" x14ac:dyDescent="0.3">
      <c r="A532" s="26">
        <v>45960</v>
      </c>
      <c r="B532" s="38" t="s">
        <v>63</v>
      </c>
      <c r="C532" s="35">
        <v>103.29989999999999</v>
      </c>
      <c r="D532" s="39">
        <v>23739703</v>
      </c>
      <c r="E532" s="1" t="str">
        <f t="shared" si="16"/>
        <v>2025-10</v>
      </c>
      <c r="F532" s="36">
        <f t="shared" si="17"/>
        <v>1.4084299643057685E-2</v>
      </c>
      <c r="G532" s="1"/>
      <c r="H532" s="1"/>
    </row>
    <row r="533" spans="1:8" x14ac:dyDescent="0.3">
      <c r="A533" s="26">
        <v>45961</v>
      </c>
      <c r="B533" s="38" t="s">
        <v>63</v>
      </c>
      <c r="C533" s="35">
        <v>103.3955</v>
      </c>
      <c r="D533" s="39">
        <v>10578102</v>
      </c>
      <c r="E533" s="1" t="str">
        <f t="shared" si="16"/>
        <v>2025-10</v>
      </c>
      <c r="F533" s="36">
        <f t="shared" si="17"/>
        <v>9.2546072164645388E-4</v>
      </c>
      <c r="G533" s="1"/>
      <c r="H533" s="1"/>
    </row>
    <row r="534" spans="1:8" x14ac:dyDescent="0.3">
      <c r="A534" s="26">
        <v>45964</v>
      </c>
      <c r="B534" s="38" t="s">
        <v>63</v>
      </c>
      <c r="C534" s="35">
        <v>103.5868</v>
      </c>
      <c r="D534" s="39">
        <v>6430188</v>
      </c>
      <c r="E534" s="1" t="str">
        <f t="shared" si="16"/>
        <v>2025-11</v>
      </c>
      <c r="F534" s="36">
        <f t="shared" si="17"/>
        <v>1.8501772320844712E-3</v>
      </c>
      <c r="G534" s="1"/>
      <c r="H534" s="1"/>
    </row>
    <row r="535" spans="1:8" x14ac:dyDescent="0.3">
      <c r="A535" s="26">
        <v>45965</v>
      </c>
      <c r="B535" s="38" t="s">
        <v>63</v>
      </c>
      <c r="C535" s="35">
        <v>103.29989999999999</v>
      </c>
      <c r="D535" s="39">
        <v>9496069</v>
      </c>
      <c r="E535" s="1" t="str">
        <f t="shared" si="16"/>
        <v>2025-11</v>
      </c>
      <c r="F535" s="36">
        <f t="shared" si="17"/>
        <v>-2.7696579100812135E-3</v>
      </c>
      <c r="G535" s="1"/>
      <c r="H535" s="1"/>
    </row>
    <row r="536" spans="1:8" x14ac:dyDescent="0.3">
      <c r="A536" s="26">
        <v>45966</v>
      </c>
      <c r="B536" s="38" t="s">
        <v>63</v>
      </c>
      <c r="C536" s="35">
        <v>103.49120000000001</v>
      </c>
      <c r="D536" s="39">
        <v>10200607</v>
      </c>
      <c r="E536" s="1" t="str">
        <f t="shared" si="16"/>
        <v>2025-11</v>
      </c>
      <c r="F536" s="36">
        <f t="shared" si="17"/>
        <v>1.8518894984411727E-3</v>
      </c>
      <c r="G536" s="1"/>
      <c r="H536" s="1"/>
    </row>
    <row r="537" spans="1:8" x14ac:dyDescent="0.3">
      <c r="A537" s="26">
        <v>45967</v>
      </c>
      <c r="B537" s="38" t="s">
        <v>63</v>
      </c>
      <c r="C537" s="35">
        <v>106.6489</v>
      </c>
      <c r="D537" s="39">
        <v>19883780</v>
      </c>
      <c r="E537" s="1" t="str">
        <f t="shared" si="16"/>
        <v>2025-11</v>
      </c>
      <c r="F537" s="36">
        <f t="shared" si="17"/>
        <v>3.0511772981663965E-2</v>
      </c>
      <c r="G537" s="1"/>
      <c r="H537" s="1"/>
    </row>
    <row r="538" spans="1:8" x14ac:dyDescent="0.3">
      <c r="A538" s="26">
        <v>45968</v>
      </c>
      <c r="B538" s="38" t="s">
        <v>63</v>
      </c>
      <c r="C538" s="35">
        <v>105.9746</v>
      </c>
      <c r="D538" s="39">
        <v>9251490</v>
      </c>
      <c r="E538" s="1" t="str">
        <f t="shared" si="16"/>
        <v>2025-11</v>
      </c>
      <c r="F538" s="36">
        <f t="shared" si="17"/>
        <v>-6.3226156106627185E-3</v>
      </c>
      <c r="G538" s="1"/>
      <c r="H538" s="1"/>
    </row>
    <row r="539" spans="1:8" x14ac:dyDescent="0.3">
      <c r="A539" s="26">
        <v>45971</v>
      </c>
      <c r="B539" s="38" t="s">
        <v>63</v>
      </c>
      <c r="C539" s="35">
        <v>106.4563</v>
      </c>
      <c r="D539" s="39">
        <v>8965474</v>
      </c>
      <c r="E539" s="1" t="str">
        <f t="shared" si="16"/>
        <v>2025-11</v>
      </c>
      <c r="F539" s="36">
        <f t="shared" si="17"/>
        <v>4.5454288102999563E-3</v>
      </c>
      <c r="G539" s="1"/>
      <c r="H539" s="1"/>
    </row>
    <row r="540" spans="1:8" x14ac:dyDescent="0.3">
      <c r="A540" s="26">
        <v>45972</v>
      </c>
      <c r="B540" s="38" t="s">
        <v>63</v>
      </c>
      <c r="C540" s="35">
        <v>108.2867</v>
      </c>
      <c r="D540" s="39">
        <v>14732300</v>
      </c>
      <c r="E540" s="1" t="str">
        <f t="shared" si="16"/>
        <v>2025-11</v>
      </c>
      <c r="F540" s="36">
        <f t="shared" si="17"/>
        <v>1.7193909613615999E-2</v>
      </c>
      <c r="G540" s="1"/>
      <c r="H540" s="1"/>
    </row>
    <row r="541" spans="1:8" x14ac:dyDescent="0.3">
      <c r="A541" s="26">
        <v>45973</v>
      </c>
      <c r="B541" s="38" t="s">
        <v>63</v>
      </c>
      <c r="C541" s="35">
        <v>109.34650000000001</v>
      </c>
      <c r="D541" s="39">
        <v>14317119</v>
      </c>
      <c r="E541" s="1" t="str">
        <f t="shared" si="16"/>
        <v>2025-11</v>
      </c>
      <c r="F541" s="36">
        <f t="shared" si="17"/>
        <v>9.7869821501626042E-3</v>
      </c>
      <c r="G541" s="1"/>
      <c r="H541" s="1"/>
    </row>
    <row r="542" spans="1:8" x14ac:dyDescent="0.3">
      <c r="A542" s="26">
        <v>45974</v>
      </c>
      <c r="B542" s="38" t="s">
        <v>63</v>
      </c>
      <c r="C542" s="35">
        <v>110.1172</v>
      </c>
      <c r="D542" s="39">
        <v>13596262</v>
      </c>
      <c r="E542" s="1" t="str">
        <f t="shared" si="16"/>
        <v>2025-11</v>
      </c>
      <c r="F542" s="36">
        <f t="shared" si="17"/>
        <v>7.0482365690716087E-3</v>
      </c>
      <c r="G542" s="1"/>
      <c r="H542" s="1"/>
    </row>
    <row r="543" spans="1:8" x14ac:dyDescent="0.3">
      <c r="A543" s="26">
        <v>45975</v>
      </c>
      <c r="B543" s="38" t="s">
        <v>63</v>
      </c>
      <c r="C543" s="35">
        <v>108.7684</v>
      </c>
      <c r="D543" s="39">
        <v>9511429</v>
      </c>
      <c r="E543" s="1" t="str">
        <f t="shared" si="16"/>
        <v>2025-11</v>
      </c>
      <c r="F543" s="36">
        <f t="shared" si="17"/>
        <v>-1.2248767676620864E-2</v>
      </c>
      <c r="G543" s="1"/>
      <c r="H543" s="1"/>
    </row>
    <row r="544" spans="1:8" x14ac:dyDescent="0.3">
      <c r="A544" s="26">
        <v>45978</v>
      </c>
      <c r="B544" s="38" t="s">
        <v>63</v>
      </c>
      <c r="C544" s="35">
        <v>107.99769999999999</v>
      </c>
      <c r="D544" s="39">
        <v>8779723</v>
      </c>
      <c r="E544" s="1" t="str">
        <f t="shared" si="16"/>
        <v>2025-11</v>
      </c>
      <c r="F544" s="36">
        <f t="shared" si="17"/>
        <v>-7.0856976842539332E-3</v>
      </c>
      <c r="G544" s="1"/>
      <c r="H544" s="1"/>
    </row>
    <row r="545" spans="1:8" x14ac:dyDescent="0.3">
      <c r="A545" s="26">
        <v>45979</v>
      </c>
      <c r="B545" s="38" t="s">
        <v>63</v>
      </c>
      <c r="C545" s="35">
        <v>105.58920000000001</v>
      </c>
      <c r="D545" s="39">
        <v>14883339</v>
      </c>
      <c r="E545" s="1" t="str">
        <f t="shared" si="16"/>
        <v>2025-11</v>
      </c>
      <c r="F545" s="36">
        <f t="shared" si="17"/>
        <v>-2.2301400863166454E-2</v>
      </c>
      <c r="G545" s="1"/>
      <c r="H545" s="1"/>
    </row>
    <row r="546" spans="1:8" x14ac:dyDescent="0.3">
      <c r="A546" s="26">
        <v>45980</v>
      </c>
      <c r="B546" s="38" t="s">
        <v>63</v>
      </c>
      <c r="C546" s="35">
        <v>103.85509999999999</v>
      </c>
      <c r="D546" s="39">
        <v>12267840</v>
      </c>
      <c r="E546" s="1" t="str">
        <f t="shared" si="16"/>
        <v>2025-11</v>
      </c>
      <c r="F546" s="36">
        <f t="shared" si="17"/>
        <v>-1.6423081148450924E-2</v>
      </c>
      <c r="G546" s="1"/>
      <c r="H546" s="1"/>
    </row>
    <row r="547" spans="1:8" x14ac:dyDescent="0.3">
      <c r="A547" s="26">
        <v>45981</v>
      </c>
      <c r="B547" s="38" t="s">
        <v>63</v>
      </c>
      <c r="C547" s="35">
        <v>103.66240000000001</v>
      </c>
      <c r="D547" s="39">
        <v>9430635</v>
      </c>
      <c r="E547" s="1" t="str">
        <f t="shared" si="16"/>
        <v>2025-11</v>
      </c>
      <c r="F547" s="36">
        <f t="shared" si="17"/>
        <v>-1.8554697843436996E-3</v>
      </c>
      <c r="G547" s="1"/>
      <c r="H547" s="1"/>
    </row>
    <row r="548" spans="1:8" x14ac:dyDescent="0.3">
      <c r="A548" s="26">
        <v>45982</v>
      </c>
      <c r="B548" s="38" t="s">
        <v>63</v>
      </c>
      <c r="C548" s="35">
        <v>101.2539</v>
      </c>
      <c r="D548" s="39">
        <v>13752751</v>
      </c>
      <c r="E548" s="1" t="str">
        <f t="shared" si="16"/>
        <v>2025-11</v>
      </c>
      <c r="F548" s="36">
        <f t="shared" si="17"/>
        <v>-2.3234075228819706E-2</v>
      </c>
      <c r="G548" s="1"/>
      <c r="H548" s="1"/>
    </row>
    <row r="549" spans="1:8" x14ac:dyDescent="0.3">
      <c r="A549" s="26">
        <v>45985</v>
      </c>
      <c r="B549" s="38" t="s">
        <v>63</v>
      </c>
      <c r="C549" s="35">
        <v>103.3734</v>
      </c>
      <c r="D549" s="39">
        <v>12057743</v>
      </c>
      <c r="E549" s="1" t="str">
        <f t="shared" si="16"/>
        <v>2025-11</v>
      </c>
      <c r="F549" s="36">
        <f t="shared" si="17"/>
        <v>2.0932527043402871E-2</v>
      </c>
      <c r="G549" s="1"/>
      <c r="H549" s="1"/>
    </row>
    <row r="550" spans="1:8" x14ac:dyDescent="0.3">
      <c r="A550" s="26">
        <v>45986</v>
      </c>
      <c r="B550" s="38" t="s">
        <v>63</v>
      </c>
      <c r="C550" s="35">
        <v>102.8917</v>
      </c>
      <c r="D550" s="39">
        <v>10642240</v>
      </c>
      <c r="E550" s="1" t="str">
        <f t="shared" si="16"/>
        <v>2025-11</v>
      </c>
      <c r="F550" s="36">
        <f t="shared" si="17"/>
        <v>-4.6598061009892611E-3</v>
      </c>
      <c r="G550" s="1"/>
      <c r="H550" s="1"/>
    </row>
    <row r="551" spans="1:8" x14ac:dyDescent="0.3">
      <c r="A551" s="26">
        <v>45987</v>
      </c>
      <c r="B551" s="38" t="s">
        <v>63</v>
      </c>
      <c r="C551" s="35">
        <v>103.66240000000001</v>
      </c>
      <c r="D551" s="39">
        <v>10128177</v>
      </c>
      <c r="E551" s="1" t="str">
        <f t="shared" si="16"/>
        <v>2025-11</v>
      </c>
      <c r="F551" s="36">
        <f t="shared" si="17"/>
        <v>7.4904001002997767E-3</v>
      </c>
      <c r="G551" s="1"/>
      <c r="H551" s="1"/>
    </row>
    <row r="552" spans="1:8" x14ac:dyDescent="0.3">
      <c r="A552" s="26">
        <v>45988</v>
      </c>
      <c r="B552" s="38" t="s">
        <v>63</v>
      </c>
      <c r="C552" s="35">
        <v>105.0112</v>
      </c>
      <c r="D552" s="39">
        <v>16714313</v>
      </c>
      <c r="E552" s="1" t="str">
        <f t="shared" si="16"/>
        <v>2025-11</v>
      </c>
      <c r="F552" s="36">
        <f t="shared" si="17"/>
        <v>1.3011467996110415E-2</v>
      </c>
      <c r="G552" s="1"/>
      <c r="H552" s="1"/>
    </row>
    <row r="553" spans="1:8" x14ac:dyDescent="0.3">
      <c r="A553" s="26">
        <v>45989</v>
      </c>
      <c r="B553" s="38" t="s">
        <v>63</v>
      </c>
      <c r="C553" s="35">
        <v>105.3002</v>
      </c>
      <c r="D553" s="39">
        <v>6108819</v>
      </c>
      <c r="E553" s="1" t="str">
        <f t="shared" si="16"/>
        <v>2025-11</v>
      </c>
      <c r="F553" s="36">
        <f t="shared" si="17"/>
        <v>2.752087396391989E-3</v>
      </c>
      <c r="G553" s="1"/>
      <c r="H553" s="1"/>
    </row>
    <row r="554" spans="1:8" x14ac:dyDescent="0.3">
      <c r="A554" s="26">
        <v>45992</v>
      </c>
      <c r="B554" s="38" t="s">
        <v>63</v>
      </c>
      <c r="C554" s="35">
        <v>106.4563</v>
      </c>
      <c r="D554" s="39">
        <v>9127025</v>
      </c>
      <c r="E554" s="1" t="str">
        <f t="shared" si="16"/>
        <v>2025-12</v>
      </c>
      <c r="F554" s="36">
        <f t="shared" si="17"/>
        <v>1.0979086459474763E-2</v>
      </c>
      <c r="G554" s="1"/>
      <c r="H554" s="1"/>
    </row>
    <row r="555" spans="1:8" x14ac:dyDescent="0.3">
      <c r="A555" s="26">
        <v>45993</v>
      </c>
      <c r="B555" s="38" t="s">
        <v>63</v>
      </c>
      <c r="C555" s="35">
        <v>106.938</v>
      </c>
      <c r="D555" s="39">
        <v>7973452</v>
      </c>
      <c r="E555" s="1" t="str">
        <f t="shared" si="16"/>
        <v>2025-12</v>
      </c>
      <c r="F555" s="36">
        <f t="shared" si="17"/>
        <v>4.5248613750430433E-3</v>
      </c>
      <c r="G555" s="1"/>
      <c r="H555" s="1"/>
    </row>
    <row r="556" spans="1:8" x14ac:dyDescent="0.3">
      <c r="A556" s="26">
        <v>45994</v>
      </c>
      <c r="B556" s="38" t="s">
        <v>63</v>
      </c>
      <c r="C556" s="35">
        <v>107.1306</v>
      </c>
      <c r="D556" s="39">
        <v>10933998</v>
      </c>
      <c r="E556" s="1" t="str">
        <f t="shared" si="16"/>
        <v>2025-12</v>
      </c>
      <c r="F556" s="36">
        <f t="shared" si="17"/>
        <v>1.8010435953543791E-3</v>
      </c>
      <c r="G556" s="1"/>
      <c r="H556" s="1"/>
    </row>
    <row r="557" spans="1:8" x14ac:dyDescent="0.3">
      <c r="A557" s="26">
        <v>45995</v>
      </c>
      <c r="B557" s="38" t="s">
        <v>63</v>
      </c>
      <c r="C557" s="35">
        <v>107.41970000000001</v>
      </c>
      <c r="D557" s="39">
        <v>8153363</v>
      </c>
      <c r="E557" s="1" t="str">
        <f t="shared" si="16"/>
        <v>2025-12</v>
      </c>
      <c r="F557" s="36">
        <f t="shared" si="17"/>
        <v>2.6985753836905602E-3</v>
      </c>
      <c r="G557" s="1"/>
      <c r="H557" s="1"/>
    </row>
    <row r="558" spans="1:8" x14ac:dyDescent="0.3">
      <c r="A558" s="26">
        <v>45996</v>
      </c>
      <c r="B558" s="38" t="s">
        <v>63</v>
      </c>
      <c r="C558" s="35">
        <v>106.938</v>
      </c>
      <c r="D558" s="39">
        <v>21391217</v>
      </c>
      <c r="E558" s="1" t="str">
        <f t="shared" si="16"/>
        <v>2025-12</v>
      </c>
      <c r="F558" s="36">
        <f t="shared" si="17"/>
        <v>-4.4842798853469423E-3</v>
      </c>
      <c r="G558" s="1"/>
      <c r="H558" s="1"/>
    </row>
    <row r="559" spans="1:8" x14ac:dyDescent="0.3">
      <c r="A559" s="26">
        <v>45999</v>
      </c>
      <c r="B559" s="38" t="s">
        <v>63</v>
      </c>
      <c r="C559" s="35">
        <v>105.1075</v>
      </c>
      <c r="D559" s="39">
        <v>19058791</v>
      </c>
      <c r="E559" s="1" t="str">
        <f t="shared" si="16"/>
        <v>2025-12</v>
      </c>
      <c r="F559" s="36">
        <f t="shared" si="17"/>
        <v>-1.711739512614785E-2</v>
      </c>
      <c r="G559" s="1"/>
      <c r="H559" s="1"/>
    </row>
    <row r="560" spans="1:8" x14ac:dyDescent="0.3">
      <c r="A560" s="26">
        <v>46000</v>
      </c>
      <c r="B560" s="38" t="s">
        <v>63</v>
      </c>
      <c r="C560" s="35">
        <v>105.49290000000001</v>
      </c>
      <c r="D560" s="39">
        <v>11079729</v>
      </c>
      <c r="E560" s="1" t="str">
        <f t="shared" si="16"/>
        <v>2025-12</v>
      </c>
      <c r="F560" s="36">
        <f t="shared" si="17"/>
        <v>3.6667221654020921E-3</v>
      </c>
      <c r="G560" s="1"/>
      <c r="H560" s="1"/>
    </row>
    <row r="561" spans="1:8" x14ac:dyDescent="0.3">
      <c r="A561" s="26">
        <v>46001</v>
      </c>
      <c r="B561" s="38" t="s">
        <v>63</v>
      </c>
      <c r="C561" s="35">
        <v>107.6123</v>
      </c>
      <c r="D561" s="39">
        <v>15672710</v>
      </c>
      <c r="E561" s="1" t="str">
        <f t="shared" si="16"/>
        <v>2025-12</v>
      </c>
      <c r="F561" s="36">
        <f t="shared" si="17"/>
        <v>2.0090451584893421E-2</v>
      </c>
      <c r="G561" s="1"/>
      <c r="H561" s="1"/>
    </row>
    <row r="562" spans="1:8" x14ac:dyDescent="0.3">
      <c r="A562" s="26">
        <v>46002</v>
      </c>
      <c r="B562" s="38" t="s">
        <v>63</v>
      </c>
      <c r="C562" s="35">
        <v>109.8282</v>
      </c>
      <c r="D562" s="39">
        <v>21622514</v>
      </c>
      <c r="E562" s="1" t="str">
        <f t="shared" si="16"/>
        <v>2025-12</v>
      </c>
      <c r="F562" s="36">
        <f t="shared" si="17"/>
        <v>2.0591512308537174E-2</v>
      </c>
      <c r="G562" s="1"/>
      <c r="H562" s="1"/>
    </row>
    <row r="563" spans="1:8" x14ac:dyDescent="0.3">
      <c r="A563" s="26">
        <v>46003</v>
      </c>
      <c r="B563" s="38" t="s">
        <v>63</v>
      </c>
      <c r="C563" s="35">
        <v>113.0074</v>
      </c>
      <c r="D563" s="39">
        <v>33397964</v>
      </c>
      <c r="E563" s="1" t="str">
        <f t="shared" si="16"/>
        <v>2025-12</v>
      </c>
      <c r="F563" s="36">
        <f t="shared" si="17"/>
        <v>2.8947028176734335E-2</v>
      </c>
      <c r="G563" s="1"/>
      <c r="H563" s="1"/>
    </row>
    <row r="564" spans="1:8" x14ac:dyDescent="0.3">
      <c r="A564" s="26">
        <v>46006</v>
      </c>
      <c r="B564" s="38" t="s">
        <v>63</v>
      </c>
      <c r="C564" s="35">
        <v>111.9477</v>
      </c>
      <c r="D564" s="39">
        <v>11925266</v>
      </c>
      <c r="E564" s="1" t="str">
        <f t="shared" si="16"/>
        <v>2025-12</v>
      </c>
      <c r="F564" s="36">
        <f t="shared" si="17"/>
        <v>-9.3772620200093248E-3</v>
      </c>
      <c r="G564" s="1"/>
      <c r="H564" s="1"/>
    </row>
    <row r="565" spans="1:8" x14ac:dyDescent="0.3">
      <c r="A565" s="26">
        <v>46007</v>
      </c>
      <c r="B565" s="38" t="s">
        <v>63</v>
      </c>
      <c r="C565" s="35">
        <v>111.9477</v>
      </c>
      <c r="D565" s="39">
        <v>8579394</v>
      </c>
      <c r="E565" s="1" t="str">
        <f t="shared" si="16"/>
        <v>2025-12</v>
      </c>
      <c r="F565" s="36">
        <f t="shared" si="17"/>
        <v>0</v>
      </c>
      <c r="G565" s="1"/>
      <c r="H565" s="1"/>
    </row>
    <row r="566" spans="1:8" x14ac:dyDescent="0.3">
      <c r="A566" s="26">
        <v>46008</v>
      </c>
      <c r="B566" s="38" t="s">
        <v>63</v>
      </c>
      <c r="C566" s="35">
        <v>113.20010000000001</v>
      </c>
      <c r="D566" s="39">
        <v>9505813</v>
      </c>
      <c r="E566" s="1" t="str">
        <f t="shared" si="16"/>
        <v>2025-12</v>
      </c>
      <c r="F566" s="36">
        <f t="shared" si="17"/>
        <v>1.1187366957963407E-2</v>
      </c>
      <c r="G566" s="1"/>
      <c r="H566" s="1"/>
    </row>
    <row r="567" spans="1:8" x14ac:dyDescent="0.3">
      <c r="A567" s="26">
        <v>46009</v>
      </c>
      <c r="B567" s="38" t="s">
        <v>63</v>
      </c>
      <c r="C567" s="35">
        <v>114.3562</v>
      </c>
      <c r="D567" s="39">
        <v>12554309</v>
      </c>
      <c r="E567" s="1" t="str">
        <f t="shared" si="16"/>
        <v>2025-12</v>
      </c>
      <c r="F567" s="36">
        <f t="shared" si="17"/>
        <v>1.0212888504515405E-2</v>
      </c>
      <c r="G567" s="1"/>
      <c r="H567" s="1"/>
    </row>
    <row r="568" spans="1:8" x14ac:dyDescent="0.3">
      <c r="A568" s="26">
        <v>46010</v>
      </c>
      <c r="B568" s="38" t="s">
        <v>63</v>
      </c>
      <c r="C568" s="35">
        <v>114.9342</v>
      </c>
      <c r="D568" s="39">
        <v>13434142</v>
      </c>
      <c r="E568" s="1" t="str">
        <f t="shared" si="16"/>
        <v>2025-12</v>
      </c>
      <c r="F568" s="36">
        <f t="shared" si="17"/>
        <v>5.0543827094640115E-3</v>
      </c>
      <c r="G568" s="1"/>
      <c r="H568" s="1"/>
    </row>
    <row r="569" spans="1:8" x14ac:dyDescent="0.3">
      <c r="A569" s="26">
        <v>46013</v>
      </c>
      <c r="B569" s="38" t="s">
        <v>63</v>
      </c>
      <c r="C569" s="35">
        <v>116.861</v>
      </c>
      <c r="D569" s="39">
        <v>19346571</v>
      </c>
      <c r="E569" s="1" t="str">
        <f t="shared" si="16"/>
        <v>2025-12</v>
      </c>
      <c r="F569" s="36">
        <f t="shared" si="17"/>
        <v>1.6764374746594202E-2</v>
      </c>
      <c r="G569" s="1"/>
      <c r="H569" s="1"/>
    </row>
    <row r="570" spans="1:8" x14ac:dyDescent="0.3">
      <c r="A570" s="26">
        <v>46014</v>
      </c>
      <c r="B570" s="38" t="s">
        <v>63</v>
      </c>
      <c r="C570" s="35">
        <v>117.8244</v>
      </c>
      <c r="D570" s="39">
        <v>10892666</v>
      </c>
      <c r="E570" s="1" t="str">
        <f t="shared" si="16"/>
        <v>2025-12</v>
      </c>
      <c r="F570" s="36">
        <f t="shared" si="17"/>
        <v>8.2439821668476299E-3</v>
      </c>
      <c r="G570" s="1"/>
      <c r="H570" s="1"/>
    </row>
    <row r="571" spans="1:8" x14ac:dyDescent="0.3">
      <c r="A571" s="26">
        <v>46015</v>
      </c>
      <c r="B571" s="38" t="s">
        <v>63</v>
      </c>
      <c r="C571" s="35">
        <v>119.3659</v>
      </c>
      <c r="D571" s="39">
        <v>0</v>
      </c>
      <c r="E571" s="1" t="str">
        <f t="shared" si="16"/>
        <v>2025-12</v>
      </c>
      <c r="F571" s="36">
        <f t="shared" si="17"/>
        <v>1.3083028642624006E-2</v>
      </c>
      <c r="G571" s="1"/>
      <c r="H571" s="1"/>
    </row>
    <row r="572" spans="1:8" x14ac:dyDescent="0.3">
      <c r="A572" s="26">
        <v>46020</v>
      </c>
      <c r="B572" s="38" t="s">
        <v>63</v>
      </c>
      <c r="C572" s="35">
        <v>117.4391</v>
      </c>
      <c r="D572" s="39">
        <v>13132355</v>
      </c>
      <c r="E572" s="1" t="str">
        <f t="shared" si="16"/>
        <v>2025-12</v>
      </c>
      <c r="F572" s="36">
        <f t="shared" si="17"/>
        <v>-1.6141963492086076E-2</v>
      </c>
      <c r="G572" s="1"/>
      <c r="H572" s="1"/>
    </row>
    <row r="573" spans="1:8" x14ac:dyDescent="0.3">
      <c r="A573" s="26">
        <v>46021</v>
      </c>
      <c r="B573" s="38" t="s">
        <v>63</v>
      </c>
      <c r="C573" s="35">
        <v>118.4988</v>
      </c>
      <c r="D573" s="39">
        <v>11747636</v>
      </c>
      <c r="E573" s="1" t="str">
        <f t="shared" si="16"/>
        <v>2025-12</v>
      </c>
      <c r="F573" s="36">
        <f t="shared" si="17"/>
        <v>9.0234002133873226E-3</v>
      </c>
      <c r="G573" s="1"/>
      <c r="H573" s="1"/>
    </row>
    <row r="574" spans="1:8" x14ac:dyDescent="0.3">
      <c r="A574" s="26">
        <v>46022</v>
      </c>
      <c r="B574" s="38" t="s">
        <v>63</v>
      </c>
      <c r="C574" s="35">
        <v>117.7281</v>
      </c>
      <c r="D574" s="39">
        <v>0</v>
      </c>
      <c r="E574" s="1" t="str">
        <f t="shared" si="16"/>
        <v>2025-12</v>
      </c>
      <c r="F574" s="36">
        <f t="shared" si="17"/>
        <v>-6.50386333026165E-3</v>
      </c>
      <c r="G574" s="1"/>
      <c r="H574" s="1"/>
    </row>
    <row r="575" spans="1:8" x14ac:dyDescent="0.3">
      <c r="A575" s="26">
        <v>46024</v>
      </c>
      <c r="B575" s="38" t="s">
        <v>63</v>
      </c>
      <c r="C575" s="35">
        <v>119.7513</v>
      </c>
      <c r="D575" s="39">
        <v>11545169</v>
      </c>
      <c r="E575" s="1" t="str">
        <f t="shared" si="16"/>
        <v>2026-01</v>
      </c>
      <c r="F575" s="36">
        <f t="shared" si="17"/>
        <v>1.7185361863480297E-2</v>
      </c>
      <c r="G575" s="1"/>
      <c r="H575" s="1"/>
    </row>
    <row r="576" spans="1:8" x14ac:dyDescent="0.3">
      <c r="A576" s="26">
        <v>46027</v>
      </c>
      <c r="B576" s="38" t="s">
        <v>63</v>
      </c>
      <c r="C576" s="35">
        <v>120.3293</v>
      </c>
      <c r="D576" s="39">
        <v>9171037</v>
      </c>
      <c r="E576" s="1" t="str">
        <f t="shared" si="16"/>
        <v>2026-01</v>
      </c>
      <c r="F576" s="36">
        <f t="shared" si="17"/>
        <v>4.8266699401176005E-3</v>
      </c>
      <c r="G576" s="1"/>
      <c r="H576" s="1"/>
    </row>
    <row r="577" spans="1:8" x14ac:dyDescent="0.3">
      <c r="A577" s="26">
        <v>46028</v>
      </c>
      <c r="B577" s="38" t="s">
        <v>63</v>
      </c>
      <c r="C577" s="35">
        <v>124.0866</v>
      </c>
      <c r="D577" s="39">
        <v>21686487</v>
      </c>
      <c r="E577" s="1" t="str">
        <f t="shared" si="16"/>
        <v>2026-01</v>
      </c>
      <c r="F577" s="36">
        <f t="shared" si="17"/>
        <v>3.1225146327619191E-2</v>
      </c>
      <c r="G577" s="1"/>
      <c r="H577" s="1"/>
    </row>
    <row r="578" spans="1:8" x14ac:dyDescent="0.3">
      <c r="A578" s="26">
        <v>46029</v>
      </c>
      <c r="B578" s="38" t="s">
        <v>63</v>
      </c>
      <c r="C578" s="35">
        <v>122.54510000000001</v>
      </c>
      <c r="D578" s="39">
        <v>9809659</v>
      </c>
      <c r="E578" s="1" t="str">
        <f t="shared" ref="E578:E641" si="18">TEXT(A578,"yyyy-mm")</f>
        <v>2026-01</v>
      </c>
      <c r="F578" s="36">
        <f t="shared" si="17"/>
        <v>-1.242277570664363E-2</v>
      </c>
      <c r="G578" s="1"/>
      <c r="H578" s="1"/>
    </row>
    <row r="579" spans="1:8" x14ac:dyDescent="0.3">
      <c r="A579" s="26">
        <v>46030</v>
      </c>
      <c r="B579" s="38" t="s">
        <v>63</v>
      </c>
      <c r="C579" s="35">
        <v>119.7513</v>
      </c>
      <c r="D579" s="39">
        <v>14152243</v>
      </c>
      <c r="E579" s="1" t="str">
        <f t="shared" si="18"/>
        <v>2026-01</v>
      </c>
      <c r="F579" s="36">
        <f t="shared" ref="F579:F642" si="19">IF(B579=B578,C579/C578-1,0)</f>
        <v>-2.2798137175619515E-2</v>
      </c>
      <c r="G579" s="1"/>
      <c r="H579" s="1"/>
    </row>
    <row r="580" spans="1:8" x14ac:dyDescent="0.3">
      <c r="A580" s="26">
        <v>46031</v>
      </c>
      <c r="B580" s="38" t="s">
        <v>63</v>
      </c>
      <c r="C580" s="35">
        <v>120.233</v>
      </c>
      <c r="D580" s="39">
        <v>11800959</v>
      </c>
      <c r="E580" s="1" t="str">
        <f t="shared" si="18"/>
        <v>2026-01</v>
      </c>
      <c r="F580" s="36">
        <f t="shared" si="19"/>
        <v>4.0225033047658343E-3</v>
      </c>
      <c r="G580" s="1"/>
      <c r="H580" s="1"/>
    </row>
    <row r="581" spans="1:8" x14ac:dyDescent="0.3">
      <c r="A581" s="26">
        <v>46034</v>
      </c>
      <c r="B581" s="38" t="s">
        <v>63</v>
      </c>
      <c r="C581" s="35">
        <v>119.5586</v>
      </c>
      <c r="D581" s="39">
        <v>8758673</v>
      </c>
      <c r="E581" s="1" t="str">
        <f t="shared" si="18"/>
        <v>2026-01</v>
      </c>
      <c r="F581" s="36">
        <f t="shared" si="19"/>
        <v>-5.6091089800637262E-3</v>
      </c>
      <c r="G581" s="1"/>
      <c r="H581" s="1"/>
    </row>
    <row r="582" spans="1:8" x14ac:dyDescent="0.3">
      <c r="A582" s="26">
        <v>46035</v>
      </c>
      <c r="B582" s="38" t="s">
        <v>63</v>
      </c>
      <c r="C582" s="35">
        <v>121.7744</v>
      </c>
      <c r="D582" s="39">
        <v>12174381</v>
      </c>
      <c r="E582" s="1" t="str">
        <f t="shared" si="18"/>
        <v>2026-01</v>
      </c>
      <c r="F582" s="36">
        <f t="shared" si="19"/>
        <v>1.8533171181328578E-2</v>
      </c>
      <c r="G582" s="1"/>
      <c r="H582" s="1"/>
    </row>
    <row r="583" spans="1:8" x14ac:dyDescent="0.3">
      <c r="A583" s="26">
        <v>46036</v>
      </c>
      <c r="B583" s="38" t="s">
        <v>63</v>
      </c>
      <c r="C583" s="35">
        <v>122.3524</v>
      </c>
      <c r="D583" s="39">
        <v>9036194</v>
      </c>
      <c r="E583" s="1" t="str">
        <f t="shared" si="18"/>
        <v>2026-01</v>
      </c>
      <c r="F583" s="36">
        <f t="shared" si="19"/>
        <v>4.7464820192093526E-3</v>
      </c>
      <c r="G583" s="1"/>
      <c r="H583" s="1"/>
    </row>
    <row r="584" spans="1:8" x14ac:dyDescent="0.3">
      <c r="A584" s="26">
        <v>46037</v>
      </c>
      <c r="B584" s="38" t="s">
        <v>63</v>
      </c>
      <c r="C584" s="35">
        <v>123.5085</v>
      </c>
      <c r="D584" s="39">
        <v>10374153</v>
      </c>
      <c r="E584" s="1" t="str">
        <f t="shared" si="18"/>
        <v>2026-01</v>
      </c>
      <c r="F584" s="36">
        <f t="shared" si="19"/>
        <v>9.4489360241400977E-3</v>
      </c>
      <c r="G584" s="1"/>
      <c r="H584" s="1"/>
    </row>
    <row r="585" spans="1:8" x14ac:dyDescent="0.3">
      <c r="A585" s="26">
        <v>46038</v>
      </c>
      <c r="B585" s="38" t="s">
        <v>63</v>
      </c>
      <c r="C585" s="35">
        <v>123.7975</v>
      </c>
      <c r="D585" s="39">
        <v>11375202</v>
      </c>
      <c r="E585" s="1" t="str">
        <f t="shared" si="18"/>
        <v>2026-01</v>
      </c>
      <c r="F585" s="36">
        <f t="shared" si="19"/>
        <v>2.3399199245395241E-3</v>
      </c>
      <c r="G585" s="1"/>
      <c r="H585" s="1"/>
    </row>
    <row r="586" spans="1:8" x14ac:dyDescent="0.3">
      <c r="A586" s="26">
        <v>46041</v>
      </c>
      <c r="B586" s="38" t="s">
        <v>63</v>
      </c>
      <c r="C586" s="35">
        <v>122.3524</v>
      </c>
      <c r="D586" s="39">
        <v>10059540</v>
      </c>
      <c r="E586" s="1" t="str">
        <f t="shared" si="18"/>
        <v>2026-01</v>
      </c>
      <c r="F586" s="36">
        <f t="shared" si="19"/>
        <v>-1.1673095175589121E-2</v>
      </c>
      <c r="G586" s="1"/>
      <c r="H586" s="1"/>
    </row>
    <row r="587" spans="1:8" x14ac:dyDescent="0.3">
      <c r="A587" s="26">
        <v>46042</v>
      </c>
      <c r="B587" s="38" t="s">
        <v>63</v>
      </c>
      <c r="C587" s="35">
        <v>123.7012</v>
      </c>
      <c r="D587" s="39">
        <v>13402142</v>
      </c>
      <c r="E587" s="1" t="str">
        <f t="shared" si="18"/>
        <v>2026-01</v>
      </c>
      <c r="F587" s="36">
        <f t="shared" si="19"/>
        <v>1.1023894913381405E-2</v>
      </c>
      <c r="G587" s="1"/>
      <c r="H587" s="1"/>
    </row>
    <row r="588" spans="1:8" x14ac:dyDescent="0.3">
      <c r="A588" s="26">
        <v>46043</v>
      </c>
      <c r="B588" s="38" t="s">
        <v>63</v>
      </c>
      <c r="C588" s="35">
        <v>123.5085</v>
      </c>
      <c r="D588" s="39">
        <v>7138446</v>
      </c>
      <c r="E588" s="1" t="str">
        <f t="shared" si="18"/>
        <v>2026-01</v>
      </c>
      <c r="F588" s="36">
        <f t="shared" si="19"/>
        <v>-1.5577860198607851E-3</v>
      </c>
      <c r="G588" s="1"/>
      <c r="H588" s="1"/>
    </row>
    <row r="589" spans="1:8" x14ac:dyDescent="0.3">
      <c r="A589" s="26">
        <v>46044</v>
      </c>
      <c r="B589" s="38" t="s">
        <v>63</v>
      </c>
      <c r="C589" s="35">
        <v>124.95359999999999</v>
      </c>
      <c r="D589" s="39">
        <v>7970685</v>
      </c>
      <c r="E589" s="1" t="str">
        <f t="shared" si="18"/>
        <v>2026-01</v>
      </c>
      <c r="F589" s="36">
        <f t="shared" si="19"/>
        <v>1.1700409283571522E-2</v>
      </c>
      <c r="G589" s="1"/>
      <c r="H589" s="1"/>
    </row>
    <row r="590" spans="1:8" x14ac:dyDescent="0.3">
      <c r="A590" s="26">
        <v>46045</v>
      </c>
      <c r="B590" s="38" t="s">
        <v>63</v>
      </c>
      <c r="C590" s="35">
        <v>125.2427</v>
      </c>
      <c r="D590" s="39">
        <v>11454836</v>
      </c>
      <c r="E590" s="1" t="str">
        <f t="shared" si="18"/>
        <v>2026-01</v>
      </c>
      <c r="F590" s="36">
        <f t="shared" si="19"/>
        <v>2.3136588301577721E-3</v>
      </c>
      <c r="G590" s="1"/>
      <c r="H590" s="1"/>
    </row>
    <row r="591" spans="1:8" x14ac:dyDescent="0.3">
      <c r="A591" s="26">
        <v>46048</v>
      </c>
      <c r="B591" s="38" t="s">
        <v>63</v>
      </c>
      <c r="C591" s="35">
        <v>126.20610000000001</v>
      </c>
      <c r="D591" s="39">
        <v>11309536</v>
      </c>
      <c r="E591" s="1" t="str">
        <f t="shared" si="18"/>
        <v>2026-01</v>
      </c>
      <c r="F591" s="36">
        <f t="shared" si="19"/>
        <v>7.6922646988606402E-3</v>
      </c>
      <c r="G591" s="1"/>
      <c r="H591" s="1"/>
    </row>
    <row r="592" spans="1:8" x14ac:dyDescent="0.3">
      <c r="A592" s="26">
        <v>46049</v>
      </c>
      <c r="B592" s="38" t="s">
        <v>63</v>
      </c>
      <c r="C592" s="35">
        <v>129.578</v>
      </c>
      <c r="D592" s="39">
        <v>20380297</v>
      </c>
      <c r="E592" s="1" t="str">
        <f t="shared" si="18"/>
        <v>2026-01</v>
      </c>
      <c r="F592" s="36">
        <f t="shared" si="19"/>
        <v>2.6717409063428788E-2</v>
      </c>
      <c r="G592" s="1"/>
      <c r="H592" s="1"/>
    </row>
    <row r="593" spans="1:8" x14ac:dyDescent="0.3">
      <c r="A593" s="26">
        <v>46050</v>
      </c>
      <c r="B593" s="38" t="s">
        <v>63</v>
      </c>
      <c r="C593" s="35">
        <v>132.4682</v>
      </c>
      <c r="D593" s="39">
        <v>23365990</v>
      </c>
      <c r="E593" s="1" t="str">
        <f t="shared" si="18"/>
        <v>2026-01</v>
      </c>
      <c r="F593" s="36">
        <f t="shared" si="19"/>
        <v>2.23047122196669E-2</v>
      </c>
      <c r="G593" s="1"/>
      <c r="H593" s="1"/>
    </row>
    <row r="594" spans="1:8" x14ac:dyDescent="0.3">
      <c r="A594" s="26">
        <v>46051</v>
      </c>
      <c r="B594" s="38" t="s">
        <v>63</v>
      </c>
      <c r="C594" s="35">
        <v>132.56450000000001</v>
      </c>
      <c r="D594" s="39">
        <v>14607498</v>
      </c>
      <c r="E594" s="1" t="str">
        <f t="shared" si="18"/>
        <v>2026-01</v>
      </c>
      <c r="F594" s="36">
        <f t="shared" si="19"/>
        <v>7.2696692489215842E-4</v>
      </c>
      <c r="G594" s="1"/>
      <c r="H594" s="1"/>
    </row>
    <row r="595" spans="1:8" x14ac:dyDescent="0.3">
      <c r="A595" s="26">
        <v>46052</v>
      </c>
      <c r="B595" s="38" t="s">
        <v>63</v>
      </c>
      <c r="C595" s="35">
        <v>131.6011</v>
      </c>
      <c r="D595" s="39">
        <v>11263295</v>
      </c>
      <c r="E595" s="1" t="str">
        <f t="shared" si="18"/>
        <v>2026-01</v>
      </c>
      <c r="F595" s="36">
        <f t="shared" si="19"/>
        <v>-7.2674056779907792E-3</v>
      </c>
      <c r="G595" s="1"/>
      <c r="H595" s="1"/>
    </row>
    <row r="596" spans="1:8" x14ac:dyDescent="0.3">
      <c r="A596" s="26">
        <v>46055</v>
      </c>
      <c r="B596" s="38" t="s">
        <v>63</v>
      </c>
      <c r="C596" s="35">
        <v>129.77070000000001</v>
      </c>
      <c r="D596" s="39">
        <v>16159218</v>
      </c>
      <c r="E596" s="1" t="str">
        <f t="shared" si="18"/>
        <v>2026-02</v>
      </c>
      <c r="F596" s="36">
        <f t="shared" si="19"/>
        <v>-1.3908698331548841E-2</v>
      </c>
      <c r="G596" s="1"/>
      <c r="H596" s="1"/>
    </row>
    <row r="597" spans="1:8" x14ac:dyDescent="0.3">
      <c r="A597" s="26">
        <v>46056</v>
      </c>
      <c r="B597" s="38" t="s">
        <v>63</v>
      </c>
      <c r="C597" s="35">
        <v>133.81700000000001</v>
      </c>
      <c r="D597" s="39">
        <v>19499165</v>
      </c>
      <c r="E597" s="1" t="str">
        <f t="shared" si="18"/>
        <v>2026-02</v>
      </c>
      <c r="F597" s="36">
        <f t="shared" si="19"/>
        <v>3.1180382012272467E-2</v>
      </c>
      <c r="G597" s="1"/>
      <c r="H597" s="1"/>
    </row>
    <row r="598" spans="1:8" x14ac:dyDescent="0.3">
      <c r="A598" s="26">
        <v>46057</v>
      </c>
      <c r="B598" s="38" t="s">
        <v>63</v>
      </c>
      <c r="C598" s="35">
        <v>133.91329999999999</v>
      </c>
      <c r="D598" s="39">
        <v>10559866</v>
      </c>
      <c r="E598" s="1" t="str">
        <f t="shared" si="18"/>
        <v>2026-02</v>
      </c>
      <c r="F598" s="36">
        <f t="shared" si="19"/>
        <v>7.1963950768583196E-4</v>
      </c>
      <c r="G598" s="1"/>
      <c r="H598" s="1"/>
    </row>
    <row r="599" spans="1:8" x14ac:dyDescent="0.3">
      <c r="A599" s="26">
        <v>46058</v>
      </c>
      <c r="B599" s="38" t="s">
        <v>63</v>
      </c>
      <c r="C599" s="35">
        <v>133.4316</v>
      </c>
      <c r="D599" s="39">
        <v>15078576</v>
      </c>
      <c r="E599" s="1" t="str">
        <f t="shared" si="18"/>
        <v>2026-02</v>
      </c>
      <c r="F599" s="36">
        <f t="shared" si="19"/>
        <v>-3.5971034990549544E-3</v>
      </c>
      <c r="G599" s="1"/>
      <c r="H599" s="1"/>
    </row>
    <row r="600" spans="1:8" x14ac:dyDescent="0.3">
      <c r="A600" s="26">
        <v>46059</v>
      </c>
      <c r="B600" s="38" t="s">
        <v>63</v>
      </c>
      <c r="C600" s="35">
        <v>129.86699999999999</v>
      </c>
      <c r="D600" s="39">
        <v>18601846</v>
      </c>
      <c r="E600" s="1" t="str">
        <f t="shared" si="18"/>
        <v>2026-02</v>
      </c>
      <c r="F600" s="36">
        <f t="shared" si="19"/>
        <v>-2.6714811184157417E-2</v>
      </c>
      <c r="G600" s="1"/>
      <c r="H600" s="1"/>
    </row>
    <row r="601" spans="1:8" x14ac:dyDescent="0.3">
      <c r="A601" s="26">
        <v>46062</v>
      </c>
      <c r="B601" s="38" t="s">
        <v>63</v>
      </c>
      <c r="C601" s="35">
        <v>134.20230000000001</v>
      </c>
      <c r="D601" s="39">
        <v>16236415</v>
      </c>
      <c r="E601" s="1" t="str">
        <f t="shared" si="18"/>
        <v>2026-02</v>
      </c>
      <c r="F601" s="36">
        <f t="shared" si="19"/>
        <v>3.3382614521010101E-2</v>
      </c>
      <c r="G601" s="1"/>
      <c r="H601" s="1"/>
    </row>
    <row r="602" spans="1:8" x14ac:dyDescent="0.3">
      <c r="A602" s="26">
        <v>46063</v>
      </c>
      <c r="B602" s="38" t="s">
        <v>63</v>
      </c>
      <c r="C602" s="35">
        <v>135.16569999999999</v>
      </c>
      <c r="D602" s="39">
        <v>12641156</v>
      </c>
      <c r="E602" s="1" t="str">
        <f t="shared" si="18"/>
        <v>2026-02</v>
      </c>
      <c r="F602" s="36">
        <f t="shared" si="19"/>
        <v>7.1787145227761862E-3</v>
      </c>
      <c r="G602" s="1"/>
      <c r="H602" s="1"/>
    </row>
    <row r="603" spans="1:8" x14ac:dyDescent="0.3">
      <c r="A603" s="26">
        <v>46064</v>
      </c>
      <c r="B603" s="38" t="s">
        <v>63</v>
      </c>
      <c r="C603" s="35">
        <v>134.684</v>
      </c>
      <c r="D603" s="39">
        <v>7423588</v>
      </c>
      <c r="E603" s="1" t="str">
        <f t="shared" si="18"/>
        <v>2026-02</v>
      </c>
      <c r="F603" s="36">
        <f t="shared" si="19"/>
        <v>-3.5637739456089168E-3</v>
      </c>
      <c r="G603" s="1"/>
      <c r="H603" s="1"/>
    </row>
    <row r="604" spans="1:8" x14ac:dyDescent="0.3">
      <c r="A604" s="26">
        <v>46065</v>
      </c>
      <c r="B604" s="38" t="s">
        <v>63</v>
      </c>
      <c r="C604" s="35">
        <v>134.39500000000001</v>
      </c>
      <c r="D604" s="39">
        <v>6789124</v>
      </c>
      <c r="E604" s="1" t="str">
        <f t="shared" si="18"/>
        <v>2026-02</v>
      </c>
      <c r="F604" s="36">
        <f t="shared" si="19"/>
        <v>-2.1457634165898964E-3</v>
      </c>
      <c r="G604" s="1"/>
      <c r="H604" s="1"/>
    </row>
    <row r="605" spans="1:8" x14ac:dyDescent="0.3">
      <c r="A605" s="26">
        <v>46066</v>
      </c>
      <c r="B605" s="38" t="s">
        <v>63</v>
      </c>
      <c r="C605" s="35">
        <v>130.73410000000001</v>
      </c>
      <c r="D605" s="39">
        <v>14586816</v>
      </c>
      <c r="E605" s="1" t="str">
        <f t="shared" si="18"/>
        <v>2026-02</v>
      </c>
      <c r="F605" s="36">
        <f t="shared" si="19"/>
        <v>-2.7239852673090481E-2</v>
      </c>
      <c r="G605" s="1"/>
      <c r="H605" s="1"/>
    </row>
    <row r="606" spans="1:8" x14ac:dyDescent="0.3">
      <c r="A606" s="26">
        <v>46069</v>
      </c>
      <c r="B606" s="38" t="s">
        <v>63</v>
      </c>
      <c r="C606" s="35">
        <v>129.48159999999999</v>
      </c>
      <c r="D606" s="39">
        <v>0</v>
      </c>
      <c r="E606" s="1" t="str">
        <f t="shared" si="18"/>
        <v>2026-02</v>
      </c>
      <c r="F606" s="36">
        <f t="shared" si="19"/>
        <v>-9.5805149536350998E-3</v>
      </c>
      <c r="G606" s="1"/>
      <c r="H606" s="1"/>
    </row>
    <row r="607" spans="1:8" x14ac:dyDescent="0.3">
      <c r="A607" s="26">
        <v>46073</v>
      </c>
      <c r="B607" s="38" t="s">
        <v>63</v>
      </c>
      <c r="C607" s="35">
        <v>129.3853</v>
      </c>
      <c r="D607" s="39">
        <v>10372959</v>
      </c>
      <c r="E607" s="1" t="str">
        <f t="shared" si="18"/>
        <v>2026-02</v>
      </c>
      <c r="F607" s="36">
        <f t="shared" si="19"/>
        <v>-7.437350171760615E-4</v>
      </c>
      <c r="G607" s="1"/>
      <c r="H607" s="1"/>
    </row>
    <row r="608" spans="1:8" x14ac:dyDescent="0.3">
      <c r="A608" s="26">
        <v>46076</v>
      </c>
      <c r="B608" s="38" t="s">
        <v>63</v>
      </c>
      <c r="C608" s="35">
        <v>130.92679999999999</v>
      </c>
      <c r="D608" s="39">
        <v>13451321</v>
      </c>
      <c r="E608" s="1" t="str">
        <f t="shared" si="18"/>
        <v>2026-02</v>
      </c>
      <c r="F608" s="36">
        <f t="shared" si="19"/>
        <v>1.1914027327679211E-2</v>
      </c>
      <c r="G608" s="1"/>
      <c r="H608" s="1"/>
    </row>
    <row r="609" spans="1:8" x14ac:dyDescent="0.3">
      <c r="A609" s="26">
        <v>46077</v>
      </c>
      <c r="B609" s="38" t="s">
        <v>63</v>
      </c>
      <c r="C609" s="35">
        <v>130.34870000000001</v>
      </c>
      <c r="D609" s="39">
        <v>15223740</v>
      </c>
      <c r="E609" s="1" t="str">
        <f t="shared" si="18"/>
        <v>2026-02</v>
      </c>
      <c r="F609" s="36">
        <f t="shared" si="19"/>
        <v>-4.4154443551662759E-3</v>
      </c>
      <c r="G609" s="1"/>
      <c r="H609" s="1"/>
    </row>
    <row r="610" spans="1:8" x14ac:dyDescent="0.3">
      <c r="A610" s="26">
        <v>46078</v>
      </c>
      <c r="B610" s="38" t="s">
        <v>63</v>
      </c>
      <c r="C610" s="35">
        <v>137.47790000000001</v>
      </c>
      <c r="D610" s="39">
        <v>44603757</v>
      </c>
      <c r="E610" s="1" t="str">
        <f t="shared" si="18"/>
        <v>2026-02</v>
      </c>
      <c r="F610" s="36">
        <f t="shared" si="19"/>
        <v>5.4693295752086479E-2</v>
      </c>
      <c r="G610" s="1"/>
      <c r="H610" s="1"/>
    </row>
    <row r="611" spans="1:8" x14ac:dyDescent="0.3">
      <c r="A611" s="26">
        <v>46079</v>
      </c>
      <c r="B611" s="38" t="s">
        <v>63</v>
      </c>
      <c r="C611" s="35">
        <v>139.69370000000001</v>
      </c>
      <c r="D611" s="39">
        <v>30158366</v>
      </c>
      <c r="E611" s="1" t="str">
        <f t="shared" si="18"/>
        <v>2026-02</v>
      </c>
      <c r="F611" s="36">
        <f t="shared" si="19"/>
        <v>1.6117499612664954E-2</v>
      </c>
      <c r="G611" s="1"/>
      <c r="H611" s="1"/>
    </row>
    <row r="612" spans="1:8" x14ac:dyDescent="0.3">
      <c r="A612" s="26">
        <v>46080</v>
      </c>
      <c r="B612" s="38" t="s">
        <v>63</v>
      </c>
      <c r="C612" s="35">
        <v>141.90960000000001</v>
      </c>
      <c r="D612" s="39">
        <v>18075411</v>
      </c>
      <c r="E612" s="1" t="str">
        <f t="shared" si="18"/>
        <v>2026-02</v>
      </c>
      <c r="F612" s="36">
        <f t="shared" si="19"/>
        <v>1.5862562162789029E-2</v>
      </c>
      <c r="G612" s="1"/>
      <c r="H612" s="1"/>
    </row>
    <row r="613" spans="1:8" x14ac:dyDescent="0.3">
      <c r="A613" s="26">
        <v>46083</v>
      </c>
      <c r="B613" s="38" t="s">
        <v>63</v>
      </c>
      <c r="C613" s="35">
        <v>134.58770000000001</v>
      </c>
      <c r="D613" s="39">
        <v>30135411</v>
      </c>
      <c r="E613" s="1" t="str">
        <f t="shared" si="18"/>
        <v>2026-03</v>
      </c>
      <c r="F613" s="36">
        <f t="shared" si="19"/>
        <v>-5.1595522783518533E-2</v>
      </c>
      <c r="G613" s="1"/>
      <c r="H613" s="1"/>
    </row>
    <row r="614" spans="1:8" x14ac:dyDescent="0.3">
      <c r="A614" s="26">
        <v>46084</v>
      </c>
      <c r="B614" s="38" t="s">
        <v>63</v>
      </c>
      <c r="C614" s="35">
        <v>130.8304</v>
      </c>
      <c r="D614" s="39">
        <v>22180267</v>
      </c>
      <c r="E614" s="1" t="str">
        <f t="shared" si="18"/>
        <v>2026-03</v>
      </c>
      <c r="F614" s="36">
        <f t="shared" si="19"/>
        <v>-2.7917112782223197E-2</v>
      </c>
      <c r="G614" s="1"/>
      <c r="H614" s="1"/>
    </row>
    <row r="615" spans="1:8" x14ac:dyDescent="0.3">
      <c r="A615" s="26">
        <v>46085</v>
      </c>
      <c r="B615" s="38" t="s">
        <v>63</v>
      </c>
      <c r="C615" s="35">
        <v>126.0134</v>
      </c>
      <c r="D615" s="39">
        <v>35572176</v>
      </c>
      <c r="E615" s="1" t="str">
        <f t="shared" si="18"/>
        <v>2026-03</v>
      </c>
      <c r="F615" s="36">
        <f t="shared" si="19"/>
        <v>-3.6818659883329774E-2</v>
      </c>
      <c r="G615" s="1"/>
      <c r="H615" s="1"/>
    </row>
    <row r="616" spans="1:8" x14ac:dyDescent="0.3">
      <c r="A616" s="26">
        <v>46086</v>
      </c>
      <c r="B616" s="38" t="s">
        <v>63</v>
      </c>
      <c r="C616" s="35">
        <v>128.9999</v>
      </c>
      <c r="D616" s="39">
        <v>26146424</v>
      </c>
      <c r="E616" s="1" t="str">
        <f t="shared" si="18"/>
        <v>2026-03</v>
      </c>
      <c r="F616" s="36">
        <f t="shared" si="19"/>
        <v>2.3699860491027014E-2</v>
      </c>
      <c r="G616" s="1"/>
      <c r="H616" s="1"/>
    </row>
    <row r="617" spans="1:8" x14ac:dyDescent="0.3">
      <c r="A617" s="26">
        <v>46087</v>
      </c>
      <c r="B617" s="38" t="s">
        <v>63</v>
      </c>
      <c r="C617" s="35">
        <v>130.25229999999999</v>
      </c>
      <c r="D617" s="39">
        <v>40598641</v>
      </c>
      <c r="E617" s="1" t="str">
        <f t="shared" si="18"/>
        <v>2026-03</v>
      </c>
      <c r="F617" s="36">
        <f t="shared" si="19"/>
        <v>9.7085346577787668E-3</v>
      </c>
      <c r="G617" s="1"/>
      <c r="H617" s="1"/>
    </row>
    <row r="618" spans="1:8" x14ac:dyDescent="0.3">
      <c r="A618" s="26">
        <v>46090</v>
      </c>
      <c r="B618" s="38" t="s">
        <v>63</v>
      </c>
      <c r="C618" s="35">
        <v>125.1463</v>
      </c>
      <c r="D618" s="39">
        <v>59465930</v>
      </c>
      <c r="E618" s="1" t="str">
        <f t="shared" si="18"/>
        <v>2026-03</v>
      </c>
      <c r="F618" s="36">
        <f t="shared" si="19"/>
        <v>-3.9200843286452458E-2</v>
      </c>
      <c r="G618" s="1"/>
      <c r="H618" s="1"/>
    </row>
    <row r="619" spans="1:8" x14ac:dyDescent="0.3">
      <c r="A619" s="26">
        <v>46091</v>
      </c>
      <c r="B619" s="38" t="s">
        <v>63</v>
      </c>
      <c r="C619" s="35">
        <v>130.92679999999999</v>
      </c>
      <c r="D619" s="39">
        <v>20552580</v>
      </c>
      <c r="E619" s="1" t="str">
        <f t="shared" si="18"/>
        <v>2026-03</v>
      </c>
      <c r="F619" s="36">
        <f t="shared" si="19"/>
        <v>4.6189939295048887E-2</v>
      </c>
      <c r="G619" s="1"/>
      <c r="H619" s="1"/>
    </row>
    <row r="620" spans="1:8" x14ac:dyDescent="0.3">
      <c r="A620" s="26">
        <v>46092</v>
      </c>
      <c r="B620" s="38" t="s">
        <v>63</v>
      </c>
      <c r="C620" s="35">
        <v>128.13290000000001</v>
      </c>
      <c r="D620" s="39">
        <v>15084104</v>
      </c>
      <c r="E620" s="1" t="str">
        <f t="shared" si="18"/>
        <v>2026-03</v>
      </c>
      <c r="F620" s="36">
        <f t="shared" si="19"/>
        <v>-2.1339404919389904E-2</v>
      </c>
      <c r="G620" s="1"/>
      <c r="H620" s="1"/>
    </row>
    <row r="621" spans="1:8" x14ac:dyDescent="0.3">
      <c r="A621" s="26">
        <v>46093</v>
      </c>
      <c r="B621" s="38" t="s">
        <v>63</v>
      </c>
      <c r="C621" s="35">
        <v>127.56180000000001</v>
      </c>
      <c r="D621" s="39">
        <v>14658068</v>
      </c>
      <c r="E621" s="1" t="str">
        <f t="shared" si="18"/>
        <v>2026-03</v>
      </c>
      <c r="F621" s="36">
        <f t="shared" si="19"/>
        <v>-4.4570910359478244E-3</v>
      </c>
      <c r="G621" s="1"/>
      <c r="H621" s="1"/>
    </row>
    <row r="622" spans="1:8" x14ac:dyDescent="0.3">
      <c r="A622" s="26">
        <v>46094</v>
      </c>
      <c r="B622" s="38" t="s">
        <v>63</v>
      </c>
      <c r="C622" s="35">
        <v>121.2282</v>
      </c>
      <c r="D622" s="39">
        <v>35689160</v>
      </c>
      <c r="E622" s="1" t="str">
        <f t="shared" si="18"/>
        <v>2026-03</v>
      </c>
      <c r="F622" s="36">
        <f t="shared" si="19"/>
        <v>-4.965122787542986E-2</v>
      </c>
      <c r="G622" s="1"/>
      <c r="H622" s="1"/>
    </row>
    <row r="623" spans="1:8" x14ac:dyDescent="0.3">
      <c r="A623" s="26">
        <v>46097</v>
      </c>
      <c r="B623" s="38" t="s">
        <v>63</v>
      </c>
      <c r="C623" s="35">
        <v>123.00960000000001</v>
      </c>
      <c r="D623" s="39">
        <v>21752570</v>
      </c>
      <c r="E623" s="1" t="str">
        <f t="shared" si="18"/>
        <v>2026-03</v>
      </c>
      <c r="F623" s="36">
        <f t="shared" si="19"/>
        <v>1.4694600761208987E-2</v>
      </c>
      <c r="G623" s="1"/>
      <c r="H623" s="1"/>
    </row>
    <row r="624" spans="1:8" x14ac:dyDescent="0.3">
      <c r="A624" s="26">
        <v>46098</v>
      </c>
      <c r="B624" s="38" t="s">
        <v>63</v>
      </c>
      <c r="C624" s="35">
        <v>123.5044</v>
      </c>
      <c r="D624" s="39">
        <v>11183283</v>
      </c>
      <c r="E624" s="1" t="str">
        <f t="shared" si="18"/>
        <v>2026-03</v>
      </c>
      <c r="F624" s="36">
        <f t="shared" si="19"/>
        <v>4.0224502803032358E-3</v>
      </c>
      <c r="G624" s="1"/>
      <c r="H624" s="1"/>
    </row>
    <row r="625" spans="1:8" x14ac:dyDescent="0.3">
      <c r="A625" s="26">
        <v>46099</v>
      </c>
      <c r="B625" s="38" t="s">
        <v>63</v>
      </c>
      <c r="C625" s="35">
        <v>126.5722</v>
      </c>
      <c r="D625" s="39">
        <v>11978057</v>
      </c>
      <c r="E625" s="1" t="str">
        <f t="shared" si="18"/>
        <v>2026-03</v>
      </c>
      <c r="F625" s="36">
        <f t="shared" si="19"/>
        <v>2.4839600856325639E-2</v>
      </c>
      <c r="G625" s="1"/>
      <c r="H625" s="1"/>
    </row>
    <row r="626" spans="1:8" x14ac:dyDescent="0.3">
      <c r="A626" s="26">
        <v>46100</v>
      </c>
      <c r="B626" s="38" t="s">
        <v>63</v>
      </c>
      <c r="C626" s="35">
        <v>122.7127</v>
      </c>
      <c r="D626" s="39">
        <v>16808610</v>
      </c>
      <c r="E626" s="1" t="str">
        <f t="shared" si="18"/>
        <v>2026-03</v>
      </c>
      <c r="F626" s="36">
        <f t="shared" si="19"/>
        <v>-3.0492477811083329E-2</v>
      </c>
      <c r="G626" s="1"/>
      <c r="H626" s="1"/>
    </row>
    <row r="627" spans="1:8" x14ac:dyDescent="0.3">
      <c r="A627" s="26">
        <v>46101</v>
      </c>
      <c r="B627" s="38" t="s">
        <v>63</v>
      </c>
      <c r="C627" s="35">
        <v>123.2075</v>
      </c>
      <c r="D627" s="39">
        <v>21143449</v>
      </c>
      <c r="E627" s="1" t="str">
        <f t="shared" si="18"/>
        <v>2026-03</v>
      </c>
      <c r="F627" s="36">
        <f t="shared" si="19"/>
        <v>4.0321824880391599E-3</v>
      </c>
      <c r="G627" s="1"/>
      <c r="H627" s="1"/>
    </row>
    <row r="628" spans="1:8" x14ac:dyDescent="0.3">
      <c r="A628" s="26">
        <v>46104</v>
      </c>
      <c r="B628" s="38" t="s">
        <v>63</v>
      </c>
      <c r="C628" s="35">
        <v>117.6656</v>
      </c>
      <c r="D628" s="39">
        <v>34864925</v>
      </c>
      <c r="E628" s="1" t="str">
        <f t="shared" si="18"/>
        <v>2026-03</v>
      </c>
      <c r="F628" s="36">
        <f t="shared" si="19"/>
        <v>-4.4980216301767295E-2</v>
      </c>
      <c r="G628" s="1"/>
      <c r="H628" s="1"/>
    </row>
    <row r="629" spans="1:8" x14ac:dyDescent="0.3">
      <c r="A629" s="26">
        <v>46105</v>
      </c>
      <c r="B629" s="38" t="s">
        <v>63</v>
      </c>
      <c r="C629" s="35">
        <v>122.3168</v>
      </c>
      <c r="D629" s="39">
        <v>19779772</v>
      </c>
      <c r="E629" s="1" t="str">
        <f t="shared" si="18"/>
        <v>2026-03</v>
      </c>
      <c r="F629" s="36">
        <f t="shared" si="19"/>
        <v>3.9528970234291139E-2</v>
      </c>
      <c r="G629" s="1"/>
      <c r="H629" s="1"/>
    </row>
    <row r="630" spans="1:8" x14ac:dyDescent="0.3">
      <c r="A630" s="26">
        <v>46106</v>
      </c>
      <c r="B630" s="38" t="s">
        <v>63</v>
      </c>
      <c r="C630" s="35">
        <v>123.70229999999999</v>
      </c>
      <c r="D630" s="39">
        <v>19072875</v>
      </c>
      <c r="E630" s="1" t="str">
        <f t="shared" si="18"/>
        <v>2026-03</v>
      </c>
      <c r="F630" s="36">
        <f t="shared" si="19"/>
        <v>1.1327143940979445E-2</v>
      </c>
      <c r="G630" s="1"/>
      <c r="H630" s="1"/>
    </row>
    <row r="631" spans="1:8" x14ac:dyDescent="0.3">
      <c r="A631" s="26">
        <v>46107</v>
      </c>
      <c r="B631" s="38" t="s">
        <v>63</v>
      </c>
      <c r="C631" s="35">
        <v>123.5044</v>
      </c>
      <c r="D631" s="39">
        <v>12844795</v>
      </c>
      <c r="E631" s="1" t="str">
        <f t="shared" si="18"/>
        <v>2026-03</v>
      </c>
      <c r="F631" s="36">
        <f t="shared" si="19"/>
        <v>-1.599808572678052E-3</v>
      </c>
      <c r="G631" s="1"/>
      <c r="H631" s="1"/>
    </row>
    <row r="632" spans="1:8" x14ac:dyDescent="0.3">
      <c r="A632" s="26">
        <v>46108</v>
      </c>
      <c r="B632" s="38" t="s">
        <v>63</v>
      </c>
      <c r="C632" s="35">
        <v>123.5044</v>
      </c>
      <c r="D632" s="39">
        <v>10258490</v>
      </c>
      <c r="E632" s="1" t="str">
        <f t="shared" si="18"/>
        <v>2026-03</v>
      </c>
      <c r="F632" s="36">
        <f t="shared" si="19"/>
        <v>0</v>
      </c>
      <c r="G632" s="1"/>
      <c r="H632" s="1"/>
    </row>
    <row r="633" spans="1:8" x14ac:dyDescent="0.3">
      <c r="A633" s="26">
        <v>46111</v>
      </c>
      <c r="B633" s="38" t="s">
        <v>63</v>
      </c>
      <c r="C633" s="35">
        <v>122.3168</v>
      </c>
      <c r="D633" s="39">
        <v>17920263</v>
      </c>
      <c r="E633" s="1" t="str">
        <f t="shared" si="18"/>
        <v>2026-03</v>
      </c>
      <c r="F633" s="36">
        <f t="shared" si="19"/>
        <v>-9.6158517429338897E-3</v>
      </c>
      <c r="G633" s="1"/>
      <c r="H633" s="1"/>
    </row>
    <row r="634" spans="1:8" x14ac:dyDescent="0.3">
      <c r="A634" s="26">
        <v>46112</v>
      </c>
      <c r="B634" s="38" t="s">
        <v>63</v>
      </c>
      <c r="C634" s="35">
        <v>124.494</v>
      </c>
      <c r="D634" s="39">
        <v>13897520</v>
      </c>
      <c r="E634" s="1" t="str">
        <f t="shared" si="18"/>
        <v>2026-03</v>
      </c>
      <c r="F634" s="36">
        <f t="shared" si="19"/>
        <v>1.779968082879857E-2</v>
      </c>
      <c r="G634" s="1"/>
      <c r="H634" s="1"/>
    </row>
    <row r="635" spans="1:8" x14ac:dyDescent="0.3">
      <c r="A635" s="26">
        <v>46113</v>
      </c>
      <c r="B635" s="38" t="s">
        <v>63</v>
      </c>
      <c r="C635" s="35">
        <v>128.94730000000001</v>
      </c>
      <c r="D635" s="39">
        <v>25202839</v>
      </c>
      <c r="E635" s="1" t="str">
        <f t="shared" si="18"/>
        <v>2026-04</v>
      </c>
      <c r="F635" s="36">
        <f t="shared" si="19"/>
        <v>3.5771201824987608E-2</v>
      </c>
      <c r="G635" s="1"/>
      <c r="H635" s="1"/>
    </row>
    <row r="636" spans="1:8" x14ac:dyDescent="0.3">
      <c r="A636" s="26">
        <v>46114</v>
      </c>
      <c r="B636" s="38" t="s">
        <v>63</v>
      </c>
      <c r="C636" s="35">
        <v>128.65039999999999</v>
      </c>
      <c r="D636" s="39">
        <v>17411159</v>
      </c>
      <c r="E636" s="1" t="str">
        <f t="shared" si="18"/>
        <v>2026-04</v>
      </c>
      <c r="F636" s="36">
        <f t="shared" si="19"/>
        <v>-2.3024910176484559E-3</v>
      </c>
      <c r="G636" s="1"/>
      <c r="H636" s="1"/>
    </row>
    <row r="637" spans="1:8" x14ac:dyDescent="0.3">
      <c r="A637" s="26">
        <v>46120</v>
      </c>
      <c r="B637" s="38" t="s">
        <v>63</v>
      </c>
      <c r="C637" s="35">
        <v>137.1611</v>
      </c>
      <c r="D637" s="39">
        <v>40142380</v>
      </c>
      <c r="E637" s="1" t="str">
        <f t="shared" si="18"/>
        <v>2026-04</v>
      </c>
      <c r="F637" s="36">
        <f t="shared" si="19"/>
        <v>6.6153700260551229E-2</v>
      </c>
      <c r="G637" s="1"/>
      <c r="H637" s="1"/>
    </row>
    <row r="638" spans="1:8" x14ac:dyDescent="0.3">
      <c r="A638" s="26">
        <v>46121</v>
      </c>
      <c r="B638" s="38" t="s">
        <v>63</v>
      </c>
      <c r="C638" s="35">
        <v>137.458</v>
      </c>
      <c r="D638" s="39">
        <v>18417735</v>
      </c>
      <c r="E638" s="1" t="str">
        <f t="shared" si="18"/>
        <v>2026-04</v>
      </c>
      <c r="F638" s="36">
        <f t="shared" si="19"/>
        <v>2.1646078953871939E-3</v>
      </c>
      <c r="G638" s="1"/>
      <c r="H638" s="1"/>
    </row>
    <row r="639" spans="1:8" x14ac:dyDescent="0.3">
      <c r="A639" s="26">
        <v>46122</v>
      </c>
      <c r="B639" s="38" t="s">
        <v>63</v>
      </c>
      <c r="C639" s="35">
        <v>138.24969999999999</v>
      </c>
      <c r="D639" s="39">
        <v>16727101</v>
      </c>
      <c r="E639" s="1" t="str">
        <f t="shared" si="18"/>
        <v>2026-04</v>
      </c>
      <c r="F639" s="36">
        <f t="shared" si="19"/>
        <v>5.7595774709364722E-3</v>
      </c>
      <c r="G639" s="1"/>
      <c r="H639" s="1"/>
    </row>
    <row r="640" spans="1:8" x14ac:dyDescent="0.3">
      <c r="A640" s="26">
        <v>46125</v>
      </c>
      <c r="B640" s="38" t="s">
        <v>63</v>
      </c>
      <c r="C640" s="35">
        <v>137.35900000000001</v>
      </c>
      <c r="D640" s="39">
        <v>15319683</v>
      </c>
      <c r="E640" s="1" t="str">
        <f t="shared" si="18"/>
        <v>2026-04</v>
      </c>
      <c r="F640" s="36">
        <f t="shared" si="19"/>
        <v>-6.4426902915520889E-3</v>
      </c>
      <c r="G640" s="1"/>
      <c r="H640" s="1"/>
    </row>
    <row r="641" spans="1:8" x14ac:dyDescent="0.3">
      <c r="A641" s="26">
        <v>46126</v>
      </c>
      <c r="B641" s="38" t="s">
        <v>63</v>
      </c>
      <c r="C641" s="35">
        <v>139.53620000000001</v>
      </c>
      <c r="D641" s="39">
        <v>18252258</v>
      </c>
      <c r="E641" s="1" t="str">
        <f t="shared" si="18"/>
        <v>2026-04</v>
      </c>
      <c r="F641" s="36">
        <f t="shared" si="19"/>
        <v>1.5850435719537925E-2</v>
      </c>
      <c r="G641" s="1"/>
      <c r="H641" s="1"/>
    </row>
    <row r="642" spans="1:8" x14ac:dyDescent="0.3">
      <c r="A642" s="26">
        <v>46127</v>
      </c>
      <c r="B642" s="38" t="s">
        <v>63</v>
      </c>
      <c r="C642" s="35">
        <v>139.93199999999999</v>
      </c>
      <c r="D642" s="39">
        <v>13052754</v>
      </c>
      <c r="E642" s="1" t="str">
        <f t="shared" ref="E642:E705" si="20">TEXT(A642,"yyyy-mm")</f>
        <v>2026-04</v>
      </c>
      <c r="F642" s="36">
        <f t="shared" si="19"/>
        <v>2.8365399086400789E-3</v>
      </c>
      <c r="G642" s="1"/>
      <c r="H642" s="1"/>
    </row>
    <row r="643" spans="1:8" x14ac:dyDescent="0.3">
      <c r="A643" s="26">
        <v>46128</v>
      </c>
      <c r="B643" s="38" t="s">
        <v>63</v>
      </c>
      <c r="C643" s="35">
        <v>140.8227</v>
      </c>
      <c r="D643" s="39">
        <v>10451552</v>
      </c>
      <c r="E643" s="1" t="str">
        <f t="shared" si="20"/>
        <v>2026-04</v>
      </c>
      <c r="F643" s="36">
        <f t="shared" ref="F643:F706" si="21">IF(B643=B642,C643/C642-1,0)</f>
        <v>6.3652345424920487E-3</v>
      </c>
      <c r="G643" s="1"/>
      <c r="H643" s="1"/>
    </row>
    <row r="644" spans="1:8" x14ac:dyDescent="0.3">
      <c r="A644" s="26">
        <v>46129</v>
      </c>
      <c r="B644" s="38" t="s">
        <v>63</v>
      </c>
      <c r="C644" s="35">
        <v>140.03100000000001</v>
      </c>
      <c r="D644" s="39">
        <v>10001944</v>
      </c>
      <c r="E644" s="1" t="str">
        <f t="shared" si="20"/>
        <v>2026-04</v>
      </c>
      <c r="F644" s="36">
        <f t="shared" si="21"/>
        <v>-5.6219629363730705E-3</v>
      </c>
      <c r="G644" s="1"/>
      <c r="H644" s="1"/>
    </row>
    <row r="645" spans="1:8" x14ac:dyDescent="0.3">
      <c r="A645" s="26">
        <v>46132</v>
      </c>
      <c r="B645" s="38" t="s">
        <v>63</v>
      </c>
      <c r="C645" s="35">
        <v>140.72370000000001</v>
      </c>
      <c r="D645" s="39">
        <v>13863095</v>
      </c>
      <c r="E645" s="1" t="str">
        <f t="shared" si="20"/>
        <v>2026-04</v>
      </c>
      <c r="F645" s="36">
        <f t="shared" si="21"/>
        <v>4.9467617884610959E-3</v>
      </c>
      <c r="G645" s="1"/>
      <c r="H645" s="1"/>
    </row>
    <row r="646" spans="1:8" x14ac:dyDescent="0.3">
      <c r="A646" s="26">
        <v>46133</v>
      </c>
      <c r="B646" s="38" t="s">
        <v>63</v>
      </c>
      <c r="C646" s="35">
        <v>142.2081</v>
      </c>
      <c r="D646" s="39">
        <v>13859824</v>
      </c>
      <c r="E646" s="1" t="str">
        <f t="shared" si="20"/>
        <v>2026-04</v>
      </c>
      <c r="F646" s="36">
        <f t="shared" si="21"/>
        <v>1.0548329812249069E-2</v>
      </c>
      <c r="G646" s="1"/>
      <c r="H646" s="1"/>
    </row>
    <row r="647" spans="1:8" x14ac:dyDescent="0.3">
      <c r="A647" s="26">
        <v>46134</v>
      </c>
      <c r="B647" s="38" t="s">
        <v>63</v>
      </c>
      <c r="C647" s="35">
        <v>142.505</v>
      </c>
      <c r="D647" s="39">
        <v>9399619</v>
      </c>
      <c r="E647" s="1" t="str">
        <f t="shared" si="20"/>
        <v>2026-04</v>
      </c>
      <c r="F647" s="36">
        <f t="shared" si="21"/>
        <v>2.0877854355694225E-3</v>
      </c>
      <c r="G647" s="1"/>
      <c r="H647" s="1"/>
    </row>
    <row r="648" spans="1:8" x14ac:dyDescent="0.3">
      <c r="A648" s="26">
        <v>46135</v>
      </c>
      <c r="B648" s="38" t="s">
        <v>63</v>
      </c>
      <c r="C648" s="35">
        <v>139.6352</v>
      </c>
      <c r="D648" s="39">
        <v>15795912</v>
      </c>
      <c r="E648" s="1" t="str">
        <f t="shared" si="20"/>
        <v>2026-04</v>
      </c>
      <c r="F648" s="36">
        <f t="shared" si="21"/>
        <v>-2.0138240763481918E-2</v>
      </c>
      <c r="G648" s="1"/>
      <c r="H648" s="1"/>
    </row>
    <row r="649" spans="1:8" x14ac:dyDescent="0.3">
      <c r="A649" s="26">
        <v>46136</v>
      </c>
      <c r="B649" s="38" t="s">
        <v>63</v>
      </c>
      <c r="C649" s="35">
        <v>138.54660000000001</v>
      </c>
      <c r="D649" s="39">
        <v>7627274</v>
      </c>
      <c r="E649" s="1" t="str">
        <f t="shared" si="20"/>
        <v>2026-04</v>
      </c>
      <c r="F649" s="36">
        <f t="shared" si="21"/>
        <v>-7.7960285085707515E-3</v>
      </c>
      <c r="G649" s="1"/>
      <c r="H649" s="1"/>
    </row>
    <row r="650" spans="1:8" x14ac:dyDescent="0.3">
      <c r="A650" s="26">
        <v>46139</v>
      </c>
      <c r="B650" s="38" t="s">
        <v>63</v>
      </c>
      <c r="C650" s="35">
        <v>138.74449999999999</v>
      </c>
      <c r="D650" s="39">
        <v>6235801</v>
      </c>
      <c r="E650" s="1" t="str">
        <f t="shared" si="20"/>
        <v>2026-04</v>
      </c>
      <c r="F650" s="36">
        <f t="shared" si="21"/>
        <v>1.4284002638822457E-3</v>
      </c>
      <c r="G650" s="1"/>
      <c r="H650" s="1"/>
    </row>
    <row r="651" spans="1:8" x14ac:dyDescent="0.3">
      <c r="A651" s="26">
        <v>46140</v>
      </c>
      <c r="B651" s="38" t="s">
        <v>63</v>
      </c>
      <c r="C651" s="35">
        <v>139.1404</v>
      </c>
      <c r="D651" s="39">
        <v>7774218</v>
      </c>
      <c r="E651" s="1" t="str">
        <f t="shared" si="20"/>
        <v>2026-04</v>
      </c>
      <c r="F651" s="36">
        <f t="shared" si="21"/>
        <v>2.8534464429221806E-3</v>
      </c>
      <c r="G651" s="1"/>
      <c r="H651" s="1"/>
    </row>
    <row r="652" spans="1:8" x14ac:dyDescent="0.3">
      <c r="A652" s="26">
        <v>46141</v>
      </c>
      <c r="B652" s="38" t="s">
        <v>63</v>
      </c>
      <c r="C652" s="35">
        <v>139.53620000000001</v>
      </c>
      <c r="D652" s="39">
        <v>11924004</v>
      </c>
      <c r="E652" s="1" t="str">
        <f t="shared" si="20"/>
        <v>2026-04</v>
      </c>
      <c r="F652" s="36">
        <f t="shared" si="21"/>
        <v>2.8446087548978927E-3</v>
      </c>
      <c r="G652" s="1"/>
      <c r="H652" s="1"/>
    </row>
    <row r="653" spans="1:8" x14ac:dyDescent="0.3">
      <c r="A653" s="26">
        <v>46142</v>
      </c>
      <c r="B653" s="38" t="s">
        <v>63</v>
      </c>
      <c r="C653" s="35">
        <v>138.74449999999999</v>
      </c>
      <c r="D653" s="39">
        <v>18699023</v>
      </c>
      <c r="E653" s="1" t="str">
        <f t="shared" si="20"/>
        <v>2026-04</v>
      </c>
      <c r="F653" s="36">
        <f t="shared" si="21"/>
        <v>-5.6737964771866878E-3</v>
      </c>
      <c r="G653" s="1"/>
      <c r="H653" s="1"/>
    </row>
    <row r="654" spans="1:8" x14ac:dyDescent="0.3">
      <c r="A654" s="26">
        <v>46146</v>
      </c>
      <c r="B654" s="38" t="s">
        <v>63</v>
      </c>
      <c r="C654" s="35">
        <v>141.91130000000001</v>
      </c>
      <c r="D654" s="39">
        <v>10396179</v>
      </c>
      <c r="E654" s="1" t="str">
        <f t="shared" si="20"/>
        <v>2026-05</v>
      </c>
      <c r="F654" s="36">
        <f t="shared" si="21"/>
        <v>2.282468854621289E-2</v>
      </c>
      <c r="G654" s="1"/>
      <c r="H654" s="1"/>
    </row>
    <row r="655" spans="1:8" x14ac:dyDescent="0.3">
      <c r="A655" s="26">
        <v>46147</v>
      </c>
      <c r="B655" s="38" t="s">
        <v>63</v>
      </c>
      <c r="C655" s="35">
        <v>134.5881</v>
      </c>
      <c r="D655" s="39">
        <v>31713313</v>
      </c>
      <c r="E655" s="1" t="str">
        <f t="shared" si="20"/>
        <v>2026-05</v>
      </c>
      <c r="F655" s="36">
        <f t="shared" si="21"/>
        <v>-5.1604065356317785E-2</v>
      </c>
      <c r="G655" s="1"/>
      <c r="H655" s="1"/>
    </row>
    <row r="656" spans="1:8" x14ac:dyDescent="0.3">
      <c r="A656" s="26">
        <v>46148</v>
      </c>
      <c r="B656" s="38" t="s">
        <v>63</v>
      </c>
      <c r="C656" s="35">
        <v>139.04140000000001</v>
      </c>
      <c r="D656" s="39">
        <v>22396052</v>
      </c>
      <c r="E656" s="1" t="str">
        <f t="shared" si="20"/>
        <v>2026-05</v>
      </c>
      <c r="F656" s="36">
        <f t="shared" si="21"/>
        <v>3.3088363681484489E-2</v>
      </c>
      <c r="G656" s="1"/>
      <c r="H656" s="1"/>
    </row>
    <row r="657" spans="1:8" x14ac:dyDescent="0.3">
      <c r="A657" s="26">
        <v>46149</v>
      </c>
      <c r="B657" s="38" t="s">
        <v>63</v>
      </c>
      <c r="C657" s="35">
        <v>141.61439999999999</v>
      </c>
      <c r="D657" s="39">
        <v>13291951</v>
      </c>
      <c r="E657" s="1" t="str">
        <f t="shared" si="20"/>
        <v>2026-05</v>
      </c>
      <c r="F657" s="36">
        <f t="shared" si="21"/>
        <v>1.8505279722442314E-2</v>
      </c>
      <c r="G657" s="1"/>
      <c r="H657" s="1"/>
    </row>
    <row r="658" spans="1:8" x14ac:dyDescent="0.3">
      <c r="A658" s="26">
        <v>46150</v>
      </c>
      <c r="B658" s="38" t="s">
        <v>63</v>
      </c>
      <c r="C658" s="35">
        <v>137.26009999999999</v>
      </c>
      <c r="D658" s="39">
        <v>15750818</v>
      </c>
      <c r="E658" s="1" t="str">
        <f t="shared" si="20"/>
        <v>2026-05</v>
      </c>
      <c r="F658" s="36">
        <f t="shared" si="21"/>
        <v>-3.0747579342213727E-2</v>
      </c>
      <c r="G658" s="1"/>
      <c r="H658" s="1"/>
    </row>
    <row r="659" spans="1:8" x14ac:dyDescent="0.3">
      <c r="A659" s="26">
        <v>46153</v>
      </c>
      <c r="B659" s="38" t="s">
        <v>63</v>
      </c>
      <c r="C659" s="35">
        <v>139.73410000000001</v>
      </c>
      <c r="D659" s="39">
        <v>9073683</v>
      </c>
      <c r="E659" s="1" t="str">
        <f t="shared" si="20"/>
        <v>2026-05</v>
      </c>
      <c r="F659" s="36">
        <f t="shared" si="21"/>
        <v>1.8024174541618532E-2</v>
      </c>
      <c r="G659" s="1"/>
      <c r="H659" s="1"/>
    </row>
    <row r="660" spans="1:8" x14ac:dyDescent="0.3">
      <c r="A660" s="26">
        <v>46154</v>
      </c>
      <c r="B660" s="38" t="s">
        <v>63</v>
      </c>
      <c r="C660" s="35">
        <v>137.1611</v>
      </c>
      <c r="D660" s="39">
        <v>9948950</v>
      </c>
      <c r="E660" s="1" t="str">
        <f t="shared" si="20"/>
        <v>2026-05</v>
      </c>
      <c r="F660" s="36">
        <f t="shared" si="21"/>
        <v>-1.8413544009658445E-2</v>
      </c>
      <c r="G660" s="1"/>
      <c r="H660" s="1"/>
    </row>
    <row r="661" spans="1:8" x14ac:dyDescent="0.3">
      <c r="A661" s="26">
        <v>46155</v>
      </c>
      <c r="B661" s="38" t="s">
        <v>63</v>
      </c>
      <c r="C661" s="35">
        <v>139.6352</v>
      </c>
      <c r="D661" s="39">
        <v>11585598</v>
      </c>
      <c r="E661" s="1" t="str">
        <f t="shared" si="20"/>
        <v>2026-05</v>
      </c>
      <c r="F661" s="36">
        <f t="shared" si="21"/>
        <v>1.8037913081770274E-2</v>
      </c>
      <c r="G661" s="1"/>
      <c r="H661" s="1"/>
    </row>
    <row r="662" spans="1:8" x14ac:dyDescent="0.3">
      <c r="A662" s="26">
        <v>46156</v>
      </c>
      <c r="B662" s="38" t="s">
        <v>63</v>
      </c>
      <c r="C662" s="35">
        <v>139.81739999999999</v>
      </c>
      <c r="D662" s="39">
        <v>10046420</v>
      </c>
      <c r="E662" s="1" t="str">
        <f t="shared" si="20"/>
        <v>2026-05</v>
      </c>
      <c r="F662" s="36">
        <f t="shared" si="21"/>
        <v>1.3048285819048377E-3</v>
      </c>
      <c r="G662" s="1"/>
      <c r="H662" s="1"/>
    </row>
    <row r="663" spans="1:8" x14ac:dyDescent="0.3">
      <c r="A663" s="26">
        <v>46157</v>
      </c>
      <c r="B663" s="38" t="s">
        <v>63</v>
      </c>
      <c r="C663" s="35">
        <v>138.72280000000001</v>
      </c>
      <c r="D663" s="39">
        <v>9189819</v>
      </c>
      <c r="E663" s="1" t="str">
        <f t="shared" si="20"/>
        <v>2026-05</v>
      </c>
      <c r="F663" s="36">
        <f t="shared" si="21"/>
        <v>-7.8287823976127546E-3</v>
      </c>
      <c r="G663" s="1"/>
      <c r="H663" s="1"/>
    </row>
    <row r="664" spans="1:8" x14ac:dyDescent="0.3">
      <c r="A664" s="26">
        <v>46160</v>
      </c>
      <c r="B664" s="38" t="s">
        <v>63</v>
      </c>
      <c r="C664" s="35">
        <v>137.42910000000001</v>
      </c>
      <c r="D664" s="39">
        <v>12750222</v>
      </c>
      <c r="E664" s="1" t="str">
        <f t="shared" si="20"/>
        <v>2026-05</v>
      </c>
      <c r="F664" s="36">
        <f t="shared" si="21"/>
        <v>-9.3257921552909462E-3</v>
      </c>
      <c r="G664" s="1"/>
      <c r="H664" s="1"/>
    </row>
    <row r="665" spans="1:8" x14ac:dyDescent="0.3">
      <c r="A665" s="26">
        <v>46161</v>
      </c>
      <c r="B665" s="38" t="s">
        <v>63</v>
      </c>
      <c r="C665" s="35">
        <v>139.61840000000001</v>
      </c>
      <c r="D665" s="39">
        <v>12110298</v>
      </c>
      <c r="E665" s="1" t="str">
        <f t="shared" si="20"/>
        <v>2026-05</v>
      </c>
      <c r="F665" s="36">
        <f t="shared" si="21"/>
        <v>1.5930396109703038E-2</v>
      </c>
      <c r="G665" s="1"/>
      <c r="H665" s="1"/>
    </row>
    <row r="666" spans="1:8" x14ac:dyDescent="0.3">
      <c r="A666" s="26">
        <v>46162</v>
      </c>
      <c r="B666" s="38" t="s">
        <v>63</v>
      </c>
      <c r="C666" s="35">
        <v>138.02619999999999</v>
      </c>
      <c r="D666" s="39">
        <v>7692378</v>
      </c>
      <c r="E666" s="1" t="str">
        <f t="shared" si="20"/>
        <v>2026-05</v>
      </c>
      <c r="F666" s="36">
        <f t="shared" si="21"/>
        <v>-1.1403941027830267E-2</v>
      </c>
      <c r="G666" s="1"/>
      <c r="H666" s="1"/>
    </row>
    <row r="667" spans="1:8" x14ac:dyDescent="0.3">
      <c r="A667" s="26">
        <v>46163</v>
      </c>
      <c r="B667" s="38" t="s">
        <v>63</v>
      </c>
      <c r="C667" s="35">
        <v>141.01159999999999</v>
      </c>
      <c r="D667" s="39">
        <v>16979986</v>
      </c>
      <c r="E667" s="1" t="str">
        <f t="shared" si="20"/>
        <v>2026-05</v>
      </c>
      <c r="F667" s="36">
        <f t="shared" si="21"/>
        <v>2.162922691489011E-2</v>
      </c>
      <c r="G667" s="1"/>
      <c r="H667" s="1"/>
    </row>
    <row r="668" spans="1:8" x14ac:dyDescent="0.3">
      <c r="A668" s="26">
        <v>46164</v>
      </c>
      <c r="B668" s="38" t="s">
        <v>63</v>
      </c>
      <c r="C668" s="35">
        <v>143.20089999999999</v>
      </c>
      <c r="D668" s="39">
        <v>18580283</v>
      </c>
      <c r="E668" s="1" t="str">
        <f t="shared" si="20"/>
        <v>2026-05</v>
      </c>
      <c r="F668" s="36">
        <f t="shared" si="21"/>
        <v>1.5525673065194701E-2</v>
      </c>
      <c r="G668" s="1"/>
      <c r="H668" s="1"/>
    </row>
    <row r="669" spans="1:8" x14ac:dyDescent="0.3">
      <c r="A669" s="26">
        <v>46168</v>
      </c>
      <c r="B669" s="38" t="s">
        <v>63</v>
      </c>
      <c r="C669" s="35">
        <v>144.79320000000001</v>
      </c>
      <c r="D669" s="39">
        <v>19646590</v>
      </c>
      <c r="E669" s="1" t="str">
        <f t="shared" si="20"/>
        <v>2026-05</v>
      </c>
      <c r="F669" s="36">
        <f t="shared" si="21"/>
        <v>1.1119343523679159E-2</v>
      </c>
      <c r="G669" s="1"/>
      <c r="H669" s="1"/>
    </row>
    <row r="670" spans="1:8" x14ac:dyDescent="0.3">
      <c r="A670" s="26">
        <v>46169</v>
      </c>
      <c r="B670" s="38" t="s">
        <v>63</v>
      </c>
      <c r="C670" s="35">
        <v>145.8878</v>
      </c>
      <c r="D670" s="39">
        <v>14520391</v>
      </c>
      <c r="E670" s="1" t="str">
        <f t="shared" si="20"/>
        <v>2026-05</v>
      </c>
      <c r="F670" s="36">
        <f t="shared" si="21"/>
        <v>7.559747280949658E-3</v>
      </c>
      <c r="G670" s="1"/>
      <c r="H670" s="1"/>
    </row>
    <row r="671" spans="1:8" x14ac:dyDescent="0.3">
      <c r="A671" s="26">
        <v>46170</v>
      </c>
      <c r="B671" s="38" t="s">
        <v>63</v>
      </c>
      <c r="C671" s="35">
        <v>144.5941</v>
      </c>
      <c r="D671" s="39">
        <v>17372582</v>
      </c>
      <c r="E671" s="1" t="str">
        <f t="shared" si="20"/>
        <v>2026-05</v>
      </c>
      <c r="F671" s="36">
        <f t="shared" si="21"/>
        <v>-8.8677737274810431E-3</v>
      </c>
      <c r="G671" s="1"/>
      <c r="H671" s="1"/>
    </row>
    <row r="672" spans="1:8" x14ac:dyDescent="0.3">
      <c r="A672" s="26">
        <v>46171</v>
      </c>
      <c r="B672" s="38" t="s">
        <v>63</v>
      </c>
      <c r="C672" s="35">
        <v>144.39510000000001</v>
      </c>
      <c r="D672" s="39">
        <v>13019970</v>
      </c>
      <c r="E672" s="1" t="str">
        <f t="shared" si="20"/>
        <v>2026-05</v>
      </c>
      <c r="F672" s="36">
        <f t="shared" si="21"/>
        <v>-1.3762663898456706E-3</v>
      </c>
      <c r="G672" s="1"/>
      <c r="H672" s="1"/>
    </row>
    <row r="673" spans="1:8" x14ac:dyDescent="0.3">
      <c r="A673" s="26">
        <v>46174</v>
      </c>
      <c r="B673" s="38" t="s">
        <v>63</v>
      </c>
      <c r="C673" s="35">
        <v>145.58930000000001</v>
      </c>
      <c r="D673" s="39">
        <v>11125038</v>
      </c>
      <c r="E673" s="1" t="str">
        <f t="shared" si="20"/>
        <v>2026-06</v>
      </c>
      <c r="F673" s="36">
        <f t="shared" si="21"/>
        <v>8.270363745030096E-3</v>
      </c>
      <c r="G673" s="1"/>
      <c r="H673" s="1"/>
    </row>
    <row r="674" spans="1:8" x14ac:dyDescent="0.3">
      <c r="A674" s="26">
        <v>46175</v>
      </c>
      <c r="B674" s="38" t="s">
        <v>63</v>
      </c>
      <c r="C674" s="35">
        <v>146.48490000000001</v>
      </c>
      <c r="D674" s="39">
        <v>17445189</v>
      </c>
      <c r="E674" s="1" t="str">
        <f t="shared" si="20"/>
        <v>2026-06</v>
      </c>
      <c r="F674" s="36">
        <f t="shared" si="21"/>
        <v>6.1515509724958672E-3</v>
      </c>
      <c r="G674" s="1"/>
      <c r="H674" s="1"/>
    </row>
    <row r="675" spans="1:8" x14ac:dyDescent="0.3">
      <c r="A675" s="26">
        <v>46176</v>
      </c>
      <c r="B675" s="38" t="s">
        <v>63</v>
      </c>
      <c r="C675" s="35">
        <v>146.18639999999999</v>
      </c>
      <c r="D675" s="39">
        <v>13176862</v>
      </c>
      <c r="E675" s="1" t="str">
        <f t="shared" si="20"/>
        <v>2026-06</v>
      </c>
      <c r="F675" s="36">
        <f t="shared" si="21"/>
        <v>-2.0377526966944837E-3</v>
      </c>
      <c r="G675" s="1"/>
      <c r="H675" s="1"/>
    </row>
    <row r="676" spans="1:8" x14ac:dyDescent="0.3">
      <c r="A676" s="26">
        <v>46177</v>
      </c>
      <c r="B676" s="38" t="s">
        <v>63</v>
      </c>
      <c r="C676" s="35">
        <v>145.68879999999999</v>
      </c>
      <c r="D676" s="39">
        <v>11968429</v>
      </c>
      <c r="E676" s="1" t="str">
        <f t="shared" si="20"/>
        <v>2026-06</v>
      </c>
      <c r="F676" s="36">
        <f t="shared" si="21"/>
        <v>-3.403873410932956E-3</v>
      </c>
      <c r="G676" s="1"/>
      <c r="H676" s="1"/>
    </row>
    <row r="677" spans="1:8" x14ac:dyDescent="0.3">
      <c r="A677" s="26">
        <v>46178</v>
      </c>
      <c r="B677" s="38" t="s">
        <v>63</v>
      </c>
      <c r="C677" s="35">
        <v>141.11109999999999</v>
      </c>
      <c r="D677" s="39">
        <v>29293119</v>
      </c>
      <c r="E677" s="1" t="str">
        <f t="shared" si="20"/>
        <v>2026-06</v>
      </c>
      <c r="F677" s="36">
        <f t="shared" si="21"/>
        <v>-3.14210838444684E-2</v>
      </c>
      <c r="G677" s="1"/>
      <c r="H677" s="1"/>
    </row>
    <row r="678" spans="1:8" x14ac:dyDescent="0.3">
      <c r="A678" s="26">
        <v>46181</v>
      </c>
      <c r="B678" s="38" t="s">
        <v>63</v>
      </c>
      <c r="C678" s="35">
        <v>141.6087</v>
      </c>
      <c r="D678" s="39">
        <v>15193347</v>
      </c>
      <c r="E678" s="1" t="str">
        <f t="shared" si="20"/>
        <v>2026-06</v>
      </c>
      <c r="F678" s="36">
        <f t="shared" si="21"/>
        <v>3.5262994902598432E-3</v>
      </c>
      <c r="G678" s="1"/>
      <c r="H678" s="1"/>
    </row>
    <row r="679" spans="1:8" x14ac:dyDescent="0.3">
      <c r="A679" s="26">
        <v>46182</v>
      </c>
      <c r="B679" s="38" t="s">
        <v>63</v>
      </c>
      <c r="C679" s="35">
        <v>141.40969999999999</v>
      </c>
      <c r="D679" s="39">
        <v>11622898</v>
      </c>
      <c r="E679" s="1" t="str">
        <f t="shared" si="20"/>
        <v>2026-06</v>
      </c>
      <c r="F679" s="36">
        <f t="shared" si="21"/>
        <v>-1.4052808902278446E-3</v>
      </c>
      <c r="G679" s="1"/>
      <c r="H679" s="1"/>
    </row>
    <row r="680" spans="1:8" x14ac:dyDescent="0.3">
      <c r="A680" s="26">
        <v>46183</v>
      </c>
      <c r="B680" s="38" t="s">
        <v>63</v>
      </c>
      <c r="C680" s="35">
        <v>134.64269999999999</v>
      </c>
      <c r="D680" s="39">
        <v>35400697</v>
      </c>
      <c r="E680" s="1" t="str">
        <f t="shared" si="20"/>
        <v>2026-06</v>
      </c>
      <c r="F680" s="36">
        <f t="shared" si="21"/>
        <v>-4.7853860095877443E-2</v>
      </c>
      <c r="G680" s="1"/>
      <c r="H680" s="1"/>
    </row>
    <row r="681" spans="1:8" x14ac:dyDescent="0.3">
      <c r="A681" s="26">
        <v>46184</v>
      </c>
      <c r="B681" s="38" t="s">
        <v>63</v>
      </c>
      <c r="C681" s="35">
        <v>137.8272</v>
      </c>
      <c r="D681" s="39">
        <v>17746424</v>
      </c>
      <c r="E681" s="1" t="str">
        <f t="shared" si="20"/>
        <v>2026-06</v>
      </c>
      <c r="F681" s="36">
        <f t="shared" si="21"/>
        <v>2.3651486489798756E-2</v>
      </c>
      <c r="G681" s="1"/>
      <c r="H681" s="1"/>
    </row>
    <row r="682" spans="1:8" x14ac:dyDescent="0.3">
      <c r="A682" s="26">
        <v>46185</v>
      </c>
      <c r="B682" s="38" t="s">
        <v>63</v>
      </c>
      <c r="C682" s="35">
        <v>142.1063</v>
      </c>
      <c r="D682" s="39">
        <v>14715851</v>
      </c>
      <c r="E682" s="1" t="str">
        <f t="shared" si="20"/>
        <v>2026-06</v>
      </c>
      <c r="F682" s="36">
        <f t="shared" si="21"/>
        <v>3.1046847066471539E-2</v>
      </c>
      <c r="G682" s="1"/>
      <c r="H682" s="1"/>
    </row>
    <row r="683" spans="1:8" x14ac:dyDescent="0.3">
      <c r="A683" s="26">
        <v>46188</v>
      </c>
      <c r="B683" s="38" t="s">
        <v>63</v>
      </c>
      <c r="C683" s="35">
        <v>145.0917</v>
      </c>
      <c r="D683" s="39">
        <v>19088018</v>
      </c>
      <c r="E683" s="1" t="str">
        <f t="shared" si="20"/>
        <v>2026-06</v>
      </c>
      <c r="F683" s="36">
        <f t="shared" si="21"/>
        <v>2.1008217088193781E-2</v>
      </c>
      <c r="G683" s="1"/>
      <c r="H683" s="1"/>
    </row>
    <row r="684" spans="1:8" x14ac:dyDescent="0.3">
      <c r="A684" s="26">
        <v>46189</v>
      </c>
      <c r="B684" s="38" t="s">
        <v>63</v>
      </c>
      <c r="C684" s="35">
        <v>145.29069999999999</v>
      </c>
      <c r="D684" s="39">
        <v>10893438</v>
      </c>
      <c r="E684" s="1" t="str">
        <f t="shared" si="20"/>
        <v>2026-06</v>
      </c>
      <c r="F684" s="36">
        <f t="shared" si="21"/>
        <v>1.37154640823689E-3</v>
      </c>
      <c r="G684" s="1"/>
      <c r="H684" s="1"/>
    </row>
    <row r="685" spans="1:8" x14ac:dyDescent="0.3">
      <c r="A685" s="26">
        <v>46190</v>
      </c>
      <c r="B685" s="38" t="s">
        <v>63</v>
      </c>
      <c r="C685" s="35">
        <v>147.28100000000001</v>
      </c>
      <c r="D685" s="39">
        <v>20033026</v>
      </c>
      <c r="E685" s="1" t="str">
        <f t="shared" si="20"/>
        <v>2026-06</v>
      </c>
      <c r="F685" s="36">
        <f t="shared" si="21"/>
        <v>1.3698743278131476E-2</v>
      </c>
      <c r="G685" s="1"/>
      <c r="H685" s="1"/>
    </row>
    <row r="686" spans="1:8" x14ac:dyDescent="0.3">
      <c r="A686" s="26">
        <v>46191</v>
      </c>
      <c r="B686" s="38" t="s">
        <v>63</v>
      </c>
      <c r="C686" s="35">
        <v>148.27619999999999</v>
      </c>
      <c r="D686" s="39">
        <v>28019812</v>
      </c>
      <c r="E686" s="1" t="str">
        <f t="shared" si="20"/>
        <v>2026-06</v>
      </c>
      <c r="F686" s="36">
        <f t="shared" si="21"/>
        <v>6.7571512958222169E-3</v>
      </c>
      <c r="G686" s="1"/>
      <c r="H686" s="1"/>
    </row>
    <row r="687" spans="1:8" x14ac:dyDescent="0.3">
      <c r="A687" s="26">
        <v>46195</v>
      </c>
      <c r="B687" s="38" t="s">
        <v>63</v>
      </c>
      <c r="C687" s="35">
        <v>147.1815</v>
      </c>
      <c r="D687" s="39">
        <v>11432504</v>
      </c>
      <c r="E687" s="1" t="str">
        <f t="shared" si="20"/>
        <v>2026-06</v>
      </c>
      <c r="F687" s="36">
        <f t="shared" si="21"/>
        <v>-7.382843639100467E-3</v>
      </c>
      <c r="G687" s="1"/>
      <c r="H687" s="1"/>
    </row>
    <row r="688" spans="1:8" x14ac:dyDescent="0.3">
      <c r="A688" s="26">
        <v>46196</v>
      </c>
      <c r="B688" s="38" t="s">
        <v>63</v>
      </c>
      <c r="C688" s="35">
        <v>147.9776</v>
      </c>
      <c r="D688" s="39">
        <v>14752507</v>
      </c>
      <c r="E688" s="1" t="str">
        <f t="shared" si="20"/>
        <v>2026-06</v>
      </c>
      <c r="F688" s="36">
        <f t="shared" si="21"/>
        <v>5.4089678390285556E-3</v>
      </c>
      <c r="G688" s="1"/>
      <c r="H688" s="1"/>
    </row>
    <row r="689" spans="1:8" x14ac:dyDescent="0.3">
      <c r="A689" s="26">
        <v>46197</v>
      </c>
      <c r="B689" s="38" t="s">
        <v>63</v>
      </c>
      <c r="C689" s="35">
        <v>147.47999999999999</v>
      </c>
      <c r="D689" s="39">
        <v>10676159</v>
      </c>
      <c r="E689" s="1" t="str">
        <f t="shared" si="20"/>
        <v>2026-06</v>
      </c>
      <c r="F689" s="36">
        <f t="shared" si="21"/>
        <v>-3.3626711069784099E-3</v>
      </c>
      <c r="G689" s="1"/>
      <c r="H689" s="1"/>
    </row>
    <row r="690" spans="1:8" x14ac:dyDescent="0.3">
      <c r="A690" s="26">
        <v>46198</v>
      </c>
      <c r="B690" s="38" t="s">
        <v>63</v>
      </c>
      <c r="C690" s="35">
        <v>147.5796</v>
      </c>
      <c r="D690" s="39">
        <v>8637696</v>
      </c>
      <c r="E690" s="1" t="str">
        <f t="shared" si="20"/>
        <v>2026-06</v>
      </c>
      <c r="F690" s="36">
        <f t="shared" si="21"/>
        <v>6.753458096013798E-4</v>
      </c>
      <c r="G690" s="1"/>
      <c r="H690" s="1"/>
    </row>
    <row r="691" spans="1:8" x14ac:dyDescent="0.3">
      <c r="A691" s="26">
        <v>46199</v>
      </c>
      <c r="B691" s="38" t="s">
        <v>63</v>
      </c>
      <c r="C691" s="35">
        <v>146.98249999999999</v>
      </c>
      <c r="D691" s="39">
        <v>17958141</v>
      </c>
      <c r="E691" s="1" t="str">
        <f t="shared" si="20"/>
        <v>2026-06</v>
      </c>
      <c r="F691" s="36">
        <f t="shared" si="21"/>
        <v>-4.0459521505683549E-3</v>
      </c>
      <c r="G691" s="1"/>
      <c r="H691" s="1"/>
    </row>
    <row r="692" spans="1:8" x14ac:dyDescent="0.3">
      <c r="A692" s="26">
        <v>46202</v>
      </c>
      <c r="B692" s="38" t="s">
        <v>63</v>
      </c>
      <c r="C692" s="35">
        <v>146.88300000000001</v>
      </c>
      <c r="D692" s="39">
        <v>14007945</v>
      </c>
      <c r="E692" s="1" t="str">
        <f t="shared" si="20"/>
        <v>2026-06</v>
      </c>
      <c r="F692" s="36">
        <f t="shared" si="21"/>
        <v>-6.7695133774414717E-4</v>
      </c>
      <c r="G692" s="1"/>
      <c r="H692" s="1"/>
    </row>
    <row r="693" spans="1:8" x14ac:dyDescent="0.3">
      <c r="A693" s="26">
        <v>46203</v>
      </c>
      <c r="B693" s="38" t="s">
        <v>63</v>
      </c>
      <c r="C693" s="35">
        <v>147.1815</v>
      </c>
      <c r="D693" s="39">
        <v>13123569</v>
      </c>
      <c r="E693" s="1" t="str">
        <f t="shared" si="20"/>
        <v>2026-06</v>
      </c>
      <c r="F693" s="36">
        <f t="shared" si="21"/>
        <v>2.0322297338697393E-3</v>
      </c>
      <c r="G693" s="1"/>
      <c r="H693" s="1"/>
    </row>
    <row r="694" spans="1:8" x14ac:dyDescent="0.3">
      <c r="A694" s="26">
        <v>46205</v>
      </c>
      <c r="B694" s="38" t="s">
        <v>63</v>
      </c>
      <c r="C694" s="35">
        <v>148.77369999999999</v>
      </c>
      <c r="D694" s="39">
        <v>18641915</v>
      </c>
      <c r="E694" s="1" t="str">
        <f t="shared" si="20"/>
        <v>2026-07</v>
      </c>
      <c r="F694" s="36">
        <f t="shared" si="21"/>
        <v>1.0817935678057333E-2</v>
      </c>
      <c r="G694" s="1"/>
      <c r="H694" s="1"/>
    </row>
    <row r="695" spans="1:8" x14ac:dyDescent="0.3">
      <c r="A695" s="26">
        <v>46206</v>
      </c>
      <c r="B695" s="38" t="s">
        <v>63</v>
      </c>
      <c r="C695" s="35">
        <v>151.26159999999999</v>
      </c>
      <c r="D695" s="39">
        <v>29828005</v>
      </c>
      <c r="E695" s="1" t="str">
        <f t="shared" si="20"/>
        <v>2026-07</v>
      </c>
      <c r="F695" s="36">
        <f t="shared" si="21"/>
        <v>1.672271375921941E-2</v>
      </c>
      <c r="G695" s="1"/>
      <c r="H695" s="1"/>
    </row>
    <row r="696" spans="1:8" x14ac:dyDescent="0.3">
      <c r="A696" s="26">
        <v>46209</v>
      </c>
      <c r="B696" s="38" t="s">
        <v>63</v>
      </c>
      <c r="C696" s="35">
        <v>151.26159999999999</v>
      </c>
      <c r="D696" s="39">
        <v>11329676</v>
      </c>
      <c r="E696" s="1" t="str">
        <f t="shared" si="20"/>
        <v>2026-07</v>
      </c>
      <c r="F696" s="36">
        <f t="shared" si="21"/>
        <v>0</v>
      </c>
      <c r="G696" s="1"/>
      <c r="H696" s="1"/>
    </row>
    <row r="697" spans="1:8" x14ac:dyDescent="0.3">
      <c r="A697" s="26">
        <v>46210</v>
      </c>
      <c r="B697" s="38" t="s">
        <v>63</v>
      </c>
      <c r="C697" s="35">
        <v>152.55529999999999</v>
      </c>
      <c r="D697" s="39">
        <v>13801029</v>
      </c>
      <c r="E697" s="1" t="str">
        <f t="shared" si="20"/>
        <v>2026-07</v>
      </c>
      <c r="F697" s="36">
        <f t="shared" si="21"/>
        <v>8.5527324846490504E-3</v>
      </c>
      <c r="G697" s="1"/>
      <c r="H697" s="1"/>
    </row>
    <row r="698" spans="1:8" x14ac:dyDescent="0.3">
      <c r="A698" s="26">
        <v>46211</v>
      </c>
      <c r="B698" s="38" t="s">
        <v>63</v>
      </c>
      <c r="C698" s="35">
        <v>151.16210000000001</v>
      </c>
      <c r="D698" s="39">
        <v>10812738</v>
      </c>
      <c r="E698" s="1" t="str">
        <f t="shared" si="20"/>
        <v>2026-07</v>
      </c>
      <c r="F698" s="36">
        <f t="shared" si="21"/>
        <v>-9.1324260776254329E-3</v>
      </c>
      <c r="G698" s="1"/>
      <c r="H698" s="1"/>
    </row>
    <row r="699" spans="1:8" x14ac:dyDescent="0.3">
      <c r="A699" s="26">
        <v>46212</v>
      </c>
      <c r="B699" s="38" t="s">
        <v>63</v>
      </c>
      <c r="C699" s="35">
        <v>151.56010000000001</v>
      </c>
      <c r="D699" s="39">
        <v>8992416</v>
      </c>
      <c r="E699" s="1" t="str">
        <f t="shared" si="20"/>
        <v>2026-07</v>
      </c>
      <c r="F699" s="36">
        <f t="shared" si="21"/>
        <v>2.6329351074112495E-3</v>
      </c>
      <c r="G699" s="1"/>
      <c r="H699" s="1"/>
    </row>
    <row r="700" spans="1:8" x14ac:dyDescent="0.3">
      <c r="A700" s="26">
        <v>46213</v>
      </c>
      <c r="B700" s="38" t="s">
        <v>63</v>
      </c>
      <c r="C700" s="35">
        <v>152.7543</v>
      </c>
      <c r="D700" s="39">
        <v>11223212</v>
      </c>
      <c r="E700" s="1" t="str">
        <f t="shared" si="20"/>
        <v>2026-07</v>
      </c>
      <c r="F700" s="36">
        <f t="shared" si="21"/>
        <v>7.8793825023868447E-3</v>
      </c>
      <c r="G700" s="1"/>
      <c r="H700" s="1"/>
    </row>
    <row r="701" spans="1:8" x14ac:dyDescent="0.3">
      <c r="A701" s="26">
        <v>46216</v>
      </c>
      <c r="B701" s="38" t="s">
        <v>63</v>
      </c>
      <c r="C701" s="35">
        <v>153.05279999999999</v>
      </c>
      <c r="D701" s="39">
        <v>7632722</v>
      </c>
      <c r="E701" s="1" t="str">
        <f t="shared" si="20"/>
        <v>2026-07</v>
      </c>
      <c r="F701" s="36">
        <f t="shared" si="21"/>
        <v>1.9541184765339281E-3</v>
      </c>
      <c r="G701" s="1"/>
      <c r="H701" s="1"/>
    </row>
    <row r="702" spans="1:8" x14ac:dyDescent="0.3">
      <c r="A702" s="26">
        <v>46217</v>
      </c>
      <c r="B702" s="38" t="s">
        <v>63</v>
      </c>
      <c r="C702" s="35">
        <v>151.8587</v>
      </c>
      <c r="D702" s="39">
        <v>10672156</v>
      </c>
      <c r="E702" s="1" t="str">
        <f t="shared" si="20"/>
        <v>2026-07</v>
      </c>
      <c r="F702" s="36">
        <f t="shared" si="21"/>
        <v>-7.8018827489597653E-3</v>
      </c>
      <c r="G702" s="1"/>
      <c r="H702" s="1"/>
    </row>
    <row r="703" spans="1:8" x14ac:dyDescent="0.3">
      <c r="A703" s="26">
        <v>46218</v>
      </c>
      <c r="B703" s="38" t="s">
        <v>63</v>
      </c>
      <c r="C703" s="35">
        <v>154.5455</v>
      </c>
      <c r="D703" s="39">
        <v>15259993</v>
      </c>
      <c r="E703" s="1" t="str">
        <f t="shared" si="20"/>
        <v>2026-07</v>
      </c>
      <c r="F703" s="36">
        <f t="shared" si="21"/>
        <v>1.7692763075148221E-2</v>
      </c>
      <c r="G703" s="1"/>
      <c r="H703" s="1"/>
    </row>
    <row r="704" spans="1:8" x14ac:dyDescent="0.3">
      <c r="A704" s="26">
        <v>46219</v>
      </c>
      <c r="B704" s="38" t="s">
        <v>63</v>
      </c>
      <c r="C704" s="35">
        <v>156.1378</v>
      </c>
      <c r="D704" s="39">
        <v>13900318</v>
      </c>
      <c r="E704" s="1" t="str">
        <f t="shared" si="20"/>
        <v>2026-07</v>
      </c>
      <c r="F704" s="36">
        <f t="shared" si="21"/>
        <v>1.0303114616730946E-2</v>
      </c>
      <c r="G704" s="1"/>
      <c r="H704" s="1"/>
    </row>
    <row r="705" spans="1:8" x14ac:dyDescent="0.3">
      <c r="A705" s="26">
        <v>46220</v>
      </c>
      <c r="B705" s="38" t="s">
        <v>63</v>
      </c>
      <c r="C705" s="35">
        <v>156.1378</v>
      </c>
      <c r="D705" s="39">
        <v>17653835</v>
      </c>
      <c r="E705" s="1" t="str">
        <f t="shared" si="20"/>
        <v>2026-07</v>
      </c>
      <c r="F705" s="36">
        <f t="shared" si="21"/>
        <v>0</v>
      </c>
      <c r="G705" s="1"/>
      <c r="H705" s="1"/>
    </row>
    <row r="706" spans="1:8" x14ac:dyDescent="0.3">
      <c r="A706" s="26">
        <v>46223</v>
      </c>
      <c r="B706" s="38" t="s">
        <v>63</v>
      </c>
      <c r="C706" s="35">
        <v>157.0334</v>
      </c>
      <c r="D706" s="39">
        <v>12386814</v>
      </c>
      <c r="E706" s="1" t="str">
        <f t="shared" ref="E706:E769" si="22">TEXT(A706,"yyyy-mm")</f>
        <v>2026-07</v>
      </c>
      <c r="F706" s="36">
        <f t="shared" si="21"/>
        <v>5.7359588773506776E-3</v>
      </c>
      <c r="G706" s="1"/>
      <c r="H706" s="1"/>
    </row>
    <row r="707" spans="1:8" x14ac:dyDescent="0.3">
      <c r="A707" s="26">
        <v>46224</v>
      </c>
      <c r="B707" s="38" t="s">
        <v>63</v>
      </c>
      <c r="C707" s="35">
        <v>155.7397</v>
      </c>
      <c r="D707" s="39">
        <v>9738890</v>
      </c>
      <c r="E707" s="1" t="str">
        <f t="shared" si="22"/>
        <v>2026-07</v>
      </c>
      <c r="F707" s="36">
        <f t="shared" ref="F707:F770" si="23">IF(B707=B706,C707/C706-1,0)</f>
        <v>-8.2383747661325391E-3</v>
      </c>
      <c r="G707" s="1"/>
      <c r="H707" s="1"/>
    </row>
    <row r="708" spans="1:8" x14ac:dyDescent="0.3">
      <c r="A708" s="26">
        <v>46225</v>
      </c>
      <c r="B708" s="38" t="s">
        <v>63</v>
      </c>
      <c r="C708" s="35">
        <v>158.12809999999999</v>
      </c>
      <c r="D708" s="39">
        <v>14270934</v>
      </c>
      <c r="E708" s="1" t="str">
        <f t="shared" si="22"/>
        <v>2026-07</v>
      </c>
      <c r="F708" s="36">
        <f t="shared" si="23"/>
        <v>1.5335845645008783E-2</v>
      </c>
      <c r="G708" s="1"/>
      <c r="H708" s="1"/>
    </row>
    <row r="709" spans="1:8" x14ac:dyDescent="0.3">
      <c r="A709" s="26">
        <v>46226</v>
      </c>
      <c r="B709" s="38" t="s">
        <v>63</v>
      </c>
      <c r="C709" s="35">
        <v>160.71539999999999</v>
      </c>
      <c r="D709" s="39">
        <v>16595815</v>
      </c>
      <c r="E709" s="1" t="str">
        <f t="shared" si="22"/>
        <v>2026-07</v>
      </c>
      <c r="F709" s="36">
        <f t="shared" si="23"/>
        <v>1.6362050767700254E-2</v>
      </c>
      <c r="G709" s="1"/>
      <c r="H709" s="1"/>
    </row>
    <row r="710" spans="1:8" x14ac:dyDescent="0.3">
      <c r="A710" s="26">
        <v>46227</v>
      </c>
      <c r="B710" s="38" t="s">
        <v>63</v>
      </c>
      <c r="C710" s="35">
        <v>160.61590000000001</v>
      </c>
      <c r="D710" s="39">
        <v>10606273</v>
      </c>
      <c r="E710" s="1" t="str">
        <f t="shared" si="22"/>
        <v>2026-07</v>
      </c>
      <c r="F710" s="36">
        <f t="shared" si="23"/>
        <v>-6.1910681863708295E-4</v>
      </c>
      <c r="G710" s="1"/>
      <c r="H710" s="1"/>
    </row>
    <row r="711" spans="1:8" x14ac:dyDescent="0.3">
      <c r="A711" s="26">
        <v>46230</v>
      </c>
      <c r="B711" s="38" t="s">
        <v>63</v>
      </c>
      <c r="C711" s="35">
        <v>162.00909999999999</v>
      </c>
      <c r="D711" s="39">
        <v>12937163</v>
      </c>
      <c r="E711" s="1" t="str">
        <f t="shared" si="22"/>
        <v>2026-07</v>
      </c>
      <c r="F711" s="36">
        <f t="shared" si="23"/>
        <v>8.6741100974434548E-3</v>
      </c>
      <c r="G711" s="1"/>
      <c r="H711" s="1"/>
    </row>
    <row r="712" spans="1:8" x14ac:dyDescent="0.3">
      <c r="A712" s="26">
        <v>46231</v>
      </c>
      <c r="B712" s="38" t="s">
        <v>63</v>
      </c>
      <c r="C712" s="35">
        <v>161.21299999999999</v>
      </c>
      <c r="D712" s="39">
        <v>8011395</v>
      </c>
      <c r="E712" s="1" t="str">
        <f t="shared" si="22"/>
        <v>2026-07</v>
      </c>
      <c r="F712" s="36">
        <f t="shared" si="23"/>
        <v>-4.9139215019402549E-3</v>
      </c>
      <c r="G712" s="1"/>
      <c r="H712" s="1"/>
    </row>
    <row r="713" spans="1:8" x14ac:dyDescent="0.3">
      <c r="A713" s="26">
        <v>46232</v>
      </c>
      <c r="B713" s="38" t="s">
        <v>63</v>
      </c>
      <c r="C713" s="35">
        <v>163.8999</v>
      </c>
      <c r="D713" s="39">
        <v>20520250</v>
      </c>
      <c r="E713" s="1" t="str">
        <f t="shared" si="22"/>
        <v>2026-07</v>
      </c>
      <c r="F713" s="36">
        <f t="shared" si="23"/>
        <v>1.6666770049561741E-2</v>
      </c>
      <c r="G713" s="1"/>
      <c r="H713" s="1"/>
    </row>
    <row r="714" spans="1:8" x14ac:dyDescent="0.3">
      <c r="A714" s="26">
        <v>46233</v>
      </c>
      <c r="B714" s="38" t="s">
        <v>63</v>
      </c>
      <c r="C714" s="35">
        <v>163.70089999999999</v>
      </c>
      <c r="D714" s="39">
        <v>21285981</v>
      </c>
      <c r="E714" s="1" t="str">
        <f t="shared" si="22"/>
        <v>2026-07</v>
      </c>
      <c r="F714" s="36">
        <f t="shared" si="23"/>
        <v>-1.2141557133348302E-3</v>
      </c>
      <c r="G714" s="1"/>
      <c r="H714" s="1"/>
    </row>
    <row r="715" spans="1:8" x14ac:dyDescent="0.3">
      <c r="A715" s="26">
        <v>46234</v>
      </c>
      <c r="B715" s="38" t="s">
        <v>63</v>
      </c>
      <c r="C715" s="35">
        <v>167.38290000000001</v>
      </c>
      <c r="D715" s="39">
        <v>21451778</v>
      </c>
      <c r="E715" s="1" t="str">
        <f t="shared" si="22"/>
        <v>2026-07</v>
      </c>
      <c r="F715" s="36">
        <f t="shared" si="23"/>
        <v>2.2492240421402743E-2</v>
      </c>
      <c r="G715" s="1"/>
      <c r="H715" s="1"/>
    </row>
    <row r="716" spans="1:8" x14ac:dyDescent="0.3">
      <c r="A716" s="26">
        <v>46237</v>
      </c>
      <c r="B716" s="38" t="s">
        <v>63</v>
      </c>
      <c r="C716" s="35">
        <v>167.38290000000001</v>
      </c>
      <c r="D716" s="39">
        <v>12417142</v>
      </c>
      <c r="E716" s="1" t="str">
        <f t="shared" si="22"/>
        <v>2026-08</v>
      </c>
      <c r="F716" s="36">
        <f t="shared" si="23"/>
        <v>0</v>
      </c>
      <c r="G716" s="1"/>
      <c r="H716" s="1"/>
    </row>
    <row r="717" spans="1:8" x14ac:dyDescent="0.3">
      <c r="A717" s="26">
        <v>46238</v>
      </c>
      <c r="B717" s="38" t="s">
        <v>63</v>
      </c>
      <c r="C717" s="35">
        <v>165.69110000000001</v>
      </c>
      <c r="D717" s="39">
        <v>27429003</v>
      </c>
      <c r="E717" s="1" t="str">
        <f t="shared" si="22"/>
        <v>2026-08</v>
      </c>
      <c r="F717" s="36">
        <f t="shared" si="23"/>
        <v>-1.0107364611319336E-2</v>
      </c>
      <c r="G717" s="1"/>
      <c r="H717" s="1"/>
    </row>
    <row r="718" spans="1:8" x14ac:dyDescent="0.3">
      <c r="A718" s="26">
        <v>46239</v>
      </c>
      <c r="B718" s="38" t="s">
        <v>63</v>
      </c>
      <c r="C718" s="35">
        <v>161.3125</v>
      </c>
      <c r="D718" s="39">
        <v>23150626</v>
      </c>
      <c r="E718" s="1" t="str">
        <f t="shared" si="22"/>
        <v>2026-08</v>
      </c>
      <c r="F718" s="36">
        <f t="shared" si="23"/>
        <v>-2.6426283608473877E-2</v>
      </c>
      <c r="G718" s="1"/>
      <c r="H718" s="1"/>
    </row>
    <row r="719" spans="1:8" x14ac:dyDescent="0.3">
      <c r="A719" s="26">
        <v>46240</v>
      </c>
      <c r="B719" s="38" t="s">
        <v>63</v>
      </c>
      <c r="C719" s="35">
        <v>159.32220000000001</v>
      </c>
      <c r="D719" s="39">
        <v>20372701</v>
      </c>
      <c r="E719" s="1" t="str">
        <f t="shared" si="22"/>
        <v>2026-08</v>
      </c>
      <c r="F719" s="36">
        <f t="shared" si="23"/>
        <v>-1.2338163502518373E-2</v>
      </c>
      <c r="G719" s="1"/>
      <c r="H719" s="1"/>
    </row>
    <row r="720" spans="1:8" x14ac:dyDescent="0.3">
      <c r="A720" s="26">
        <v>46241</v>
      </c>
      <c r="B720" s="38" t="s">
        <v>63</v>
      </c>
      <c r="C720" s="35">
        <v>160.4169</v>
      </c>
      <c r="D720" s="39">
        <v>11750647</v>
      </c>
      <c r="E720" s="1" t="str">
        <f t="shared" si="22"/>
        <v>2026-08</v>
      </c>
      <c r="F720" s="36">
        <f t="shared" si="23"/>
        <v>6.8709821983377051E-3</v>
      </c>
      <c r="G720" s="1"/>
      <c r="H720" s="1"/>
    </row>
    <row r="721" spans="1:8" x14ac:dyDescent="0.3">
      <c r="A721" s="26">
        <v>46244</v>
      </c>
      <c r="B721" s="38" t="s">
        <v>63</v>
      </c>
      <c r="C721" s="35">
        <v>161.7106</v>
      </c>
      <c r="D721" s="39">
        <v>8270003</v>
      </c>
      <c r="E721" s="1" t="str">
        <f t="shared" si="22"/>
        <v>2026-08</v>
      </c>
      <c r="F721" s="36">
        <f t="shared" si="23"/>
        <v>8.0646116462792516E-3</v>
      </c>
      <c r="G721" s="1"/>
      <c r="H721" s="1"/>
    </row>
    <row r="722" spans="1:8" x14ac:dyDescent="0.3">
      <c r="A722" s="26">
        <v>46245</v>
      </c>
      <c r="B722" s="38" t="s">
        <v>63</v>
      </c>
      <c r="C722" s="35">
        <v>160.9145</v>
      </c>
      <c r="D722" s="39">
        <v>9756226</v>
      </c>
      <c r="E722" s="1" t="str">
        <f t="shared" si="22"/>
        <v>2026-08</v>
      </c>
      <c r="F722" s="36">
        <f t="shared" si="23"/>
        <v>-4.9229920611264522E-3</v>
      </c>
      <c r="G722" s="1"/>
      <c r="H722" s="1"/>
    </row>
    <row r="723" spans="1:8" x14ac:dyDescent="0.3">
      <c r="A723" s="26">
        <v>46246</v>
      </c>
      <c r="B723" s="38" t="s">
        <v>63</v>
      </c>
      <c r="C723" s="35">
        <v>160.61590000000001</v>
      </c>
      <c r="D723" s="39">
        <v>7210163</v>
      </c>
      <c r="E723" s="1" t="str">
        <f t="shared" si="22"/>
        <v>2026-08</v>
      </c>
      <c r="F723" s="36">
        <f t="shared" si="23"/>
        <v>-1.8556438357015814E-3</v>
      </c>
      <c r="G723" s="1"/>
      <c r="H723" s="1"/>
    </row>
    <row r="724" spans="1:8" x14ac:dyDescent="0.3">
      <c r="A724" s="26">
        <v>46247</v>
      </c>
      <c r="B724" s="38" t="s">
        <v>63</v>
      </c>
      <c r="C724" s="35">
        <v>163</v>
      </c>
      <c r="D724" s="39">
        <v>7977764</v>
      </c>
      <c r="E724" s="1" t="str">
        <f t="shared" si="22"/>
        <v>2026-08</v>
      </c>
      <c r="F724" s="36">
        <f t="shared" si="23"/>
        <v>1.4843486852796017E-2</v>
      </c>
      <c r="G724" s="1"/>
      <c r="H724" s="1"/>
    </row>
    <row r="725" spans="1:8" x14ac:dyDescent="0.3">
      <c r="A725" s="26">
        <v>46248</v>
      </c>
      <c r="B725" s="38" t="s">
        <v>63</v>
      </c>
      <c r="C725" s="35">
        <v>160.80000000000001</v>
      </c>
      <c r="D725" s="39">
        <v>6724838</v>
      </c>
      <c r="E725" s="1" t="str">
        <f t="shared" si="22"/>
        <v>2026-08</v>
      </c>
      <c r="F725" s="36">
        <f t="shared" si="23"/>
        <v>-1.3496932515337345E-2</v>
      </c>
      <c r="G725" s="1"/>
      <c r="H725" s="1"/>
    </row>
    <row r="726" spans="1:8" x14ac:dyDescent="0.3">
      <c r="A726" s="26">
        <v>46251</v>
      </c>
      <c r="B726" s="38" t="s">
        <v>63</v>
      </c>
      <c r="C726" s="35">
        <v>163.5</v>
      </c>
      <c r="D726" s="39">
        <v>7607874</v>
      </c>
      <c r="E726" s="1" t="str">
        <f t="shared" si="22"/>
        <v>2026-08</v>
      </c>
      <c r="F726" s="36">
        <f t="shared" si="23"/>
        <v>1.6791044776119257E-2</v>
      </c>
      <c r="G726" s="1"/>
      <c r="H726" s="1"/>
    </row>
    <row r="727" spans="1:8" x14ac:dyDescent="0.3">
      <c r="A727" s="26">
        <v>46252</v>
      </c>
      <c r="B727" s="38" t="s">
        <v>63</v>
      </c>
      <c r="C727" s="35">
        <v>162.1</v>
      </c>
      <c r="D727" s="39">
        <v>5696185</v>
      </c>
      <c r="E727" s="1" t="str">
        <f t="shared" si="22"/>
        <v>2026-08</v>
      </c>
      <c r="F727" s="36">
        <f t="shared" si="23"/>
        <v>-8.5626911314985454E-3</v>
      </c>
      <c r="G727" s="1"/>
      <c r="H727" s="1"/>
    </row>
    <row r="728" spans="1:8" x14ac:dyDescent="0.3">
      <c r="A728" s="26">
        <v>46253</v>
      </c>
      <c r="B728" s="38" t="s">
        <v>63</v>
      </c>
      <c r="C728" s="35">
        <v>161.19999999999999</v>
      </c>
      <c r="D728" s="39">
        <v>8430459</v>
      </c>
      <c r="E728" s="1" t="str">
        <f t="shared" si="22"/>
        <v>2026-08</v>
      </c>
      <c r="F728" s="36">
        <f t="shared" si="23"/>
        <v>-5.5521283158544987E-3</v>
      </c>
      <c r="G728" s="1"/>
      <c r="H728" s="1"/>
    </row>
    <row r="729" spans="1:8" x14ac:dyDescent="0.3">
      <c r="A729" s="26">
        <v>46254</v>
      </c>
      <c r="B729" s="38" t="s">
        <v>63</v>
      </c>
      <c r="C729" s="35">
        <v>160.30000000000001</v>
      </c>
      <c r="D729" s="39">
        <v>9506422</v>
      </c>
      <c r="E729" s="1" t="str">
        <f t="shared" si="22"/>
        <v>2026-08</v>
      </c>
      <c r="F729" s="36">
        <f t="shared" si="23"/>
        <v>-5.5831265508683448E-3</v>
      </c>
      <c r="G729" s="1"/>
      <c r="H729" s="1"/>
    </row>
    <row r="730" spans="1:8" x14ac:dyDescent="0.3">
      <c r="A730" s="26">
        <v>46255</v>
      </c>
      <c r="B730" s="38" t="s">
        <v>63</v>
      </c>
      <c r="C730" s="35">
        <v>162.9</v>
      </c>
      <c r="D730" s="39">
        <v>11360351</v>
      </c>
      <c r="E730" s="1" t="str">
        <f t="shared" si="22"/>
        <v>2026-08</v>
      </c>
      <c r="F730" s="36">
        <f t="shared" si="23"/>
        <v>1.6219588271989993E-2</v>
      </c>
      <c r="G730" s="1"/>
      <c r="H730" s="1"/>
    </row>
    <row r="731" spans="1:8" x14ac:dyDescent="0.3">
      <c r="A731" s="26">
        <v>46258</v>
      </c>
      <c r="B731" s="38" t="s">
        <v>63</v>
      </c>
      <c r="C731" s="35">
        <v>161.5</v>
      </c>
      <c r="D731" s="39">
        <v>10625499</v>
      </c>
      <c r="E731" s="1" t="str">
        <f t="shared" si="22"/>
        <v>2026-08</v>
      </c>
      <c r="F731" s="36">
        <f t="shared" si="23"/>
        <v>-8.5942295887048159E-3</v>
      </c>
      <c r="G731" s="1"/>
      <c r="H731" s="1"/>
    </row>
    <row r="732" spans="1:8" x14ac:dyDescent="0.3">
      <c r="A732" s="26">
        <v>46259</v>
      </c>
      <c r="B732" s="38" t="s">
        <v>63</v>
      </c>
      <c r="C732" s="35">
        <v>163.19999999999999</v>
      </c>
      <c r="D732" s="39">
        <v>7585911</v>
      </c>
      <c r="E732" s="1" t="str">
        <f t="shared" si="22"/>
        <v>2026-08</v>
      </c>
      <c r="F732" s="36">
        <f t="shared" si="23"/>
        <v>1.0526315789473717E-2</v>
      </c>
      <c r="G732" s="1"/>
      <c r="H732" s="1"/>
    </row>
    <row r="733" spans="1:8" x14ac:dyDescent="0.3">
      <c r="A733" s="26">
        <v>46260</v>
      </c>
      <c r="B733" s="38" t="s">
        <v>63</v>
      </c>
      <c r="C733" s="35">
        <v>161.69999999999999</v>
      </c>
      <c r="D733" s="39">
        <v>8201958</v>
      </c>
      <c r="E733" s="1" t="str">
        <f t="shared" si="22"/>
        <v>2026-08</v>
      </c>
      <c r="F733" s="36">
        <f t="shared" si="23"/>
        <v>-9.1911764705882026E-3</v>
      </c>
      <c r="G733" s="1"/>
      <c r="H733" s="1"/>
    </row>
    <row r="734" spans="1:8" x14ac:dyDescent="0.3">
      <c r="A734" s="26">
        <v>46261</v>
      </c>
      <c r="B734" s="38" t="s">
        <v>63</v>
      </c>
      <c r="C734" s="35">
        <v>161.80000000000001</v>
      </c>
      <c r="D734" s="39">
        <v>4651498</v>
      </c>
      <c r="E734" s="1" t="str">
        <f t="shared" si="22"/>
        <v>2026-08</v>
      </c>
      <c r="F734" s="36">
        <f t="shared" si="23"/>
        <v>6.1842918985788309E-4</v>
      </c>
      <c r="G734" s="1"/>
      <c r="H734" s="1"/>
    </row>
    <row r="735" spans="1:8" x14ac:dyDescent="0.3">
      <c r="A735" s="26">
        <v>46262</v>
      </c>
      <c r="B735" s="38" t="s">
        <v>63</v>
      </c>
      <c r="C735" s="35">
        <v>161.4</v>
      </c>
      <c r="D735" s="39">
        <v>7128635</v>
      </c>
      <c r="E735" s="1" t="str">
        <f t="shared" si="22"/>
        <v>2026-08</v>
      </c>
      <c r="F735" s="36">
        <f t="shared" si="23"/>
        <v>-2.4721878862793423E-3</v>
      </c>
      <c r="G735" s="1"/>
      <c r="H735" s="1"/>
    </row>
    <row r="736" spans="1:8" x14ac:dyDescent="0.3">
      <c r="A736" s="26">
        <v>46265</v>
      </c>
      <c r="B736" s="38" t="s">
        <v>63</v>
      </c>
      <c r="C736" s="35">
        <v>161</v>
      </c>
      <c r="D736" s="39">
        <v>6579275</v>
      </c>
      <c r="E736" s="1" t="str">
        <f t="shared" si="22"/>
        <v>2026-08</v>
      </c>
      <c r="F736" s="36">
        <f t="shared" si="23"/>
        <v>-2.4783147459728205E-3</v>
      </c>
      <c r="G736" s="1"/>
      <c r="H736" s="1"/>
    </row>
    <row r="737" spans="1:8" x14ac:dyDescent="0.3">
      <c r="A737" s="26">
        <v>46266</v>
      </c>
      <c r="B737" s="38" t="s">
        <v>63</v>
      </c>
      <c r="C737" s="35">
        <v>160.6</v>
      </c>
      <c r="D737" s="39">
        <v>11434136</v>
      </c>
      <c r="E737" s="1" t="str">
        <f t="shared" si="22"/>
        <v>2026-09</v>
      </c>
      <c r="F737" s="36">
        <f t="shared" si="23"/>
        <v>-2.4844720496894901E-3</v>
      </c>
      <c r="G737" s="1"/>
      <c r="H737" s="1"/>
    </row>
    <row r="738" spans="1:8" x14ac:dyDescent="0.3">
      <c r="A738" s="26">
        <v>46267</v>
      </c>
      <c r="B738" s="38" t="s">
        <v>63</v>
      </c>
      <c r="C738" s="35">
        <v>162.6</v>
      </c>
      <c r="D738" s="39">
        <v>9489389</v>
      </c>
      <c r="E738" s="1" t="str">
        <f t="shared" si="22"/>
        <v>2026-09</v>
      </c>
      <c r="F738" s="36">
        <f t="shared" si="23"/>
        <v>1.2453300124533051E-2</v>
      </c>
      <c r="G738" s="1"/>
      <c r="H738" s="1"/>
    </row>
    <row r="739" spans="1:8" x14ac:dyDescent="0.3">
      <c r="A739" s="26">
        <v>46268</v>
      </c>
      <c r="B739" s="38" t="s">
        <v>63</v>
      </c>
      <c r="C739" s="35">
        <v>163.5</v>
      </c>
      <c r="D739" s="39">
        <v>13990143</v>
      </c>
      <c r="E739" s="1" t="str">
        <f t="shared" si="22"/>
        <v>2026-09</v>
      </c>
      <c r="F739" s="36">
        <f t="shared" si="23"/>
        <v>5.5350553505535416E-3</v>
      </c>
      <c r="G739" s="1"/>
      <c r="H739" s="1"/>
    </row>
    <row r="740" spans="1:8" x14ac:dyDescent="0.3">
      <c r="A740" s="26">
        <v>46269</v>
      </c>
      <c r="B740" s="38" t="s">
        <v>63</v>
      </c>
      <c r="C740" s="35">
        <v>166.7</v>
      </c>
      <c r="D740" s="39">
        <v>30851316</v>
      </c>
      <c r="E740" s="1" t="str">
        <f t="shared" si="22"/>
        <v>2026-09</v>
      </c>
      <c r="F740" s="36">
        <f t="shared" si="23"/>
        <v>1.957186544342493E-2</v>
      </c>
      <c r="G740" s="1"/>
      <c r="H740" s="1"/>
    </row>
    <row r="741" spans="1:8" x14ac:dyDescent="0.3">
      <c r="A741" s="26">
        <v>46272</v>
      </c>
      <c r="B741" s="38" t="s">
        <v>63</v>
      </c>
      <c r="C741" s="35">
        <v>167.6</v>
      </c>
      <c r="D741" s="39">
        <v>17178832</v>
      </c>
      <c r="E741" s="1" t="str">
        <f t="shared" si="22"/>
        <v>2026-09</v>
      </c>
      <c r="F741" s="36">
        <f t="shared" si="23"/>
        <v>5.3989202159567817E-3</v>
      </c>
      <c r="G741" s="1"/>
      <c r="H741" s="1"/>
    </row>
    <row r="742" spans="1:8" x14ac:dyDescent="0.3">
      <c r="A742" s="26">
        <v>46273</v>
      </c>
      <c r="B742" s="38" t="s">
        <v>63</v>
      </c>
      <c r="C742" s="35">
        <v>164.9</v>
      </c>
      <c r="D742" s="39">
        <v>7225458</v>
      </c>
      <c r="E742" s="1" t="str">
        <f t="shared" si="22"/>
        <v>2026-09</v>
      </c>
      <c r="F742" s="36">
        <f t="shared" si="23"/>
        <v>-1.610978520286388E-2</v>
      </c>
      <c r="G742" s="1"/>
      <c r="H742" s="1"/>
    </row>
    <row r="743" spans="1:8" x14ac:dyDescent="0.3">
      <c r="A743" s="26">
        <v>46274</v>
      </c>
      <c r="B743" s="38" t="s">
        <v>63</v>
      </c>
      <c r="C743" s="35">
        <v>166</v>
      </c>
      <c r="D743" s="39">
        <v>6256877</v>
      </c>
      <c r="E743" s="1" t="str">
        <f t="shared" si="22"/>
        <v>2026-09</v>
      </c>
      <c r="F743" s="36">
        <f t="shared" si="23"/>
        <v>6.6707095209217471E-3</v>
      </c>
      <c r="G743" s="1"/>
      <c r="H743" s="1"/>
    </row>
    <row r="744" spans="1:8" x14ac:dyDescent="0.3">
      <c r="A744" s="26">
        <v>46275</v>
      </c>
      <c r="B744" s="38" t="s">
        <v>63</v>
      </c>
      <c r="C744" s="35">
        <v>164.7</v>
      </c>
      <c r="D744" s="39">
        <v>6179267</v>
      </c>
      <c r="E744" s="1" t="str">
        <f t="shared" si="22"/>
        <v>2026-09</v>
      </c>
      <c r="F744" s="36">
        <f t="shared" si="23"/>
        <v>-7.8313253012048945E-3</v>
      </c>
      <c r="G744" s="1"/>
      <c r="H744" s="1"/>
    </row>
    <row r="745" spans="1:8" x14ac:dyDescent="0.3">
      <c r="A745" s="26">
        <v>46276</v>
      </c>
      <c r="B745" s="38" t="s">
        <v>63</v>
      </c>
      <c r="C745" s="35">
        <v>163.30000000000001</v>
      </c>
      <c r="D745" s="39">
        <v>9758966</v>
      </c>
      <c r="E745" s="1" t="str">
        <f t="shared" si="22"/>
        <v>2026-09</v>
      </c>
      <c r="F745" s="36">
        <f t="shared" si="23"/>
        <v>-8.5003035822706074E-3</v>
      </c>
      <c r="G745" s="1"/>
      <c r="H745" s="1"/>
    </row>
    <row r="746" spans="1:8" x14ac:dyDescent="0.3">
      <c r="A746" s="26">
        <v>46279</v>
      </c>
      <c r="B746" s="38" t="s">
        <v>63</v>
      </c>
      <c r="C746" s="35">
        <v>164.9</v>
      </c>
      <c r="D746" s="39">
        <v>6722791</v>
      </c>
      <c r="E746" s="1" t="str">
        <f t="shared" si="22"/>
        <v>2026-09</v>
      </c>
      <c r="F746" s="36">
        <f t="shared" si="23"/>
        <v>9.7979179424372287E-3</v>
      </c>
      <c r="G746" s="1"/>
      <c r="H746" s="1"/>
    </row>
    <row r="747" spans="1:8" x14ac:dyDescent="0.3">
      <c r="A747" s="26">
        <v>46280</v>
      </c>
      <c r="B747" s="38" t="s">
        <v>63</v>
      </c>
      <c r="C747" s="35">
        <v>159.6</v>
      </c>
      <c r="D747" s="39">
        <v>14661444</v>
      </c>
      <c r="E747" s="1" t="str">
        <f t="shared" si="22"/>
        <v>2026-09</v>
      </c>
      <c r="F747" s="36">
        <f t="shared" si="23"/>
        <v>-3.2140691328077731E-2</v>
      </c>
      <c r="G747" s="1"/>
      <c r="H747" s="1"/>
    </row>
    <row r="748" spans="1:8" x14ac:dyDescent="0.3">
      <c r="A748" s="26">
        <v>46281</v>
      </c>
      <c r="B748" s="38" t="s">
        <v>63</v>
      </c>
      <c r="C748" s="35">
        <v>160.9</v>
      </c>
      <c r="D748" s="39">
        <v>6192853</v>
      </c>
      <c r="E748" s="1" t="str">
        <f t="shared" si="22"/>
        <v>2026-09</v>
      </c>
      <c r="F748" s="36">
        <f t="shared" si="23"/>
        <v>8.1453634085213444E-3</v>
      </c>
      <c r="G748" s="1"/>
      <c r="H748" s="1"/>
    </row>
    <row r="749" spans="1:8" x14ac:dyDescent="0.3">
      <c r="A749" s="26">
        <v>46282</v>
      </c>
      <c r="B749" s="38" t="s">
        <v>63</v>
      </c>
      <c r="C749" s="35">
        <v>159.80000000000001</v>
      </c>
      <c r="D749" s="39">
        <v>8154668</v>
      </c>
      <c r="E749" s="1" t="str">
        <f t="shared" si="22"/>
        <v>2026-09</v>
      </c>
      <c r="F749" s="36">
        <f t="shared" si="23"/>
        <v>-6.8365444375387829E-3</v>
      </c>
      <c r="G749" s="1"/>
      <c r="H749" s="1"/>
    </row>
    <row r="750" spans="1:8" x14ac:dyDescent="0.3">
      <c r="A750" s="26">
        <v>46283</v>
      </c>
      <c r="B750" s="38" t="s">
        <v>63</v>
      </c>
      <c r="C750" s="35">
        <v>161.6</v>
      </c>
      <c r="D750" s="39">
        <v>12240089</v>
      </c>
      <c r="E750" s="1" t="str">
        <f t="shared" si="22"/>
        <v>2026-09</v>
      </c>
      <c r="F750" s="36">
        <f t="shared" si="23"/>
        <v>1.126408010012514E-2</v>
      </c>
      <c r="G750" s="1"/>
      <c r="H750" s="1"/>
    </row>
    <row r="751" spans="1:8" x14ac:dyDescent="0.3">
      <c r="A751" s="26">
        <v>46286</v>
      </c>
      <c r="B751" s="38" t="s">
        <v>63</v>
      </c>
      <c r="C751" s="35">
        <v>161.5</v>
      </c>
      <c r="D751" s="39">
        <v>5788715</v>
      </c>
      <c r="E751" s="1" t="str">
        <f t="shared" si="22"/>
        <v>2026-09</v>
      </c>
      <c r="F751" s="36">
        <f t="shared" si="23"/>
        <v>-6.1881188118806385E-4</v>
      </c>
      <c r="G751" s="1"/>
      <c r="H751" s="1"/>
    </row>
    <row r="752" spans="1:8" x14ac:dyDescent="0.3">
      <c r="A752" s="26">
        <v>46287</v>
      </c>
      <c r="B752" s="38" t="s">
        <v>63</v>
      </c>
      <c r="C752" s="35">
        <v>159.30000000000001</v>
      </c>
      <c r="D752" s="39">
        <v>9724555</v>
      </c>
      <c r="E752" s="1" t="str">
        <f t="shared" si="22"/>
        <v>2026-09</v>
      </c>
      <c r="F752" s="36">
        <f t="shared" si="23"/>
        <v>-1.3622291021671784E-2</v>
      </c>
      <c r="G752" s="1"/>
      <c r="H752" s="1"/>
    </row>
    <row r="753" spans="1:8" x14ac:dyDescent="0.3">
      <c r="A753" s="26">
        <v>46288</v>
      </c>
      <c r="B753" s="38" t="s">
        <v>63</v>
      </c>
      <c r="C753" s="35">
        <v>159.5</v>
      </c>
      <c r="D753" s="39">
        <v>10286032</v>
      </c>
      <c r="E753" s="1" t="str">
        <f t="shared" si="22"/>
        <v>2026-09</v>
      </c>
      <c r="F753" s="36">
        <f t="shared" si="23"/>
        <v>1.2554927809165228E-3</v>
      </c>
      <c r="G753" s="1"/>
      <c r="H753" s="1"/>
    </row>
    <row r="754" spans="1:8" x14ac:dyDescent="0.3">
      <c r="A754" s="26">
        <v>46289</v>
      </c>
      <c r="B754" s="38" t="s">
        <v>63</v>
      </c>
      <c r="C754" s="35">
        <v>156.9</v>
      </c>
      <c r="D754" s="39">
        <v>10699228</v>
      </c>
      <c r="E754" s="1" t="str">
        <f t="shared" si="22"/>
        <v>2026-09</v>
      </c>
      <c r="F754" s="36">
        <f t="shared" si="23"/>
        <v>-1.6300940438871425E-2</v>
      </c>
      <c r="G754" s="1"/>
      <c r="H754" s="1"/>
    </row>
    <row r="755" spans="1:8" x14ac:dyDescent="0.3">
      <c r="A755" s="26">
        <v>46290</v>
      </c>
      <c r="B755" s="38" t="s">
        <v>63</v>
      </c>
      <c r="C755" s="35">
        <v>157.6</v>
      </c>
      <c r="D755" s="39">
        <v>6560612</v>
      </c>
      <c r="E755" s="1" t="str">
        <f t="shared" si="22"/>
        <v>2026-09</v>
      </c>
      <c r="F755" s="36">
        <f t="shared" si="23"/>
        <v>4.4614404079030834E-3</v>
      </c>
      <c r="G755" s="1"/>
      <c r="H755" s="1"/>
    </row>
    <row r="756" spans="1:8" x14ac:dyDescent="0.3">
      <c r="A756" s="26">
        <v>46293</v>
      </c>
      <c r="B756" s="38" t="s">
        <v>63</v>
      </c>
      <c r="C756" s="35">
        <v>158.9</v>
      </c>
      <c r="D756" s="39">
        <v>12819424</v>
      </c>
      <c r="E756" s="1" t="str">
        <f t="shared" si="22"/>
        <v>2026-09</v>
      </c>
      <c r="F756" s="36">
        <f t="shared" si="23"/>
        <v>8.2487309644669882E-3</v>
      </c>
      <c r="G756" s="1"/>
      <c r="H756" s="1"/>
    </row>
    <row r="757" spans="1:8" x14ac:dyDescent="0.3">
      <c r="A757" s="26">
        <v>46294</v>
      </c>
      <c r="B757" s="38" t="s">
        <v>63</v>
      </c>
      <c r="C757" s="35">
        <v>159</v>
      </c>
      <c r="D757" s="39">
        <v>10730754</v>
      </c>
      <c r="E757" s="1" t="str">
        <f t="shared" si="22"/>
        <v>2026-09</v>
      </c>
      <c r="F757" s="36">
        <f t="shared" si="23"/>
        <v>6.2932662051595756E-4</v>
      </c>
      <c r="G757" s="1"/>
      <c r="H757" s="1"/>
    </row>
    <row r="758" spans="1:8" x14ac:dyDescent="0.3">
      <c r="A758" s="26">
        <v>46295</v>
      </c>
      <c r="B758" s="38" t="s">
        <v>63</v>
      </c>
      <c r="C758" s="35">
        <v>158</v>
      </c>
      <c r="D758" s="39">
        <v>7997112</v>
      </c>
      <c r="E758" s="1" t="str">
        <f t="shared" si="22"/>
        <v>2026-09</v>
      </c>
      <c r="F758" s="36">
        <f t="shared" si="23"/>
        <v>-6.2893081761006275E-3</v>
      </c>
      <c r="G758" s="1"/>
      <c r="H758" s="1"/>
    </row>
    <row r="759" spans="1:8" x14ac:dyDescent="0.3">
      <c r="A759" s="26">
        <v>46297</v>
      </c>
      <c r="B759" s="38" t="s">
        <v>63</v>
      </c>
      <c r="C759" s="35">
        <v>149.5</v>
      </c>
      <c r="D759" s="39">
        <v>24964374</v>
      </c>
      <c r="E759" s="1" t="str">
        <f t="shared" si="22"/>
        <v>2026-10</v>
      </c>
      <c r="F759" s="36">
        <f t="shared" si="23"/>
        <v>-5.3797468354430333E-2</v>
      </c>
      <c r="G759" s="1"/>
      <c r="H759" s="1"/>
    </row>
    <row r="760" spans="1:8" x14ac:dyDescent="0.3">
      <c r="A760" s="26">
        <v>46300</v>
      </c>
      <c r="B760" s="38" t="s">
        <v>63</v>
      </c>
      <c r="C760" s="35">
        <v>149.9</v>
      </c>
      <c r="D760" s="39">
        <v>11889096</v>
      </c>
      <c r="E760" s="1" t="str">
        <f t="shared" si="22"/>
        <v>2026-10</v>
      </c>
      <c r="F760" s="36">
        <f t="shared" si="23"/>
        <v>2.6755852842810235E-3</v>
      </c>
      <c r="G760" s="1"/>
      <c r="H760" s="1"/>
    </row>
    <row r="761" spans="1:8" x14ac:dyDescent="0.3">
      <c r="A761" s="26">
        <v>46301</v>
      </c>
      <c r="B761" s="38" t="s">
        <v>63</v>
      </c>
      <c r="C761" s="35">
        <v>152.80000000000001</v>
      </c>
      <c r="D761" s="39">
        <v>8138624</v>
      </c>
      <c r="E761" s="1" t="str">
        <f t="shared" si="22"/>
        <v>2026-10</v>
      </c>
      <c r="F761" s="36">
        <f t="shared" si="23"/>
        <v>1.9346230820546984E-2</v>
      </c>
      <c r="G761" s="1"/>
      <c r="H761" s="1"/>
    </row>
    <row r="762" spans="1:8" x14ac:dyDescent="0.3">
      <c r="A762" s="26">
        <v>46302</v>
      </c>
      <c r="B762" s="38" t="s">
        <v>63</v>
      </c>
      <c r="C762" s="35">
        <v>149.9</v>
      </c>
      <c r="D762" s="39">
        <v>6295757</v>
      </c>
      <c r="E762" s="1" t="str">
        <f t="shared" si="22"/>
        <v>2026-10</v>
      </c>
      <c r="F762" s="36">
        <f t="shared" si="23"/>
        <v>-1.8979057591623105E-2</v>
      </c>
      <c r="G762" s="1"/>
      <c r="H762" s="1"/>
    </row>
    <row r="763" spans="1:8" x14ac:dyDescent="0.3">
      <c r="A763" s="26">
        <v>46303</v>
      </c>
      <c r="B763" s="38" t="s">
        <v>63</v>
      </c>
      <c r="C763" s="35">
        <v>142.6</v>
      </c>
      <c r="D763" s="39">
        <v>32302444</v>
      </c>
      <c r="E763" s="1" t="str">
        <f t="shared" si="22"/>
        <v>2026-10</v>
      </c>
      <c r="F763" s="36">
        <f t="shared" si="23"/>
        <v>-4.8699132755170238E-2</v>
      </c>
      <c r="G763" s="1"/>
      <c r="H763" s="1"/>
    </row>
    <row r="764" spans="1:8" x14ac:dyDescent="0.3">
      <c r="A764" s="26">
        <v>46304</v>
      </c>
      <c r="B764" s="38" t="s">
        <v>63</v>
      </c>
      <c r="C764" s="35">
        <v>145.19999999999999</v>
      </c>
      <c r="D764" s="39">
        <v>15711887</v>
      </c>
      <c r="E764" s="1" t="str">
        <f t="shared" si="22"/>
        <v>2026-10</v>
      </c>
      <c r="F764" s="36">
        <f t="shared" si="23"/>
        <v>1.8232819074333717E-2</v>
      </c>
      <c r="G764" s="1"/>
      <c r="H764" s="1"/>
    </row>
    <row r="765" spans="1:8" x14ac:dyDescent="0.3">
      <c r="A765" s="26">
        <v>46307</v>
      </c>
      <c r="B765" s="38" t="s">
        <v>63</v>
      </c>
      <c r="C765" s="35">
        <v>148.1</v>
      </c>
      <c r="D765" s="39">
        <v>9531225</v>
      </c>
      <c r="E765" s="1" t="str">
        <f t="shared" si="22"/>
        <v>2026-10</v>
      </c>
      <c r="F765" s="36">
        <f t="shared" si="23"/>
        <v>1.9972451790633672E-2</v>
      </c>
      <c r="G765" s="1"/>
      <c r="H765" s="1"/>
    </row>
    <row r="766" spans="1:8" x14ac:dyDescent="0.3">
      <c r="A766" s="26">
        <v>46308</v>
      </c>
      <c r="B766" s="38" t="s">
        <v>63</v>
      </c>
      <c r="C766" s="35">
        <v>150.69999999999999</v>
      </c>
      <c r="D766" s="39">
        <v>12771121</v>
      </c>
      <c r="E766" s="1" t="str">
        <f t="shared" si="22"/>
        <v>2026-10</v>
      </c>
      <c r="F766" s="36">
        <f t="shared" si="23"/>
        <v>1.7555705604321403E-2</v>
      </c>
      <c r="G766" s="1"/>
      <c r="H766" s="1"/>
    </row>
    <row r="767" spans="1:8" x14ac:dyDescent="0.3">
      <c r="A767" s="26">
        <v>46309</v>
      </c>
      <c r="B767" s="38" t="s">
        <v>63</v>
      </c>
      <c r="C767" s="35">
        <v>148</v>
      </c>
      <c r="D767" s="39">
        <v>7390313</v>
      </c>
      <c r="E767" s="1" t="str">
        <f t="shared" si="22"/>
        <v>2026-10</v>
      </c>
      <c r="F767" s="36">
        <f t="shared" si="23"/>
        <v>-1.7916390179163799E-2</v>
      </c>
      <c r="G767" s="1"/>
      <c r="H767" s="1"/>
    </row>
    <row r="768" spans="1:8" x14ac:dyDescent="0.3">
      <c r="A768" s="26">
        <v>46310</v>
      </c>
      <c r="B768" s="38" t="s">
        <v>63</v>
      </c>
      <c r="C768" s="35">
        <v>147.9</v>
      </c>
      <c r="D768" s="39">
        <v>10125843</v>
      </c>
      <c r="E768" s="1" t="str">
        <f t="shared" si="22"/>
        <v>2026-10</v>
      </c>
      <c r="F768" s="36">
        <f t="shared" si="23"/>
        <v>-6.7567567567561326E-4</v>
      </c>
      <c r="G768" s="1"/>
      <c r="H768" s="1"/>
    </row>
    <row r="769" spans="1:8" x14ac:dyDescent="0.3">
      <c r="A769" s="26">
        <v>46311</v>
      </c>
      <c r="B769" s="38" t="s">
        <v>63</v>
      </c>
      <c r="C769" s="35">
        <v>149.69999999999999</v>
      </c>
      <c r="D769" s="39">
        <v>12339898</v>
      </c>
      <c r="E769" s="1" t="str">
        <f t="shared" si="22"/>
        <v>2026-10</v>
      </c>
      <c r="F769" s="36">
        <f t="shared" si="23"/>
        <v>1.2170385395537497E-2</v>
      </c>
      <c r="G769" s="1"/>
      <c r="H769" s="1"/>
    </row>
    <row r="770" spans="1:8" x14ac:dyDescent="0.3">
      <c r="A770" s="26">
        <v>45932</v>
      </c>
      <c r="B770" s="38" t="s">
        <v>65</v>
      </c>
      <c r="C770" s="35">
        <v>72.768600000000006</v>
      </c>
      <c r="D770" s="39">
        <v>24510371</v>
      </c>
      <c r="E770" s="1" t="str">
        <f t="shared" ref="E770:E833" si="24">TEXT(A770,"yyyy-mm")</f>
        <v>2025-10</v>
      </c>
      <c r="F770" s="36">
        <f t="shared" si="23"/>
        <v>0</v>
      </c>
      <c r="G770" s="1"/>
      <c r="H770" s="1"/>
    </row>
    <row r="771" spans="1:8" x14ac:dyDescent="0.3">
      <c r="A771" s="26">
        <v>45933</v>
      </c>
      <c r="B771" s="38" t="s">
        <v>65</v>
      </c>
      <c r="C771" s="35">
        <v>72.475800000000007</v>
      </c>
      <c r="D771" s="39">
        <v>13329608</v>
      </c>
      <c r="E771" s="1" t="str">
        <f t="shared" si="24"/>
        <v>2025-10</v>
      </c>
      <c r="F771" s="36">
        <f t="shared" ref="F771:F834" si="25">IF(B771=B770,C771/C770-1,0)</f>
        <v>-4.023713524789585E-3</v>
      </c>
      <c r="G771" s="1"/>
      <c r="H771" s="1"/>
    </row>
    <row r="772" spans="1:8" x14ac:dyDescent="0.3">
      <c r="A772" s="26">
        <v>45936</v>
      </c>
      <c r="B772" s="38" t="s">
        <v>65</v>
      </c>
      <c r="C772" s="35">
        <v>73.403099999999995</v>
      </c>
      <c r="D772" s="39">
        <v>15796495</v>
      </c>
      <c r="E772" s="1" t="str">
        <f t="shared" si="24"/>
        <v>2025-10</v>
      </c>
      <c r="F772" s="36">
        <f t="shared" si="25"/>
        <v>1.2794615582028657E-2</v>
      </c>
      <c r="G772" s="1"/>
      <c r="H772" s="1"/>
    </row>
    <row r="773" spans="1:8" x14ac:dyDescent="0.3">
      <c r="A773" s="26">
        <v>45938</v>
      </c>
      <c r="B773" s="38" t="s">
        <v>65</v>
      </c>
      <c r="C773" s="35">
        <v>72.866299999999995</v>
      </c>
      <c r="D773" s="39">
        <v>20096488</v>
      </c>
      <c r="E773" s="1" t="str">
        <f t="shared" si="24"/>
        <v>2025-10</v>
      </c>
      <c r="F773" s="36">
        <f t="shared" si="25"/>
        <v>-7.3130426371638135E-3</v>
      </c>
      <c r="G773" s="1"/>
      <c r="H773" s="1"/>
    </row>
    <row r="774" spans="1:8" x14ac:dyDescent="0.3">
      <c r="A774" s="26">
        <v>45939</v>
      </c>
      <c r="B774" s="38" t="s">
        <v>65</v>
      </c>
      <c r="C774" s="35">
        <v>72.329400000000007</v>
      </c>
      <c r="D774" s="39">
        <v>19907743</v>
      </c>
      <c r="E774" s="1" t="str">
        <f t="shared" si="24"/>
        <v>2025-10</v>
      </c>
      <c r="F774" s="36">
        <f t="shared" si="25"/>
        <v>-7.3682895934058523E-3</v>
      </c>
      <c r="G774" s="1"/>
      <c r="H774" s="1"/>
    </row>
    <row r="775" spans="1:8" x14ac:dyDescent="0.3">
      <c r="A775" s="26">
        <v>45940</v>
      </c>
      <c r="B775" s="38" t="s">
        <v>65</v>
      </c>
      <c r="C775" s="35">
        <v>72.134200000000007</v>
      </c>
      <c r="D775" s="39">
        <v>19959342</v>
      </c>
      <c r="E775" s="1" t="str">
        <f t="shared" si="24"/>
        <v>2025-10</v>
      </c>
      <c r="F775" s="36">
        <f t="shared" si="25"/>
        <v>-2.6987642646005838E-3</v>
      </c>
      <c r="G775" s="1"/>
      <c r="H775" s="1"/>
    </row>
    <row r="776" spans="1:8" x14ac:dyDescent="0.3">
      <c r="A776" s="26">
        <v>45943</v>
      </c>
      <c r="B776" s="38" t="s">
        <v>65</v>
      </c>
      <c r="C776" s="35">
        <v>70.035499999999999</v>
      </c>
      <c r="D776" s="39">
        <v>31816494</v>
      </c>
      <c r="E776" s="1" t="str">
        <f t="shared" si="24"/>
        <v>2025-10</v>
      </c>
      <c r="F776" s="36">
        <f t="shared" si="25"/>
        <v>-2.9094382414998843E-2</v>
      </c>
      <c r="G776" s="1"/>
      <c r="H776" s="1"/>
    </row>
    <row r="777" spans="1:8" x14ac:dyDescent="0.3">
      <c r="A777" s="26">
        <v>45944</v>
      </c>
      <c r="B777" s="38" t="s">
        <v>65</v>
      </c>
      <c r="C777" s="35">
        <v>68.424999999999997</v>
      </c>
      <c r="D777" s="39">
        <v>26857401</v>
      </c>
      <c r="E777" s="1" t="str">
        <f t="shared" si="24"/>
        <v>2025-10</v>
      </c>
      <c r="F777" s="36">
        <f t="shared" si="25"/>
        <v>-2.2995480863276518E-2</v>
      </c>
      <c r="G777" s="1"/>
      <c r="H777" s="1"/>
    </row>
    <row r="778" spans="1:8" x14ac:dyDescent="0.3">
      <c r="A778" s="26">
        <v>45945</v>
      </c>
      <c r="B778" s="38" t="s">
        <v>65</v>
      </c>
      <c r="C778" s="35">
        <v>69.3035</v>
      </c>
      <c r="D778" s="39">
        <v>36624097</v>
      </c>
      <c r="E778" s="1" t="str">
        <f t="shared" si="24"/>
        <v>2025-10</v>
      </c>
      <c r="F778" s="36">
        <f t="shared" si="25"/>
        <v>1.2838874680306978E-2</v>
      </c>
      <c r="G778" s="1"/>
      <c r="H778" s="1"/>
    </row>
    <row r="779" spans="1:8" x14ac:dyDescent="0.3">
      <c r="A779" s="26">
        <v>45946</v>
      </c>
      <c r="B779" s="38" t="s">
        <v>65</v>
      </c>
      <c r="C779" s="35">
        <v>68.912999999999997</v>
      </c>
      <c r="D779" s="39">
        <v>33928807</v>
      </c>
      <c r="E779" s="1" t="str">
        <f t="shared" si="24"/>
        <v>2025-10</v>
      </c>
      <c r="F779" s="36">
        <f t="shared" si="25"/>
        <v>-5.6346360573420462E-3</v>
      </c>
      <c r="G779" s="1"/>
      <c r="H779" s="1"/>
    </row>
    <row r="780" spans="1:8" x14ac:dyDescent="0.3">
      <c r="A780" s="26">
        <v>45947</v>
      </c>
      <c r="B780" s="38" t="s">
        <v>65</v>
      </c>
      <c r="C780" s="35">
        <v>67.400099999999995</v>
      </c>
      <c r="D780" s="39">
        <v>30498791</v>
      </c>
      <c r="E780" s="1" t="str">
        <f t="shared" si="24"/>
        <v>2025-10</v>
      </c>
      <c r="F780" s="36">
        <f t="shared" si="25"/>
        <v>-2.1953767794175238E-2</v>
      </c>
      <c r="G780" s="1"/>
      <c r="H780" s="1"/>
    </row>
    <row r="781" spans="1:8" x14ac:dyDescent="0.3">
      <c r="A781" s="26">
        <v>45950</v>
      </c>
      <c r="B781" s="38" t="s">
        <v>65</v>
      </c>
      <c r="C781" s="35">
        <v>70.377200000000002</v>
      </c>
      <c r="D781" s="39">
        <v>32783475</v>
      </c>
      <c r="E781" s="1" t="str">
        <f t="shared" si="24"/>
        <v>2025-10</v>
      </c>
      <c r="F781" s="36">
        <f t="shared" si="25"/>
        <v>4.4170557610448746E-2</v>
      </c>
      <c r="G781" s="1"/>
      <c r="H781" s="1"/>
    </row>
    <row r="782" spans="1:8" x14ac:dyDescent="0.3">
      <c r="A782" s="26">
        <v>45951</v>
      </c>
      <c r="B782" s="38" t="s">
        <v>65</v>
      </c>
      <c r="C782" s="35">
        <v>71.158100000000005</v>
      </c>
      <c r="D782" s="39">
        <v>20074330</v>
      </c>
      <c r="E782" s="1" t="str">
        <f t="shared" si="24"/>
        <v>2025-10</v>
      </c>
      <c r="F782" s="36">
        <f t="shared" si="25"/>
        <v>1.1095923111462236E-2</v>
      </c>
      <c r="G782" s="1"/>
      <c r="H782" s="1"/>
    </row>
    <row r="783" spans="1:8" x14ac:dyDescent="0.3">
      <c r="A783" s="26">
        <v>45952</v>
      </c>
      <c r="B783" s="38" t="s">
        <v>65</v>
      </c>
      <c r="C783" s="35">
        <v>68.864199999999997</v>
      </c>
      <c r="D783" s="39">
        <v>35604408</v>
      </c>
      <c r="E783" s="1" t="str">
        <f t="shared" si="24"/>
        <v>2025-10</v>
      </c>
      <c r="F783" s="36">
        <f t="shared" si="25"/>
        <v>-3.2236667364643035E-2</v>
      </c>
      <c r="G783" s="1"/>
      <c r="H783" s="1"/>
    </row>
    <row r="784" spans="1:8" x14ac:dyDescent="0.3">
      <c r="A784" s="26">
        <v>45953</v>
      </c>
      <c r="B784" s="38" t="s">
        <v>65</v>
      </c>
      <c r="C784" s="35">
        <v>69.2059</v>
      </c>
      <c r="D784" s="39">
        <v>18605052</v>
      </c>
      <c r="E784" s="1" t="str">
        <f t="shared" si="24"/>
        <v>2025-10</v>
      </c>
      <c r="F784" s="36">
        <f t="shared" si="25"/>
        <v>4.9619395854449966E-3</v>
      </c>
      <c r="G784" s="1"/>
      <c r="H784" s="1"/>
    </row>
    <row r="785" spans="1:8" x14ac:dyDescent="0.3">
      <c r="A785" s="26">
        <v>45954</v>
      </c>
      <c r="B785" s="38" t="s">
        <v>65</v>
      </c>
      <c r="C785" s="35">
        <v>69.3523</v>
      </c>
      <c r="D785" s="39">
        <v>12246878</v>
      </c>
      <c r="E785" s="1" t="str">
        <f t="shared" si="24"/>
        <v>2025-10</v>
      </c>
      <c r="F785" s="36">
        <f t="shared" si="25"/>
        <v>2.1154265749019352E-3</v>
      </c>
      <c r="G785" s="1"/>
      <c r="H785" s="1"/>
    </row>
    <row r="786" spans="1:8" x14ac:dyDescent="0.3">
      <c r="A786" s="26">
        <v>45957</v>
      </c>
      <c r="B786" s="38" t="s">
        <v>65</v>
      </c>
      <c r="C786" s="35">
        <v>70.426000000000002</v>
      </c>
      <c r="D786" s="39">
        <v>23286908</v>
      </c>
      <c r="E786" s="1" t="str">
        <f t="shared" si="24"/>
        <v>2025-10</v>
      </c>
      <c r="F786" s="36">
        <f t="shared" si="25"/>
        <v>1.5481822520666322E-2</v>
      </c>
      <c r="G786" s="1"/>
      <c r="H786" s="1"/>
    </row>
    <row r="787" spans="1:8" x14ac:dyDescent="0.3">
      <c r="A787" s="26">
        <v>45958</v>
      </c>
      <c r="B787" s="38" t="s">
        <v>65</v>
      </c>
      <c r="C787" s="35">
        <v>72.817499999999995</v>
      </c>
      <c r="D787" s="39">
        <v>43540129</v>
      </c>
      <c r="E787" s="1" t="str">
        <f t="shared" si="24"/>
        <v>2025-10</v>
      </c>
      <c r="F787" s="36">
        <f t="shared" si="25"/>
        <v>3.3957629284639079E-2</v>
      </c>
      <c r="G787" s="1"/>
      <c r="H787" s="1"/>
    </row>
    <row r="788" spans="1:8" x14ac:dyDescent="0.3">
      <c r="A788" s="26">
        <v>45960</v>
      </c>
      <c r="B788" s="38" t="s">
        <v>65</v>
      </c>
      <c r="C788" s="35">
        <v>71.450900000000004</v>
      </c>
      <c r="D788" s="39">
        <v>35597343</v>
      </c>
      <c r="E788" s="1" t="str">
        <f t="shared" si="24"/>
        <v>2025-10</v>
      </c>
      <c r="F788" s="36">
        <f t="shared" si="25"/>
        <v>-1.8767466611734673E-2</v>
      </c>
      <c r="G788" s="1"/>
      <c r="H788" s="1"/>
    </row>
    <row r="789" spans="1:8" x14ac:dyDescent="0.3">
      <c r="A789" s="26">
        <v>45961</v>
      </c>
      <c r="B789" s="38" t="s">
        <v>65</v>
      </c>
      <c r="C789" s="35">
        <v>73.647099999999995</v>
      </c>
      <c r="D789" s="39">
        <v>45248578</v>
      </c>
      <c r="E789" s="1" t="str">
        <f t="shared" si="24"/>
        <v>2025-10</v>
      </c>
      <c r="F789" s="36">
        <f t="shared" si="25"/>
        <v>3.0737191553920074E-2</v>
      </c>
      <c r="G789" s="1"/>
      <c r="H789" s="1"/>
    </row>
    <row r="790" spans="1:8" x14ac:dyDescent="0.3">
      <c r="A790" s="26">
        <v>45964</v>
      </c>
      <c r="B790" s="38" t="s">
        <v>65</v>
      </c>
      <c r="C790" s="35">
        <v>78.039599999999993</v>
      </c>
      <c r="D790" s="39">
        <v>62096055</v>
      </c>
      <c r="E790" s="1" t="str">
        <f t="shared" si="24"/>
        <v>2025-11</v>
      </c>
      <c r="F790" s="36">
        <f t="shared" si="25"/>
        <v>5.9642538538516865E-2</v>
      </c>
      <c r="G790" s="1"/>
      <c r="H790" s="1"/>
    </row>
    <row r="791" spans="1:8" x14ac:dyDescent="0.3">
      <c r="A791" s="26">
        <v>45965</v>
      </c>
      <c r="B791" s="38" t="s">
        <v>65</v>
      </c>
      <c r="C791" s="35">
        <v>77.746799999999993</v>
      </c>
      <c r="D791" s="39">
        <v>36774646</v>
      </c>
      <c r="E791" s="1" t="str">
        <f t="shared" si="24"/>
        <v>2025-11</v>
      </c>
      <c r="F791" s="36">
        <f t="shared" si="25"/>
        <v>-3.7519413220979958E-3</v>
      </c>
      <c r="G791" s="1"/>
      <c r="H791" s="1"/>
    </row>
    <row r="792" spans="1:8" x14ac:dyDescent="0.3">
      <c r="A792" s="26">
        <v>45966</v>
      </c>
      <c r="B792" s="38" t="s">
        <v>65</v>
      </c>
      <c r="C792" s="35">
        <v>77.697999999999993</v>
      </c>
      <c r="D792" s="39">
        <v>35048103</v>
      </c>
      <c r="E792" s="1" t="str">
        <f t="shared" si="24"/>
        <v>2025-11</v>
      </c>
      <c r="F792" s="36">
        <f t="shared" si="25"/>
        <v>-6.2767856683487722E-4</v>
      </c>
      <c r="G792" s="1"/>
      <c r="H792" s="1"/>
    </row>
    <row r="793" spans="1:8" x14ac:dyDescent="0.3">
      <c r="A793" s="26">
        <v>45967</v>
      </c>
      <c r="B793" s="38" t="s">
        <v>65</v>
      </c>
      <c r="C793" s="35">
        <v>79.259699999999995</v>
      </c>
      <c r="D793" s="39">
        <v>34255389</v>
      </c>
      <c r="E793" s="1" t="str">
        <f t="shared" si="24"/>
        <v>2025-11</v>
      </c>
      <c r="F793" s="36">
        <f t="shared" si="25"/>
        <v>2.0099616463744363E-2</v>
      </c>
      <c r="G793" s="1"/>
      <c r="H793" s="1"/>
    </row>
    <row r="794" spans="1:8" x14ac:dyDescent="0.3">
      <c r="A794" s="26">
        <v>45968</v>
      </c>
      <c r="B794" s="38" t="s">
        <v>65</v>
      </c>
      <c r="C794" s="35">
        <v>79.552599999999998</v>
      </c>
      <c r="D794" s="39">
        <v>23373024</v>
      </c>
      <c r="E794" s="1" t="str">
        <f t="shared" si="24"/>
        <v>2025-11</v>
      </c>
      <c r="F794" s="36">
        <f t="shared" si="25"/>
        <v>3.6954467402727786E-3</v>
      </c>
      <c r="G794" s="1"/>
      <c r="H794" s="1"/>
    </row>
    <row r="795" spans="1:8" x14ac:dyDescent="0.3">
      <c r="A795" s="26">
        <v>45971</v>
      </c>
      <c r="B795" s="38" t="s">
        <v>65</v>
      </c>
      <c r="C795" s="35">
        <v>79.357399999999998</v>
      </c>
      <c r="D795" s="39">
        <v>21970167</v>
      </c>
      <c r="E795" s="1" t="str">
        <f t="shared" si="24"/>
        <v>2025-11</v>
      </c>
      <c r="F795" s="36">
        <f t="shared" si="25"/>
        <v>-2.4537224427610971E-3</v>
      </c>
      <c r="G795" s="1"/>
      <c r="H795" s="1"/>
    </row>
    <row r="796" spans="1:8" x14ac:dyDescent="0.3">
      <c r="A796" s="26">
        <v>45972</v>
      </c>
      <c r="B796" s="38" t="s">
        <v>65</v>
      </c>
      <c r="C796" s="35">
        <v>80.382300000000001</v>
      </c>
      <c r="D796" s="39">
        <v>29262423</v>
      </c>
      <c r="E796" s="1" t="str">
        <f t="shared" si="24"/>
        <v>2025-11</v>
      </c>
      <c r="F796" s="36">
        <f t="shared" si="25"/>
        <v>1.2914989654398967E-2</v>
      </c>
      <c r="G796" s="1"/>
      <c r="H796" s="1"/>
    </row>
    <row r="797" spans="1:8" x14ac:dyDescent="0.3">
      <c r="A797" s="26">
        <v>45973</v>
      </c>
      <c r="B797" s="38" t="s">
        <v>65</v>
      </c>
      <c r="C797" s="35">
        <v>82.090400000000002</v>
      </c>
      <c r="D797" s="39">
        <v>22823229</v>
      </c>
      <c r="E797" s="1" t="str">
        <f t="shared" si="24"/>
        <v>2025-11</v>
      </c>
      <c r="F797" s="36">
        <f t="shared" si="25"/>
        <v>2.1249702981875451E-2</v>
      </c>
      <c r="G797" s="1"/>
      <c r="H797" s="1"/>
    </row>
    <row r="798" spans="1:8" x14ac:dyDescent="0.3">
      <c r="A798" s="26">
        <v>45974</v>
      </c>
      <c r="B798" s="38" t="s">
        <v>65</v>
      </c>
      <c r="C798" s="35">
        <v>82.139300000000006</v>
      </c>
      <c r="D798" s="39">
        <v>22343163</v>
      </c>
      <c r="E798" s="1" t="str">
        <f t="shared" si="24"/>
        <v>2025-11</v>
      </c>
      <c r="F798" s="36">
        <f t="shared" si="25"/>
        <v>5.9568475729210313E-4</v>
      </c>
      <c r="G798" s="1"/>
      <c r="H798" s="1"/>
    </row>
    <row r="799" spans="1:8" x14ac:dyDescent="0.3">
      <c r="A799" s="26">
        <v>45975</v>
      </c>
      <c r="B799" s="38" t="s">
        <v>65</v>
      </c>
      <c r="C799" s="35">
        <v>80.382300000000001</v>
      </c>
      <c r="D799" s="39">
        <v>23478738</v>
      </c>
      <c r="E799" s="1" t="str">
        <f t="shared" si="24"/>
        <v>2025-11</v>
      </c>
      <c r="F799" s="36">
        <f t="shared" si="25"/>
        <v>-2.1390491518676225E-2</v>
      </c>
      <c r="G799" s="1"/>
      <c r="H799" s="1"/>
    </row>
    <row r="800" spans="1:8" x14ac:dyDescent="0.3">
      <c r="A800" s="26">
        <v>45978</v>
      </c>
      <c r="B800" s="38" t="s">
        <v>65</v>
      </c>
      <c r="C800" s="35">
        <v>79.357399999999998</v>
      </c>
      <c r="D800" s="39">
        <v>19772471</v>
      </c>
      <c r="E800" s="1" t="str">
        <f t="shared" si="24"/>
        <v>2025-11</v>
      </c>
      <c r="F800" s="36">
        <f t="shared" si="25"/>
        <v>-1.2750319411114153E-2</v>
      </c>
      <c r="G800" s="1"/>
      <c r="H800" s="1"/>
    </row>
    <row r="801" spans="1:8" x14ac:dyDescent="0.3">
      <c r="A801" s="26">
        <v>45979</v>
      </c>
      <c r="B801" s="38" t="s">
        <v>65</v>
      </c>
      <c r="C801" s="35">
        <v>76.673100000000005</v>
      </c>
      <c r="D801" s="39">
        <v>21240068</v>
      </c>
      <c r="E801" s="1" t="str">
        <f t="shared" si="24"/>
        <v>2025-11</v>
      </c>
      <c r="F801" s="36">
        <f t="shared" si="25"/>
        <v>-3.3825452950827395E-2</v>
      </c>
      <c r="G801" s="1"/>
      <c r="H801" s="1"/>
    </row>
    <row r="802" spans="1:8" x14ac:dyDescent="0.3">
      <c r="A802" s="26">
        <v>45980</v>
      </c>
      <c r="B802" s="38" t="s">
        <v>65</v>
      </c>
      <c r="C802" s="35">
        <v>76.087400000000002</v>
      </c>
      <c r="D802" s="39">
        <v>20383884</v>
      </c>
      <c r="E802" s="1" t="str">
        <f t="shared" si="24"/>
        <v>2025-11</v>
      </c>
      <c r="F802" s="36">
        <f t="shared" si="25"/>
        <v>-7.6389242120118439E-3</v>
      </c>
      <c r="G802" s="1"/>
      <c r="H802" s="1"/>
    </row>
    <row r="803" spans="1:8" x14ac:dyDescent="0.3">
      <c r="A803" s="26">
        <v>45981</v>
      </c>
      <c r="B803" s="38" t="s">
        <v>65</v>
      </c>
      <c r="C803" s="35">
        <v>77.063500000000005</v>
      </c>
      <c r="D803" s="39">
        <v>20753518</v>
      </c>
      <c r="E803" s="1" t="str">
        <f t="shared" si="24"/>
        <v>2025-11</v>
      </c>
      <c r="F803" s="36">
        <f t="shared" si="25"/>
        <v>1.2828668084334582E-2</v>
      </c>
      <c r="G803" s="1"/>
      <c r="H803" s="1"/>
    </row>
    <row r="804" spans="1:8" x14ac:dyDescent="0.3">
      <c r="A804" s="26">
        <v>45982</v>
      </c>
      <c r="B804" s="38" t="s">
        <v>65</v>
      </c>
      <c r="C804" s="35">
        <v>74.9649</v>
      </c>
      <c r="D804" s="39">
        <v>20028027</v>
      </c>
      <c r="E804" s="1" t="str">
        <f t="shared" si="24"/>
        <v>2025-11</v>
      </c>
      <c r="F804" s="36">
        <f t="shared" si="25"/>
        <v>-2.723208782367792E-2</v>
      </c>
      <c r="G804" s="1"/>
      <c r="H804" s="1"/>
    </row>
    <row r="805" spans="1:8" x14ac:dyDescent="0.3">
      <c r="A805" s="26">
        <v>45985</v>
      </c>
      <c r="B805" s="38" t="s">
        <v>65</v>
      </c>
      <c r="C805" s="35">
        <v>77.112300000000005</v>
      </c>
      <c r="D805" s="39">
        <v>32639729</v>
      </c>
      <c r="E805" s="1" t="str">
        <f t="shared" si="24"/>
        <v>2025-11</v>
      </c>
      <c r="F805" s="36">
        <f t="shared" si="25"/>
        <v>2.8645406050031408E-2</v>
      </c>
      <c r="G805" s="1"/>
      <c r="H805" s="1"/>
    </row>
    <row r="806" spans="1:8" x14ac:dyDescent="0.3">
      <c r="A806" s="26">
        <v>45986</v>
      </c>
      <c r="B806" s="38" t="s">
        <v>65</v>
      </c>
      <c r="C806" s="35">
        <v>77.356300000000005</v>
      </c>
      <c r="D806" s="39">
        <v>24228339</v>
      </c>
      <c r="E806" s="1" t="str">
        <f t="shared" si="24"/>
        <v>2025-11</v>
      </c>
      <c r="F806" s="36">
        <f t="shared" si="25"/>
        <v>3.1642163442149318E-3</v>
      </c>
      <c r="G806" s="1"/>
      <c r="H806" s="1"/>
    </row>
    <row r="807" spans="1:8" x14ac:dyDescent="0.3">
      <c r="A807" s="26">
        <v>45987</v>
      </c>
      <c r="B807" s="38" t="s">
        <v>65</v>
      </c>
      <c r="C807" s="35">
        <v>78.771699999999996</v>
      </c>
      <c r="D807" s="39">
        <v>22906599</v>
      </c>
      <c r="E807" s="1" t="str">
        <f t="shared" si="24"/>
        <v>2025-11</v>
      </c>
      <c r="F807" s="36">
        <f t="shared" si="25"/>
        <v>1.8297152268140993E-2</v>
      </c>
      <c r="G807" s="1"/>
      <c r="H807" s="1"/>
    </row>
    <row r="808" spans="1:8" x14ac:dyDescent="0.3">
      <c r="A808" s="26">
        <v>45988</v>
      </c>
      <c r="B808" s="38" t="s">
        <v>65</v>
      </c>
      <c r="C808" s="35">
        <v>80.089399999999998</v>
      </c>
      <c r="D808" s="39">
        <v>27770640</v>
      </c>
      <c r="E808" s="1" t="str">
        <f t="shared" si="24"/>
        <v>2025-11</v>
      </c>
      <c r="F808" s="36">
        <f t="shared" si="25"/>
        <v>1.6728088894869542E-2</v>
      </c>
      <c r="G808" s="1"/>
      <c r="H808" s="1"/>
    </row>
    <row r="809" spans="1:8" x14ac:dyDescent="0.3">
      <c r="A809" s="26">
        <v>45989</v>
      </c>
      <c r="B809" s="38" t="s">
        <v>65</v>
      </c>
      <c r="C809" s="35">
        <v>78.674099999999996</v>
      </c>
      <c r="D809" s="39">
        <v>16508566</v>
      </c>
      <c r="E809" s="1" t="str">
        <f t="shared" si="24"/>
        <v>2025-11</v>
      </c>
      <c r="F809" s="36">
        <f t="shared" si="25"/>
        <v>-1.7671502096407332E-2</v>
      </c>
      <c r="G809" s="1"/>
      <c r="H809" s="1"/>
    </row>
    <row r="810" spans="1:8" x14ac:dyDescent="0.3">
      <c r="A810" s="26">
        <v>45992</v>
      </c>
      <c r="B810" s="38" t="s">
        <v>65</v>
      </c>
      <c r="C810" s="35">
        <v>78.576499999999996</v>
      </c>
      <c r="D810" s="39">
        <v>18639358</v>
      </c>
      <c r="E810" s="1" t="str">
        <f t="shared" si="24"/>
        <v>2025-12</v>
      </c>
      <c r="F810" s="36">
        <f t="shared" si="25"/>
        <v>-1.2405607436246635E-3</v>
      </c>
      <c r="G810" s="1"/>
      <c r="H810" s="1"/>
    </row>
    <row r="811" spans="1:8" x14ac:dyDescent="0.3">
      <c r="A811" s="26">
        <v>45993</v>
      </c>
      <c r="B811" s="38" t="s">
        <v>65</v>
      </c>
      <c r="C811" s="35">
        <v>78.869299999999996</v>
      </c>
      <c r="D811" s="39">
        <v>15628711</v>
      </c>
      <c r="E811" s="1" t="str">
        <f t="shared" si="24"/>
        <v>2025-12</v>
      </c>
      <c r="F811" s="36">
        <f t="shared" si="25"/>
        <v>3.7263049384994584E-3</v>
      </c>
      <c r="G811" s="1"/>
      <c r="H811" s="1"/>
    </row>
    <row r="812" spans="1:8" x14ac:dyDescent="0.3">
      <c r="A812" s="26">
        <v>45994</v>
      </c>
      <c r="B812" s="38" t="s">
        <v>65</v>
      </c>
      <c r="C812" s="35">
        <v>77.649199999999993</v>
      </c>
      <c r="D812" s="39">
        <v>21526262</v>
      </c>
      <c r="E812" s="1" t="str">
        <f t="shared" si="24"/>
        <v>2025-12</v>
      </c>
      <c r="F812" s="36">
        <f t="shared" si="25"/>
        <v>-1.5469897666138821E-2</v>
      </c>
      <c r="G812" s="1"/>
      <c r="H812" s="1"/>
    </row>
    <row r="813" spans="1:8" x14ac:dyDescent="0.3">
      <c r="A813" s="26">
        <v>45995</v>
      </c>
      <c r="B813" s="38" t="s">
        <v>65</v>
      </c>
      <c r="C813" s="35">
        <v>77.112300000000005</v>
      </c>
      <c r="D813" s="39">
        <v>16779625</v>
      </c>
      <c r="E813" s="1" t="str">
        <f t="shared" si="24"/>
        <v>2025-12</v>
      </c>
      <c r="F813" s="36">
        <f t="shared" si="25"/>
        <v>-6.914430541460681E-3</v>
      </c>
      <c r="G813" s="1"/>
      <c r="H813" s="1"/>
    </row>
    <row r="814" spans="1:8" x14ac:dyDescent="0.3">
      <c r="A814" s="26">
        <v>45996</v>
      </c>
      <c r="B814" s="38" t="s">
        <v>65</v>
      </c>
      <c r="C814" s="35">
        <v>76.429000000000002</v>
      </c>
      <c r="D814" s="39">
        <v>29602076</v>
      </c>
      <c r="E814" s="1" t="str">
        <f t="shared" si="24"/>
        <v>2025-12</v>
      </c>
      <c r="F814" s="36">
        <f t="shared" si="25"/>
        <v>-8.8611025737788118E-3</v>
      </c>
      <c r="G814" s="1"/>
      <c r="H814" s="1"/>
    </row>
    <row r="815" spans="1:8" x14ac:dyDescent="0.3">
      <c r="A815" s="26">
        <v>45999</v>
      </c>
      <c r="B815" s="38" t="s">
        <v>65</v>
      </c>
      <c r="C815" s="35">
        <v>76.038600000000002</v>
      </c>
      <c r="D815" s="39">
        <v>16128346</v>
      </c>
      <c r="E815" s="1" t="str">
        <f t="shared" si="24"/>
        <v>2025-12</v>
      </c>
      <c r="F815" s="36">
        <f t="shared" si="25"/>
        <v>-5.1080087401379481E-3</v>
      </c>
      <c r="G815" s="1"/>
      <c r="H815" s="1"/>
    </row>
    <row r="816" spans="1:8" x14ac:dyDescent="0.3">
      <c r="A816" s="26">
        <v>46000</v>
      </c>
      <c r="B816" s="38" t="s">
        <v>65</v>
      </c>
      <c r="C816" s="35">
        <v>75.4041</v>
      </c>
      <c r="D816" s="39">
        <v>16835593</v>
      </c>
      <c r="E816" s="1" t="str">
        <f t="shared" si="24"/>
        <v>2025-12</v>
      </c>
      <c r="F816" s="36">
        <f t="shared" si="25"/>
        <v>-8.3444461102650802E-3</v>
      </c>
      <c r="G816" s="1"/>
      <c r="H816" s="1"/>
    </row>
    <row r="817" spans="1:8" x14ac:dyDescent="0.3">
      <c r="A817" s="26">
        <v>46001</v>
      </c>
      <c r="B817" s="38" t="s">
        <v>65</v>
      </c>
      <c r="C817" s="35">
        <v>75.648099999999999</v>
      </c>
      <c r="D817" s="39">
        <v>14165723</v>
      </c>
      <c r="E817" s="1" t="str">
        <f t="shared" si="24"/>
        <v>2025-12</v>
      </c>
      <c r="F817" s="36">
        <f t="shared" si="25"/>
        <v>3.2358983132216856E-3</v>
      </c>
      <c r="G817" s="1"/>
      <c r="H817" s="1"/>
    </row>
    <row r="818" spans="1:8" x14ac:dyDescent="0.3">
      <c r="A818" s="26">
        <v>46002</v>
      </c>
      <c r="B818" s="38" t="s">
        <v>65</v>
      </c>
      <c r="C818" s="35">
        <v>75.4529</v>
      </c>
      <c r="D818" s="39">
        <v>23909810</v>
      </c>
      <c r="E818" s="1" t="str">
        <f t="shared" si="24"/>
        <v>2025-12</v>
      </c>
      <c r="F818" s="36">
        <f t="shared" si="25"/>
        <v>-2.5803688394024915E-3</v>
      </c>
      <c r="G818" s="1"/>
      <c r="H818" s="1"/>
    </row>
    <row r="819" spans="1:8" x14ac:dyDescent="0.3">
      <c r="A819" s="26">
        <v>46003</v>
      </c>
      <c r="B819" s="38" t="s">
        <v>65</v>
      </c>
      <c r="C819" s="35">
        <v>77.112300000000005</v>
      </c>
      <c r="D819" s="39">
        <v>20888164</v>
      </c>
      <c r="E819" s="1" t="str">
        <f t="shared" si="24"/>
        <v>2025-12</v>
      </c>
      <c r="F819" s="36">
        <f t="shared" si="25"/>
        <v>2.1992527788859073E-2</v>
      </c>
      <c r="G819" s="1"/>
      <c r="H819" s="1"/>
    </row>
    <row r="820" spans="1:8" x14ac:dyDescent="0.3">
      <c r="A820" s="26">
        <v>46006</v>
      </c>
      <c r="B820" s="38" t="s">
        <v>65</v>
      </c>
      <c r="C820" s="35">
        <v>78.722899999999996</v>
      </c>
      <c r="D820" s="39">
        <v>26638478</v>
      </c>
      <c r="E820" s="1" t="str">
        <f t="shared" si="24"/>
        <v>2025-12</v>
      </c>
      <c r="F820" s="36">
        <f t="shared" si="25"/>
        <v>2.0886421491772333E-2</v>
      </c>
      <c r="G820" s="1"/>
      <c r="H820" s="1"/>
    </row>
    <row r="821" spans="1:8" x14ac:dyDescent="0.3">
      <c r="A821" s="26">
        <v>46007</v>
      </c>
      <c r="B821" s="38" t="s">
        <v>65</v>
      </c>
      <c r="C821" s="35">
        <v>77.893199999999993</v>
      </c>
      <c r="D821" s="39">
        <v>20272082</v>
      </c>
      <c r="E821" s="1" t="str">
        <f t="shared" si="24"/>
        <v>2025-12</v>
      </c>
      <c r="F821" s="36">
        <f t="shared" si="25"/>
        <v>-1.0539499942202379E-2</v>
      </c>
      <c r="G821" s="1"/>
      <c r="H821" s="1"/>
    </row>
    <row r="822" spans="1:8" x14ac:dyDescent="0.3">
      <c r="A822" s="26">
        <v>46008</v>
      </c>
      <c r="B822" s="38" t="s">
        <v>65</v>
      </c>
      <c r="C822" s="35">
        <v>79.015699999999995</v>
      </c>
      <c r="D822" s="39">
        <v>25038780</v>
      </c>
      <c r="E822" s="1" t="str">
        <f t="shared" si="24"/>
        <v>2025-12</v>
      </c>
      <c r="F822" s="36">
        <f t="shared" si="25"/>
        <v>1.4410757293319643E-2</v>
      </c>
      <c r="G822" s="1"/>
      <c r="H822" s="1"/>
    </row>
    <row r="823" spans="1:8" x14ac:dyDescent="0.3">
      <c r="A823" s="26">
        <v>46009</v>
      </c>
      <c r="B823" s="38" t="s">
        <v>65</v>
      </c>
      <c r="C823" s="35">
        <v>79.406199999999998</v>
      </c>
      <c r="D823" s="39">
        <v>21866284</v>
      </c>
      <c r="E823" s="1" t="str">
        <f t="shared" si="24"/>
        <v>2025-12</v>
      </c>
      <c r="F823" s="36">
        <f t="shared" si="25"/>
        <v>4.9420558192865283E-3</v>
      </c>
      <c r="G823" s="1"/>
      <c r="H823" s="1"/>
    </row>
    <row r="824" spans="1:8" x14ac:dyDescent="0.3">
      <c r="A824" s="26">
        <v>46010</v>
      </c>
      <c r="B824" s="38" t="s">
        <v>65</v>
      </c>
      <c r="C824" s="35">
        <v>80.528700000000001</v>
      </c>
      <c r="D824" s="39">
        <v>26792806</v>
      </c>
      <c r="E824" s="1" t="str">
        <f t="shared" si="24"/>
        <v>2025-12</v>
      </c>
      <c r="F824" s="36">
        <f t="shared" si="25"/>
        <v>1.4136175764612791E-2</v>
      </c>
      <c r="G824" s="1"/>
      <c r="H824" s="1"/>
    </row>
    <row r="825" spans="1:8" x14ac:dyDescent="0.3">
      <c r="A825" s="26">
        <v>46013</v>
      </c>
      <c r="B825" s="38" t="s">
        <v>65</v>
      </c>
      <c r="C825" s="35">
        <v>80.6751</v>
      </c>
      <c r="D825" s="39">
        <v>17562128</v>
      </c>
      <c r="E825" s="1" t="str">
        <f t="shared" si="24"/>
        <v>2025-12</v>
      </c>
      <c r="F825" s="36">
        <f t="shared" si="25"/>
        <v>1.8179853890600839E-3</v>
      </c>
      <c r="G825" s="1"/>
      <c r="H825" s="1"/>
    </row>
    <row r="826" spans="1:8" x14ac:dyDescent="0.3">
      <c r="A826" s="26">
        <v>46014</v>
      </c>
      <c r="B826" s="38" t="s">
        <v>65</v>
      </c>
      <c r="C826" s="35">
        <v>80.6751</v>
      </c>
      <c r="D826" s="39">
        <v>12849873</v>
      </c>
      <c r="E826" s="1" t="str">
        <f t="shared" si="24"/>
        <v>2025-12</v>
      </c>
      <c r="F826" s="36">
        <f t="shared" si="25"/>
        <v>0</v>
      </c>
      <c r="G826" s="1"/>
      <c r="H826" s="1"/>
    </row>
    <row r="827" spans="1:8" x14ac:dyDescent="0.3">
      <c r="A827" s="26">
        <v>46015</v>
      </c>
      <c r="B827" s="38" t="s">
        <v>65</v>
      </c>
      <c r="C827" s="35">
        <v>81.358400000000003</v>
      </c>
      <c r="D827" s="39">
        <v>0</v>
      </c>
      <c r="E827" s="1" t="str">
        <f t="shared" si="24"/>
        <v>2025-12</v>
      </c>
      <c r="F827" s="36">
        <f t="shared" si="25"/>
        <v>8.4697756804763547E-3</v>
      </c>
      <c r="G827" s="1"/>
      <c r="H827" s="1"/>
    </row>
    <row r="828" spans="1:8" x14ac:dyDescent="0.3">
      <c r="A828" s="26">
        <v>46020</v>
      </c>
      <c r="B828" s="38" t="s">
        <v>65</v>
      </c>
      <c r="C828" s="35">
        <v>80.235799999999998</v>
      </c>
      <c r="D828" s="39">
        <v>11677813</v>
      </c>
      <c r="E828" s="1" t="str">
        <f t="shared" si="24"/>
        <v>2025-12</v>
      </c>
      <c r="F828" s="36">
        <f t="shared" si="25"/>
        <v>-1.3798206454404327E-2</v>
      </c>
      <c r="G828" s="1"/>
      <c r="H828" s="1"/>
    </row>
    <row r="829" spans="1:8" x14ac:dyDescent="0.3">
      <c r="A829" s="26">
        <v>46021</v>
      </c>
      <c r="B829" s="38" t="s">
        <v>65</v>
      </c>
      <c r="C829" s="35">
        <v>79.698999999999998</v>
      </c>
      <c r="D829" s="39">
        <v>13658821</v>
      </c>
      <c r="E829" s="1" t="str">
        <f t="shared" si="24"/>
        <v>2025-12</v>
      </c>
      <c r="F829" s="36">
        <f t="shared" si="25"/>
        <v>-6.6902803985253723E-3</v>
      </c>
      <c r="G829" s="1"/>
      <c r="H829" s="1"/>
    </row>
    <row r="830" spans="1:8" x14ac:dyDescent="0.3">
      <c r="A830" s="26">
        <v>46022</v>
      </c>
      <c r="B830" s="38" t="s">
        <v>65</v>
      </c>
      <c r="C830" s="35">
        <v>78.186000000000007</v>
      </c>
      <c r="D830" s="39">
        <v>0</v>
      </c>
      <c r="E830" s="1" t="str">
        <f t="shared" si="24"/>
        <v>2025-12</v>
      </c>
      <c r="F830" s="36">
        <f t="shared" si="25"/>
        <v>-1.8983927025433056E-2</v>
      </c>
      <c r="G830" s="1"/>
      <c r="H830" s="1"/>
    </row>
    <row r="831" spans="1:8" x14ac:dyDescent="0.3">
      <c r="A831" s="26">
        <v>46024</v>
      </c>
      <c r="B831" s="38" t="s">
        <v>65</v>
      </c>
      <c r="C831" s="35">
        <v>81.309600000000003</v>
      </c>
      <c r="D831" s="39">
        <v>12639375</v>
      </c>
      <c r="E831" s="1" t="str">
        <f t="shared" si="24"/>
        <v>2026-01</v>
      </c>
      <c r="F831" s="36">
        <f t="shared" si="25"/>
        <v>3.9950886347939418E-2</v>
      </c>
      <c r="G831" s="1"/>
      <c r="H831" s="1"/>
    </row>
    <row r="832" spans="1:8" x14ac:dyDescent="0.3">
      <c r="A832" s="26">
        <v>46027</v>
      </c>
      <c r="B832" s="38" t="s">
        <v>65</v>
      </c>
      <c r="C832" s="35">
        <v>81.895200000000003</v>
      </c>
      <c r="D832" s="39">
        <v>18046282</v>
      </c>
      <c r="E832" s="1" t="str">
        <f t="shared" si="24"/>
        <v>2026-01</v>
      </c>
      <c r="F832" s="36">
        <f t="shared" si="25"/>
        <v>7.2021015968593005E-3</v>
      </c>
      <c r="G832" s="1"/>
      <c r="H832" s="1"/>
    </row>
    <row r="833" spans="1:8" x14ac:dyDescent="0.3">
      <c r="A833" s="26">
        <v>46028</v>
      </c>
      <c r="B833" s="38" t="s">
        <v>65</v>
      </c>
      <c r="C833" s="35">
        <v>83.993899999999996</v>
      </c>
      <c r="D833" s="39">
        <v>36035853</v>
      </c>
      <c r="E833" s="1" t="str">
        <f t="shared" si="24"/>
        <v>2026-01</v>
      </c>
      <c r="F833" s="36">
        <f t="shared" si="25"/>
        <v>2.5626654553624562E-2</v>
      </c>
      <c r="G833" s="1"/>
      <c r="H833" s="1"/>
    </row>
    <row r="834" spans="1:8" x14ac:dyDescent="0.3">
      <c r="A834" s="26">
        <v>46029</v>
      </c>
      <c r="B834" s="38" t="s">
        <v>65</v>
      </c>
      <c r="C834" s="35">
        <v>83.896199999999993</v>
      </c>
      <c r="D834" s="39">
        <v>28891525</v>
      </c>
      <c r="E834" s="1" t="str">
        <f t="shared" ref="E834:E897" si="26">TEXT(A834,"yyyy-mm")</f>
        <v>2026-01</v>
      </c>
      <c r="F834" s="36">
        <f t="shared" si="25"/>
        <v>-1.1631797070977834E-3</v>
      </c>
      <c r="G834" s="1"/>
      <c r="H834" s="1"/>
    </row>
    <row r="835" spans="1:8" x14ac:dyDescent="0.3">
      <c r="A835" s="26">
        <v>46030</v>
      </c>
      <c r="B835" s="38" t="s">
        <v>65</v>
      </c>
      <c r="C835" s="35">
        <v>81.846400000000003</v>
      </c>
      <c r="D835" s="39">
        <v>28837390</v>
      </c>
      <c r="E835" s="1" t="str">
        <f t="shared" si="26"/>
        <v>2026-01</v>
      </c>
      <c r="F835" s="36">
        <f t="shared" ref="F835:F898" si="27">IF(B835=B834,C835/C834-1,0)</f>
        <v>-2.4432572631418292E-2</v>
      </c>
      <c r="G835" s="1"/>
      <c r="H835" s="1"/>
    </row>
    <row r="836" spans="1:8" x14ac:dyDescent="0.3">
      <c r="A836" s="26">
        <v>46031</v>
      </c>
      <c r="B836" s="38" t="s">
        <v>65</v>
      </c>
      <c r="C836" s="35">
        <v>82.285700000000006</v>
      </c>
      <c r="D836" s="39">
        <v>19090129</v>
      </c>
      <c r="E836" s="1" t="str">
        <f t="shared" si="26"/>
        <v>2026-01</v>
      </c>
      <c r="F836" s="36">
        <f t="shared" si="27"/>
        <v>5.367371075575722E-3</v>
      </c>
      <c r="G836" s="1"/>
      <c r="H836" s="1"/>
    </row>
    <row r="837" spans="1:8" x14ac:dyDescent="0.3">
      <c r="A837" s="26">
        <v>46034</v>
      </c>
      <c r="B837" s="38" t="s">
        <v>65</v>
      </c>
      <c r="C837" s="35">
        <v>81.7</v>
      </c>
      <c r="D837" s="39">
        <v>18280208</v>
      </c>
      <c r="E837" s="1" t="str">
        <f t="shared" si="26"/>
        <v>2026-01</v>
      </c>
      <c r="F837" s="36">
        <f t="shared" si="27"/>
        <v>-7.1178831801881337E-3</v>
      </c>
      <c r="G837" s="1"/>
      <c r="H837" s="1"/>
    </row>
    <row r="838" spans="1:8" x14ac:dyDescent="0.3">
      <c r="A838" s="26">
        <v>46035</v>
      </c>
      <c r="B838" s="38" t="s">
        <v>65</v>
      </c>
      <c r="C838" s="35">
        <v>82.383300000000006</v>
      </c>
      <c r="D838" s="39">
        <v>25115162</v>
      </c>
      <c r="E838" s="1" t="str">
        <f t="shared" si="26"/>
        <v>2026-01</v>
      </c>
      <c r="F838" s="36">
        <f t="shared" si="27"/>
        <v>8.3635250917992732E-3</v>
      </c>
      <c r="G838" s="1"/>
      <c r="H838" s="1"/>
    </row>
    <row r="839" spans="1:8" x14ac:dyDescent="0.3">
      <c r="A839" s="26">
        <v>46036</v>
      </c>
      <c r="B839" s="38" t="s">
        <v>65</v>
      </c>
      <c r="C839" s="35">
        <v>82.676100000000005</v>
      </c>
      <c r="D839" s="39">
        <v>22040400</v>
      </c>
      <c r="E839" s="1" t="str">
        <f t="shared" si="26"/>
        <v>2026-01</v>
      </c>
      <c r="F839" s="36">
        <f t="shared" si="27"/>
        <v>3.5541183710776636E-3</v>
      </c>
      <c r="G839" s="1"/>
      <c r="H839" s="1"/>
    </row>
    <row r="840" spans="1:8" x14ac:dyDescent="0.3">
      <c r="A840" s="26">
        <v>46037</v>
      </c>
      <c r="B840" s="38" t="s">
        <v>65</v>
      </c>
      <c r="C840" s="35">
        <v>82.822500000000005</v>
      </c>
      <c r="D840" s="39">
        <v>28506524</v>
      </c>
      <c r="E840" s="1" t="str">
        <f t="shared" si="26"/>
        <v>2026-01</v>
      </c>
      <c r="F840" s="36">
        <f t="shared" si="27"/>
        <v>1.7707656747234513E-3</v>
      </c>
      <c r="G840" s="1"/>
      <c r="H840" s="1"/>
    </row>
    <row r="841" spans="1:8" x14ac:dyDescent="0.3">
      <c r="A841" s="26">
        <v>46038</v>
      </c>
      <c r="B841" s="38" t="s">
        <v>65</v>
      </c>
      <c r="C841" s="35">
        <v>81.553600000000003</v>
      </c>
      <c r="D841" s="39">
        <v>22406903</v>
      </c>
      <c r="E841" s="1" t="str">
        <f t="shared" si="26"/>
        <v>2026-01</v>
      </c>
      <c r="F841" s="36">
        <f t="shared" si="27"/>
        <v>-1.5320715989012634E-2</v>
      </c>
      <c r="G841" s="1"/>
      <c r="H841" s="1"/>
    </row>
    <row r="842" spans="1:8" x14ac:dyDescent="0.3">
      <c r="A842" s="26">
        <v>46041</v>
      </c>
      <c r="B842" s="38" t="s">
        <v>65</v>
      </c>
      <c r="C842" s="35">
        <v>80.9679</v>
      </c>
      <c r="D842" s="39">
        <v>10246315</v>
      </c>
      <c r="E842" s="1" t="str">
        <f t="shared" si="26"/>
        <v>2026-01</v>
      </c>
      <c r="F842" s="36">
        <f t="shared" si="27"/>
        <v>-7.1817798355928719E-3</v>
      </c>
      <c r="G842" s="1"/>
      <c r="H842" s="1"/>
    </row>
    <row r="843" spans="1:8" x14ac:dyDescent="0.3">
      <c r="A843" s="26">
        <v>46042</v>
      </c>
      <c r="B843" s="38" t="s">
        <v>65</v>
      </c>
      <c r="C843" s="35">
        <v>80.8703</v>
      </c>
      <c r="D843" s="39">
        <v>16904193</v>
      </c>
      <c r="E843" s="1" t="str">
        <f t="shared" si="26"/>
        <v>2026-01</v>
      </c>
      <c r="F843" s="36">
        <f t="shared" si="27"/>
        <v>-1.2054159734907754E-3</v>
      </c>
      <c r="G843" s="1"/>
      <c r="H843" s="1"/>
    </row>
    <row r="844" spans="1:8" x14ac:dyDescent="0.3">
      <c r="A844" s="26">
        <v>46043</v>
      </c>
      <c r="B844" s="38" t="s">
        <v>65</v>
      </c>
      <c r="C844" s="35">
        <v>80.8703</v>
      </c>
      <c r="D844" s="39">
        <v>12502978</v>
      </c>
      <c r="E844" s="1" t="str">
        <f t="shared" si="26"/>
        <v>2026-01</v>
      </c>
      <c r="F844" s="36">
        <f t="shared" si="27"/>
        <v>0</v>
      </c>
      <c r="G844" s="1"/>
      <c r="H844" s="1"/>
    </row>
    <row r="845" spans="1:8" x14ac:dyDescent="0.3">
      <c r="A845" s="26">
        <v>46044</v>
      </c>
      <c r="B845" s="38" t="s">
        <v>65</v>
      </c>
      <c r="C845" s="35">
        <v>80.528700000000001</v>
      </c>
      <c r="D845" s="39">
        <v>25542786</v>
      </c>
      <c r="E845" s="1" t="str">
        <f t="shared" si="26"/>
        <v>2026-01</v>
      </c>
      <c r="F845" s="36">
        <f t="shared" si="27"/>
        <v>-4.2240476417176875E-3</v>
      </c>
      <c r="G845" s="1"/>
      <c r="H845" s="1"/>
    </row>
    <row r="846" spans="1:8" x14ac:dyDescent="0.3">
      <c r="A846" s="26">
        <v>46045</v>
      </c>
      <c r="B846" s="38" t="s">
        <v>65</v>
      </c>
      <c r="C846" s="35">
        <v>81.0655</v>
      </c>
      <c r="D846" s="39">
        <v>21516863</v>
      </c>
      <c r="E846" s="1" t="str">
        <f t="shared" si="26"/>
        <v>2026-01</v>
      </c>
      <c r="F846" s="36">
        <f t="shared" si="27"/>
        <v>6.6659464265534929E-3</v>
      </c>
      <c r="G846" s="1"/>
      <c r="H846" s="1"/>
    </row>
    <row r="847" spans="1:8" x14ac:dyDescent="0.3">
      <c r="A847" s="26">
        <v>46048</v>
      </c>
      <c r="B847" s="38" t="s">
        <v>65</v>
      </c>
      <c r="C847" s="35">
        <v>81.0655</v>
      </c>
      <c r="D847" s="39">
        <v>25141580</v>
      </c>
      <c r="E847" s="1" t="str">
        <f t="shared" si="26"/>
        <v>2026-01</v>
      </c>
      <c r="F847" s="36">
        <f t="shared" si="27"/>
        <v>0</v>
      </c>
      <c r="G847" s="1"/>
      <c r="H847" s="1"/>
    </row>
    <row r="848" spans="1:8" x14ac:dyDescent="0.3">
      <c r="A848" s="26">
        <v>46049</v>
      </c>
      <c r="B848" s="38" t="s">
        <v>65</v>
      </c>
      <c r="C848" s="35">
        <v>84.384299999999996</v>
      </c>
      <c r="D848" s="39">
        <v>31588294</v>
      </c>
      <c r="E848" s="1" t="str">
        <f t="shared" si="26"/>
        <v>2026-01</v>
      </c>
      <c r="F848" s="36">
        <f t="shared" si="27"/>
        <v>4.093973391886796E-2</v>
      </c>
      <c r="G848" s="1"/>
      <c r="H848" s="1"/>
    </row>
    <row r="849" spans="1:8" x14ac:dyDescent="0.3">
      <c r="A849" s="26">
        <v>46050</v>
      </c>
      <c r="B849" s="38" t="s">
        <v>65</v>
      </c>
      <c r="C849" s="35">
        <v>86.726900000000001</v>
      </c>
      <c r="D849" s="39">
        <v>37716210</v>
      </c>
      <c r="E849" s="1" t="str">
        <f t="shared" si="26"/>
        <v>2026-01</v>
      </c>
      <c r="F849" s="36">
        <f t="shared" si="27"/>
        <v>2.7761088259308897E-2</v>
      </c>
      <c r="G849" s="1"/>
      <c r="H849" s="1"/>
    </row>
    <row r="850" spans="1:8" x14ac:dyDescent="0.3">
      <c r="A850" s="26">
        <v>46051</v>
      </c>
      <c r="B850" s="38" t="s">
        <v>65</v>
      </c>
      <c r="C850" s="35">
        <v>88.776799999999994</v>
      </c>
      <c r="D850" s="39">
        <v>34683548</v>
      </c>
      <c r="E850" s="1" t="str">
        <f t="shared" si="26"/>
        <v>2026-01</v>
      </c>
      <c r="F850" s="36">
        <f t="shared" si="27"/>
        <v>2.3636265103445409E-2</v>
      </c>
      <c r="G850" s="1"/>
      <c r="H850" s="1"/>
    </row>
    <row r="851" spans="1:8" x14ac:dyDescent="0.3">
      <c r="A851" s="26">
        <v>46052</v>
      </c>
      <c r="B851" s="38" t="s">
        <v>65</v>
      </c>
      <c r="C851" s="35">
        <v>88.191100000000006</v>
      </c>
      <c r="D851" s="39">
        <v>40530686</v>
      </c>
      <c r="E851" s="1" t="str">
        <f t="shared" si="26"/>
        <v>2026-01</v>
      </c>
      <c r="F851" s="36">
        <f t="shared" si="27"/>
        <v>-6.5974443773597624E-3</v>
      </c>
      <c r="G851" s="1"/>
      <c r="H851" s="1"/>
    </row>
    <row r="852" spans="1:8" x14ac:dyDescent="0.3">
      <c r="A852" s="26">
        <v>46055</v>
      </c>
      <c r="B852" s="38" t="s">
        <v>65</v>
      </c>
      <c r="C852" s="35">
        <v>86.922200000000004</v>
      </c>
      <c r="D852" s="39">
        <v>36008533</v>
      </c>
      <c r="E852" s="1" t="str">
        <f t="shared" si="26"/>
        <v>2026-02</v>
      </c>
      <c r="F852" s="36">
        <f t="shared" si="27"/>
        <v>-1.4388073172916571E-2</v>
      </c>
      <c r="G852" s="1"/>
      <c r="H852" s="1"/>
    </row>
    <row r="853" spans="1:8" x14ac:dyDescent="0.3">
      <c r="A853" s="26">
        <v>46056</v>
      </c>
      <c r="B853" s="38" t="s">
        <v>65</v>
      </c>
      <c r="C853" s="35">
        <v>87.312600000000003</v>
      </c>
      <c r="D853" s="39">
        <v>26032974</v>
      </c>
      <c r="E853" s="1" t="str">
        <f t="shared" si="26"/>
        <v>2026-02</v>
      </c>
      <c r="F853" s="36">
        <f t="shared" si="27"/>
        <v>4.4913727448223639E-3</v>
      </c>
      <c r="G853" s="1"/>
      <c r="H853" s="1"/>
    </row>
    <row r="854" spans="1:8" x14ac:dyDescent="0.3">
      <c r="A854" s="26">
        <v>46057</v>
      </c>
      <c r="B854" s="38" t="s">
        <v>65</v>
      </c>
      <c r="C854" s="35">
        <v>88.532700000000006</v>
      </c>
      <c r="D854" s="39">
        <v>25440526</v>
      </c>
      <c r="E854" s="1" t="str">
        <f t="shared" si="26"/>
        <v>2026-02</v>
      </c>
      <c r="F854" s="36">
        <f t="shared" si="27"/>
        <v>1.397392816157117E-2</v>
      </c>
      <c r="G854" s="1"/>
      <c r="H854" s="1"/>
    </row>
    <row r="855" spans="1:8" x14ac:dyDescent="0.3">
      <c r="A855" s="26">
        <v>46058</v>
      </c>
      <c r="B855" s="38" t="s">
        <v>65</v>
      </c>
      <c r="C855" s="35">
        <v>86.287700000000001</v>
      </c>
      <c r="D855" s="39">
        <v>28273333</v>
      </c>
      <c r="E855" s="1" t="str">
        <f t="shared" si="26"/>
        <v>2026-02</v>
      </c>
      <c r="F855" s="36">
        <f t="shared" si="27"/>
        <v>-2.5357862123260744E-2</v>
      </c>
      <c r="G855" s="1"/>
      <c r="H855" s="1"/>
    </row>
    <row r="856" spans="1:8" x14ac:dyDescent="0.3">
      <c r="A856" s="26">
        <v>46059</v>
      </c>
      <c r="B856" s="38" t="s">
        <v>65</v>
      </c>
      <c r="C856" s="35">
        <v>81.504800000000003</v>
      </c>
      <c r="D856" s="39">
        <v>56550567</v>
      </c>
      <c r="E856" s="1" t="str">
        <f t="shared" si="26"/>
        <v>2026-02</v>
      </c>
      <c r="F856" s="36">
        <f t="shared" si="27"/>
        <v>-5.54296846479857E-2</v>
      </c>
      <c r="G856" s="1"/>
      <c r="H856" s="1"/>
    </row>
    <row r="857" spans="1:8" x14ac:dyDescent="0.3">
      <c r="A857" s="26">
        <v>46062</v>
      </c>
      <c r="B857" s="38" t="s">
        <v>65</v>
      </c>
      <c r="C857" s="35">
        <v>84.286699999999996</v>
      </c>
      <c r="D857" s="39">
        <v>30972514</v>
      </c>
      <c r="E857" s="1" t="str">
        <f t="shared" si="26"/>
        <v>2026-02</v>
      </c>
      <c r="F857" s="36">
        <f t="shared" si="27"/>
        <v>3.4131732118844349E-2</v>
      </c>
      <c r="G857" s="1"/>
      <c r="H857" s="1"/>
    </row>
    <row r="858" spans="1:8" x14ac:dyDescent="0.3">
      <c r="A858" s="26">
        <v>46063</v>
      </c>
      <c r="B858" s="38" t="s">
        <v>65</v>
      </c>
      <c r="C858" s="35">
        <v>83.847399999999993</v>
      </c>
      <c r="D858" s="39">
        <v>32851732</v>
      </c>
      <c r="E858" s="1" t="str">
        <f t="shared" si="26"/>
        <v>2026-02</v>
      </c>
      <c r="F858" s="36">
        <f t="shared" si="27"/>
        <v>-5.2119729447231977E-3</v>
      </c>
      <c r="G858" s="1"/>
      <c r="H858" s="1"/>
    </row>
    <row r="859" spans="1:8" x14ac:dyDescent="0.3">
      <c r="A859" s="26">
        <v>46064</v>
      </c>
      <c r="B859" s="38" t="s">
        <v>65</v>
      </c>
      <c r="C859" s="35">
        <v>83.505799999999994</v>
      </c>
      <c r="D859" s="39">
        <v>16940181</v>
      </c>
      <c r="E859" s="1" t="str">
        <f t="shared" si="26"/>
        <v>2026-02</v>
      </c>
      <c r="F859" s="36">
        <f t="shared" si="27"/>
        <v>-4.0740678900001992E-3</v>
      </c>
      <c r="G859" s="1"/>
      <c r="H859" s="1"/>
    </row>
    <row r="860" spans="1:8" x14ac:dyDescent="0.3">
      <c r="A860" s="26">
        <v>46065</v>
      </c>
      <c r="B860" s="38" t="s">
        <v>65</v>
      </c>
      <c r="C860" s="35">
        <v>81.797600000000003</v>
      </c>
      <c r="D860" s="39">
        <v>22715749</v>
      </c>
      <c r="E860" s="1" t="str">
        <f t="shared" si="26"/>
        <v>2026-02</v>
      </c>
      <c r="F860" s="36">
        <f t="shared" si="27"/>
        <v>-2.0456064129677154E-2</v>
      </c>
      <c r="G860" s="1"/>
      <c r="H860" s="1"/>
    </row>
    <row r="861" spans="1:8" x14ac:dyDescent="0.3">
      <c r="A861" s="26">
        <v>46066</v>
      </c>
      <c r="B861" s="38" t="s">
        <v>65</v>
      </c>
      <c r="C861" s="35">
        <v>78.381200000000007</v>
      </c>
      <c r="D861" s="39">
        <v>57208246</v>
      </c>
      <c r="E861" s="1" t="str">
        <f t="shared" si="26"/>
        <v>2026-02</v>
      </c>
      <c r="F861" s="36">
        <f t="shared" si="27"/>
        <v>-4.1766506596770503E-2</v>
      </c>
      <c r="G861" s="1"/>
      <c r="H861" s="1"/>
    </row>
    <row r="862" spans="1:8" x14ac:dyDescent="0.3">
      <c r="A862" s="26">
        <v>46069</v>
      </c>
      <c r="B862" s="38" t="s">
        <v>65</v>
      </c>
      <c r="C862" s="35">
        <v>80.577500000000001</v>
      </c>
      <c r="D862" s="39">
        <v>0</v>
      </c>
      <c r="E862" s="1" t="str">
        <f t="shared" si="26"/>
        <v>2026-02</v>
      </c>
      <c r="F862" s="36">
        <f t="shared" si="27"/>
        <v>2.8020749873694184E-2</v>
      </c>
      <c r="G862" s="1"/>
      <c r="H862" s="1"/>
    </row>
    <row r="863" spans="1:8" x14ac:dyDescent="0.3">
      <c r="A863" s="26">
        <v>46073</v>
      </c>
      <c r="B863" s="38" t="s">
        <v>65</v>
      </c>
      <c r="C863" s="35">
        <v>80.333500000000001</v>
      </c>
      <c r="D863" s="39">
        <v>29480715</v>
      </c>
      <c r="E863" s="1" t="str">
        <f t="shared" si="26"/>
        <v>2026-02</v>
      </c>
      <c r="F863" s="36">
        <f t="shared" si="27"/>
        <v>-3.0281406099718078E-3</v>
      </c>
      <c r="G863" s="1"/>
      <c r="H863" s="1"/>
    </row>
    <row r="864" spans="1:8" x14ac:dyDescent="0.3">
      <c r="A864" s="26">
        <v>46076</v>
      </c>
      <c r="B864" s="38" t="s">
        <v>65</v>
      </c>
      <c r="C864" s="35">
        <v>83.603399999999993</v>
      </c>
      <c r="D864" s="39">
        <v>28770197</v>
      </c>
      <c r="E864" s="1" t="str">
        <f t="shared" si="26"/>
        <v>2026-02</v>
      </c>
      <c r="F864" s="36">
        <f t="shared" si="27"/>
        <v>4.0704064929325767E-2</v>
      </c>
      <c r="G864" s="1"/>
      <c r="H864" s="1"/>
    </row>
    <row r="865" spans="1:8" x14ac:dyDescent="0.3">
      <c r="A865" s="26">
        <v>46077</v>
      </c>
      <c r="B865" s="38" t="s">
        <v>65</v>
      </c>
      <c r="C865" s="35">
        <v>82.822500000000005</v>
      </c>
      <c r="D865" s="39">
        <v>29872712</v>
      </c>
      <c r="E865" s="1" t="str">
        <f t="shared" si="26"/>
        <v>2026-02</v>
      </c>
      <c r="F865" s="36">
        <f t="shared" si="27"/>
        <v>-9.3405292129266071E-3</v>
      </c>
      <c r="G865" s="1"/>
      <c r="H865" s="1"/>
    </row>
    <row r="866" spans="1:8" x14ac:dyDescent="0.3">
      <c r="A866" s="26">
        <v>46078</v>
      </c>
      <c r="B866" s="38" t="s">
        <v>65</v>
      </c>
      <c r="C866" s="35">
        <v>82.480900000000005</v>
      </c>
      <c r="D866" s="39">
        <v>21939412</v>
      </c>
      <c r="E866" s="1" t="str">
        <f t="shared" si="26"/>
        <v>2026-02</v>
      </c>
      <c r="F866" s="36">
        <f t="shared" si="27"/>
        <v>-4.1244830812883215E-3</v>
      </c>
      <c r="G866" s="1"/>
      <c r="H866" s="1"/>
    </row>
    <row r="867" spans="1:8" x14ac:dyDescent="0.3">
      <c r="A867" s="26">
        <v>46079</v>
      </c>
      <c r="B867" s="38" t="s">
        <v>65</v>
      </c>
      <c r="C867" s="35">
        <v>82.676100000000005</v>
      </c>
      <c r="D867" s="39">
        <v>26179446</v>
      </c>
      <c r="E867" s="1" t="str">
        <f t="shared" si="26"/>
        <v>2026-02</v>
      </c>
      <c r="F867" s="36">
        <f t="shared" si="27"/>
        <v>2.3666085117888258E-3</v>
      </c>
      <c r="G867" s="1"/>
      <c r="H867" s="1"/>
    </row>
    <row r="868" spans="1:8" x14ac:dyDescent="0.3">
      <c r="A868" s="26">
        <v>46080</v>
      </c>
      <c r="B868" s="38" t="s">
        <v>65</v>
      </c>
      <c r="C868" s="35">
        <v>84.725899999999996</v>
      </c>
      <c r="D868" s="39">
        <v>25005665</v>
      </c>
      <c r="E868" s="1" t="str">
        <f t="shared" si="26"/>
        <v>2026-02</v>
      </c>
      <c r="F868" s="36">
        <f t="shared" si="27"/>
        <v>2.4793138524918268E-2</v>
      </c>
      <c r="G868" s="1"/>
      <c r="H868" s="1"/>
    </row>
    <row r="869" spans="1:8" x14ac:dyDescent="0.3">
      <c r="A869" s="26">
        <v>46083</v>
      </c>
      <c r="B869" s="38" t="s">
        <v>65</v>
      </c>
      <c r="C869" s="35">
        <v>82.968900000000005</v>
      </c>
      <c r="D869" s="39">
        <v>31912647</v>
      </c>
      <c r="E869" s="1" t="str">
        <f t="shared" si="26"/>
        <v>2026-03</v>
      </c>
      <c r="F869" s="36">
        <f t="shared" si="27"/>
        <v>-2.0737460445979239E-2</v>
      </c>
      <c r="G869" s="1"/>
      <c r="H869" s="1"/>
    </row>
    <row r="870" spans="1:8" x14ac:dyDescent="0.3">
      <c r="A870" s="26">
        <v>46084</v>
      </c>
      <c r="B870" s="38" t="s">
        <v>65</v>
      </c>
      <c r="C870" s="35">
        <v>82.968900000000005</v>
      </c>
      <c r="D870" s="39">
        <v>26761693</v>
      </c>
      <c r="E870" s="1" t="str">
        <f t="shared" si="26"/>
        <v>2026-03</v>
      </c>
      <c r="F870" s="36">
        <f t="shared" si="27"/>
        <v>0</v>
      </c>
      <c r="G870" s="1"/>
      <c r="H870" s="1"/>
    </row>
    <row r="871" spans="1:8" x14ac:dyDescent="0.3">
      <c r="A871" s="26">
        <v>46085</v>
      </c>
      <c r="B871" s="38" t="s">
        <v>65</v>
      </c>
      <c r="C871" s="35">
        <v>79.064499999999995</v>
      </c>
      <c r="D871" s="39">
        <v>37790358</v>
      </c>
      <c r="E871" s="1" t="str">
        <f t="shared" si="26"/>
        <v>2026-03</v>
      </c>
      <c r="F871" s="36">
        <f t="shared" si="27"/>
        <v>-4.7058596654891316E-2</v>
      </c>
      <c r="G871" s="1"/>
      <c r="H871" s="1"/>
    </row>
    <row r="872" spans="1:8" x14ac:dyDescent="0.3">
      <c r="A872" s="26">
        <v>46086</v>
      </c>
      <c r="B872" s="38" t="s">
        <v>65</v>
      </c>
      <c r="C872" s="35">
        <v>83.066599999999994</v>
      </c>
      <c r="D872" s="39">
        <v>41176115</v>
      </c>
      <c r="E872" s="1" t="str">
        <f t="shared" si="26"/>
        <v>2026-03</v>
      </c>
      <c r="F872" s="36">
        <f t="shared" si="27"/>
        <v>5.0618166180776525E-2</v>
      </c>
      <c r="G872" s="1"/>
      <c r="H872" s="1"/>
    </row>
    <row r="873" spans="1:8" x14ac:dyDescent="0.3">
      <c r="A873" s="26">
        <v>46087</v>
      </c>
      <c r="B873" s="38" t="s">
        <v>65</v>
      </c>
      <c r="C873" s="35">
        <v>83.554599999999994</v>
      </c>
      <c r="D873" s="39">
        <v>38772309</v>
      </c>
      <c r="E873" s="1" t="str">
        <f t="shared" si="26"/>
        <v>2026-03</v>
      </c>
      <c r="F873" s="36">
        <f t="shared" si="27"/>
        <v>5.8748040728764384E-3</v>
      </c>
      <c r="G873" s="1"/>
      <c r="H873" s="1"/>
    </row>
    <row r="874" spans="1:8" x14ac:dyDescent="0.3">
      <c r="A874" s="26">
        <v>46090</v>
      </c>
      <c r="B874" s="38" t="s">
        <v>65</v>
      </c>
      <c r="C874" s="35">
        <v>79.845399999999998</v>
      </c>
      <c r="D874" s="39">
        <v>51484585</v>
      </c>
      <c r="E874" s="1" t="str">
        <f t="shared" si="26"/>
        <v>2026-03</v>
      </c>
      <c r="F874" s="36">
        <f t="shared" si="27"/>
        <v>-4.4392528957112987E-2</v>
      </c>
      <c r="G874" s="1"/>
      <c r="H874" s="1"/>
    </row>
    <row r="875" spans="1:8" x14ac:dyDescent="0.3">
      <c r="A875" s="26">
        <v>46091</v>
      </c>
      <c r="B875" s="38" t="s">
        <v>65</v>
      </c>
      <c r="C875" s="35">
        <v>83.603399999999993</v>
      </c>
      <c r="D875" s="39">
        <v>42400897</v>
      </c>
      <c r="E875" s="1" t="str">
        <f t="shared" si="26"/>
        <v>2026-03</v>
      </c>
      <c r="F875" s="36">
        <f t="shared" si="27"/>
        <v>4.706595495795618E-2</v>
      </c>
      <c r="G875" s="1"/>
      <c r="H875" s="1"/>
    </row>
    <row r="876" spans="1:8" x14ac:dyDescent="0.3">
      <c r="A876" s="26">
        <v>46092</v>
      </c>
      <c r="B876" s="38" t="s">
        <v>65</v>
      </c>
      <c r="C876" s="35">
        <v>84.384299999999996</v>
      </c>
      <c r="D876" s="39">
        <v>37398635</v>
      </c>
      <c r="E876" s="1" t="str">
        <f t="shared" si="26"/>
        <v>2026-03</v>
      </c>
      <c r="F876" s="36">
        <f t="shared" si="27"/>
        <v>9.3405292129267181E-3</v>
      </c>
      <c r="G876" s="1"/>
      <c r="H876" s="1"/>
    </row>
    <row r="877" spans="1:8" x14ac:dyDescent="0.3">
      <c r="A877" s="26">
        <v>46093</v>
      </c>
      <c r="B877" s="38" t="s">
        <v>65</v>
      </c>
      <c r="C877" s="35">
        <v>82.334500000000006</v>
      </c>
      <c r="D877" s="39">
        <v>32544351</v>
      </c>
      <c r="E877" s="1" t="str">
        <f t="shared" si="26"/>
        <v>2026-03</v>
      </c>
      <c r="F877" s="36">
        <f t="shared" si="27"/>
        <v>-2.4291248490536654E-2</v>
      </c>
      <c r="G877" s="1"/>
      <c r="H877" s="1"/>
    </row>
    <row r="878" spans="1:8" x14ac:dyDescent="0.3">
      <c r="A878" s="26">
        <v>46094</v>
      </c>
      <c r="B878" s="38" t="s">
        <v>65</v>
      </c>
      <c r="C878" s="35">
        <v>79.845399999999998</v>
      </c>
      <c r="D878" s="39">
        <v>26751769</v>
      </c>
      <c r="E878" s="1" t="str">
        <f t="shared" si="26"/>
        <v>2026-03</v>
      </c>
      <c r="F878" s="36">
        <f t="shared" si="27"/>
        <v>-3.0231555423303802E-2</v>
      </c>
      <c r="G878" s="1"/>
      <c r="H878" s="1"/>
    </row>
    <row r="879" spans="1:8" x14ac:dyDescent="0.3">
      <c r="A879" s="26">
        <v>46097</v>
      </c>
      <c r="B879" s="38" t="s">
        <v>65</v>
      </c>
      <c r="C879" s="35">
        <v>81.407200000000003</v>
      </c>
      <c r="D879" s="39">
        <v>17052495</v>
      </c>
      <c r="E879" s="1" t="str">
        <f t="shared" si="26"/>
        <v>2026-03</v>
      </c>
      <c r="F879" s="36">
        <f t="shared" si="27"/>
        <v>1.9560300280291765E-2</v>
      </c>
      <c r="G879" s="1"/>
      <c r="H879" s="1"/>
    </row>
    <row r="880" spans="1:8" x14ac:dyDescent="0.3">
      <c r="A880" s="26">
        <v>46098</v>
      </c>
      <c r="B880" s="38" t="s">
        <v>65</v>
      </c>
      <c r="C880" s="35">
        <v>81.0167</v>
      </c>
      <c r="D880" s="39">
        <v>19931274</v>
      </c>
      <c r="E880" s="1" t="str">
        <f t="shared" si="26"/>
        <v>2026-03</v>
      </c>
      <c r="F880" s="36">
        <f t="shared" si="27"/>
        <v>-4.7968730038621121E-3</v>
      </c>
      <c r="G880" s="1"/>
      <c r="H880" s="1"/>
    </row>
    <row r="881" spans="1:8" x14ac:dyDescent="0.3">
      <c r="A881" s="26">
        <v>46099</v>
      </c>
      <c r="B881" s="38" t="s">
        <v>65</v>
      </c>
      <c r="C881" s="35">
        <v>82.529700000000005</v>
      </c>
      <c r="D881" s="39">
        <v>16774519</v>
      </c>
      <c r="E881" s="1" t="str">
        <f t="shared" si="26"/>
        <v>2026-03</v>
      </c>
      <c r="F881" s="36">
        <f t="shared" si="27"/>
        <v>1.8675162034494264E-2</v>
      </c>
      <c r="G881" s="1"/>
      <c r="H881" s="1"/>
    </row>
    <row r="882" spans="1:8" x14ac:dyDescent="0.3">
      <c r="A882" s="26">
        <v>46100</v>
      </c>
      <c r="B882" s="38" t="s">
        <v>65</v>
      </c>
      <c r="C882" s="35">
        <v>80.8215</v>
      </c>
      <c r="D882" s="39">
        <v>24816950</v>
      </c>
      <c r="E882" s="1" t="str">
        <f t="shared" si="26"/>
        <v>2026-03</v>
      </c>
      <c r="F882" s="36">
        <f t="shared" si="27"/>
        <v>-2.0698003264279508E-2</v>
      </c>
      <c r="G882" s="1"/>
      <c r="H882" s="1"/>
    </row>
    <row r="883" spans="1:8" x14ac:dyDescent="0.3">
      <c r="A883" s="26">
        <v>46101</v>
      </c>
      <c r="B883" s="38" t="s">
        <v>65</v>
      </c>
      <c r="C883" s="35">
        <v>83.993899999999996</v>
      </c>
      <c r="D883" s="39">
        <v>39305322</v>
      </c>
      <c r="E883" s="1" t="str">
        <f t="shared" si="26"/>
        <v>2026-03</v>
      </c>
      <c r="F883" s="36">
        <f t="shared" si="27"/>
        <v>3.9251931726087763E-2</v>
      </c>
      <c r="G883" s="1"/>
      <c r="H883" s="1"/>
    </row>
    <row r="884" spans="1:8" x14ac:dyDescent="0.3">
      <c r="A884" s="26">
        <v>46104</v>
      </c>
      <c r="B884" s="38" t="s">
        <v>65</v>
      </c>
      <c r="C884" s="35">
        <v>77.453900000000004</v>
      </c>
      <c r="D884" s="39">
        <v>38848945</v>
      </c>
      <c r="E884" s="1" t="str">
        <f t="shared" si="26"/>
        <v>2026-03</v>
      </c>
      <c r="F884" s="36">
        <f t="shared" si="27"/>
        <v>-7.7862797179318877E-2</v>
      </c>
      <c r="G884" s="1"/>
      <c r="H884" s="1"/>
    </row>
    <row r="885" spans="1:8" x14ac:dyDescent="0.3">
      <c r="A885" s="26">
        <v>46105</v>
      </c>
      <c r="B885" s="38" t="s">
        <v>65</v>
      </c>
      <c r="C885" s="35">
        <v>83.066599999999994</v>
      </c>
      <c r="D885" s="39">
        <v>29366272</v>
      </c>
      <c r="E885" s="1" t="str">
        <f t="shared" si="26"/>
        <v>2026-03</v>
      </c>
      <c r="F885" s="36">
        <f t="shared" si="27"/>
        <v>7.2465040495055533E-2</v>
      </c>
      <c r="G885" s="1"/>
      <c r="H885" s="1"/>
    </row>
    <row r="886" spans="1:8" x14ac:dyDescent="0.3">
      <c r="A886" s="26">
        <v>46106</v>
      </c>
      <c r="B886" s="38" t="s">
        <v>65</v>
      </c>
      <c r="C886" s="35">
        <v>84.725899999999996</v>
      </c>
      <c r="D886" s="39">
        <v>33596152</v>
      </c>
      <c r="E886" s="1" t="str">
        <f t="shared" si="26"/>
        <v>2026-03</v>
      </c>
      <c r="F886" s="36">
        <f t="shared" si="27"/>
        <v>1.997553770107352E-2</v>
      </c>
      <c r="G886" s="1"/>
      <c r="H886" s="1"/>
    </row>
    <row r="887" spans="1:8" x14ac:dyDescent="0.3">
      <c r="A887" s="26">
        <v>46107</v>
      </c>
      <c r="B887" s="38" t="s">
        <v>65</v>
      </c>
      <c r="C887" s="35">
        <v>84.921199999999999</v>
      </c>
      <c r="D887" s="39">
        <v>39387116</v>
      </c>
      <c r="E887" s="1" t="str">
        <f t="shared" si="26"/>
        <v>2026-03</v>
      </c>
      <c r="F887" s="36">
        <f t="shared" si="27"/>
        <v>2.3050802647124335E-3</v>
      </c>
      <c r="G887" s="1"/>
      <c r="H887" s="1"/>
    </row>
    <row r="888" spans="1:8" x14ac:dyDescent="0.3">
      <c r="A888" s="26">
        <v>46108</v>
      </c>
      <c r="B888" s="38" t="s">
        <v>65</v>
      </c>
      <c r="C888" s="35">
        <v>83.603399999999993</v>
      </c>
      <c r="D888" s="39">
        <v>26334532</v>
      </c>
      <c r="E888" s="1" t="str">
        <f t="shared" si="26"/>
        <v>2026-03</v>
      </c>
      <c r="F888" s="36">
        <f t="shared" si="27"/>
        <v>-1.5517915432188945E-2</v>
      </c>
      <c r="G888" s="1"/>
      <c r="H888" s="1"/>
    </row>
    <row r="889" spans="1:8" x14ac:dyDescent="0.3">
      <c r="A889" s="26">
        <v>46111</v>
      </c>
      <c r="B889" s="38" t="s">
        <v>65</v>
      </c>
      <c r="C889" s="35">
        <v>82.920100000000005</v>
      </c>
      <c r="D889" s="39">
        <v>30317487</v>
      </c>
      <c r="E889" s="1" t="str">
        <f t="shared" si="26"/>
        <v>2026-03</v>
      </c>
      <c r="F889" s="36">
        <f t="shared" si="27"/>
        <v>-8.1731125767611212E-3</v>
      </c>
      <c r="G889" s="1"/>
      <c r="H889" s="1"/>
    </row>
    <row r="890" spans="1:8" x14ac:dyDescent="0.3">
      <c r="A890" s="26">
        <v>46112</v>
      </c>
      <c r="B890" s="38" t="s">
        <v>65</v>
      </c>
      <c r="C890" s="35">
        <v>82.822500000000005</v>
      </c>
      <c r="D890" s="39">
        <v>25603449</v>
      </c>
      <c r="E890" s="1" t="str">
        <f t="shared" si="26"/>
        <v>2026-03</v>
      </c>
      <c r="F890" s="36">
        <f t="shared" si="27"/>
        <v>-1.1770366895360596E-3</v>
      </c>
      <c r="G890" s="1"/>
      <c r="H890" s="1"/>
    </row>
    <row r="891" spans="1:8" x14ac:dyDescent="0.3">
      <c r="A891" s="26">
        <v>46113</v>
      </c>
      <c r="B891" s="38" t="s">
        <v>65</v>
      </c>
      <c r="C891" s="35">
        <v>85.409199999999998</v>
      </c>
      <c r="D891" s="39">
        <v>31740741</v>
      </c>
      <c r="E891" s="1" t="str">
        <f t="shared" si="26"/>
        <v>2026-04</v>
      </c>
      <c r="F891" s="36">
        <f t="shared" si="27"/>
        <v>3.1231851248151088E-2</v>
      </c>
      <c r="G891" s="1"/>
      <c r="H891" s="1"/>
    </row>
    <row r="892" spans="1:8" x14ac:dyDescent="0.3">
      <c r="A892" s="26">
        <v>46114</v>
      </c>
      <c r="B892" s="38" t="s">
        <v>65</v>
      </c>
      <c r="C892" s="35">
        <v>84.091499999999996</v>
      </c>
      <c r="D892" s="39">
        <v>18188932</v>
      </c>
      <c r="E892" s="1" t="str">
        <f t="shared" si="26"/>
        <v>2026-04</v>
      </c>
      <c r="F892" s="36">
        <f t="shared" si="27"/>
        <v>-1.5428080347316242E-2</v>
      </c>
      <c r="G892" s="1"/>
      <c r="H892" s="1"/>
    </row>
    <row r="893" spans="1:8" x14ac:dyDescent="0.3">
      <c r="A893" s="26">
        <v>46120</v>
      </c>
      <c r="B893" s="38" t="s">
        <v>65</v>
      </c>
      <c r="C893" s="35">
        <v>86.531700000000001</v>
      </c>
      <c r="D893" s="39">
        <v>45883193</v>
      </c>
      <c r="E893" s="1" t="str">
        <f t="shared" si="26"/>
        <v>2026-04</v>
      </c>
      <c r="F893" s="36">
        <f t="shared" si="27"/>
        <v>2.9018390681579076E-2</v>
      </c>
      <c r="G893" s="1"/>
      <c r="H893" s="1"/>
    </row>
    <row r="894" spans="1:8" x14ac:dyDescent="0.3">
      <c r="A894" s="26">
        <v>46121</v>
      </c>
      <c r="B894" s="38" t="s">
        <v>65</v>
      </c>
      <c r="C894" s="35">
        <v>86.385300000000001</v>
      </c>
      <c r="D894" s="39">
        <v>21170005</v>
      </c>
      <c r="E894" s="1" t="str">
        <f t="shared" si="26"/>
        <v>2026-04</v>
      </c>
      <c r="F894" s="36">
        <f t="shared" si="27"/>
        <v>-1.6918655244263503E-3</v>
      </c>
      <c r="G894" s="1"/>
      <c r="H894" s="1"/>
    </row>
    <row r="895" spans="1:8" x14ac:dyDescent="0.3">
      <c r="A895" s="26">
        <v>46122</v>
      </c>
      <c r="B895" s="38" t="s">
        <v>65</v>
      </c>
      <c r="C895" s="35">
        <v>86.824600000000004</v>
      </c>
      <c r="D895" s="39">
        <v>16890520</v>
      </c>
      <c r="E895" s="1" t="str">
        <f t="shared" si="26"/>
        <v>2026-04</v>
      </c>
      <c r="F895" s="36">
        <f t="shared" si="27"/>
        <v>5.085355957552995E-3</v>
      </c>
      <c r="G895" s="1"/>
      <c r="H895" s="1"/>
    </row>
    <row r="896" spans="1:8" x14ac:dyDescent="0.3">
      <c r="A896" s="26">
        <v>46125</v>
      </c>
      <c r="B896" s="38" t="s">
        <v>65</v>
      </c>
      <c r="C896" s="35">
        <v>85.311599999999999</v>
      </c>
      <c r="D896" s="39">
        <v>15399571</v>
      </c>
      <c r="E896" s="1" t="str">
        <f t="shared" si="26"/>
        <v>2026-04</v>
      </c>
      <c r="F896" s="36">
        <f t="shared" si="27"/>
        <v>-1.7425936888854188E-2</v>
      </c>
      <c r="G896" s="1"/>
      <c r="H896" s="1"/>
    </row>
    <row r="897" spans="1:8" x14ac:dyDescent="0.3">
      <c r="A897" s="26">
        <v>46126</v>
      </c>
      <c r="B897" s="38" t="s">
        <v>65</v>
      </c>
      <c r="C897" s="35">
        <v>84.921199999999999</v>
      </c>
      <c r="D897" s="39">
        <v>20866607</v>
      </c>
      <c r="E897" s="1" t="str">
        <f t="shared" si="26"/>
        <v>2026-04</v>
      </c>
      <c r="F897" s="36">
        <f t="shared" si="27"/>
        <v>-4.5761654921487871E-3</v>
      </c>
      <c r="G897" s="1"/>
      <c r="H897" s="1"/>
    </row>
    <row r="898" spans="1:8" x14ac:dyDescent="0.3">
      <c r="A898" s="26">
        <v>46127</v>
      </c>
      <c r="B898" s="38" t="s">
        <v>65</v>
      </c>
      <c r="C898" s="35">
        <v>81.846400000000003</v>
      </c>
      <c r="D898" s="39">
        <v>44494434</v>
      </c>
      <c r="E898" s="1" t="str">
        <f t="shared" ref="E898:E961" si="28">TEXT(A898,"yyyy-mm")</f>
        <v>2026-04</v>
      </c>
      <c r="F898" s="36">
        <f t="shared" si="27"/>
        <v>-3.6207684300268883E-2</v>
      </c>
      <c r="G898" s="1"/>
      <c r="H898" s="1"/>
    </row>
    <row r="899" spans="1:8" x14ac:dyDescent="0.3">
      <c r="A899" s="26">
        <v>46128</v>
      </c>
      <c r="B899" s="38" t="s">
        <v>65</v>
      </c>
      <c r="C899" s="35">
        <v>82.236900000000006</v>
      </c>
      <c r="D899" s="39">
        <v>26718534</v>
      </c>
      <c r="E899" s="1" t="str">
        <f t="shared" si="28"/>
        <v>2026-04</v>
      </c>
      <c r="F899" s="36">
        <f t="shared" ref="F899:F962" si="29">IF(B899=B898,C899/C898-1,0)</f>
        <v>4.7711322672714385E-3</v>
      </c>
      <c r="G899" s="1"/>
      <c r="H899" s="1"/>
    </row>
    <row r="900" spans="1:8" x14ac:dyDescent="0.3">
      <c r="A900" s="26">
        <v>46129</v>
      </c>
      <c r="B900" s="38" t="s">
        <v>65</v>
      </c>
      <c r="C900" s="35">
        <v>79.650199999999998</v>
      </c>
      <c r="D900" s="39">
        <v>35681188</v>
      </c>
      <c r="E900" s="1" t="str">
        <f t="shared" si="28"/>
        <v>2026-04</v>
      </c>
      <c r="F900" s="36">
        <f t="shared" si="29"/>
        <v>-3.145424985620815E-2</v>
      </c>
      <c r="G900" s="1"/>
      <c r="H900" s="1"/>
    </row>
    <row r="901" spans="1:8" x14ac:dyDescent="0.3">
      <c r="A901" s="26">
        <v>46132</v>
      </c>
      <c r="B901" s="38" t="s">
        <v>65</v>
      </c>
      <c r="C901" s="35">
        <v>81.504800000000003</v>
      </c>
      <c r="D901" s="39">
        <v>24183140</v>
      </c>
      <c r="E901" s="1" t="str">
        <f t="shared" si="28"/>
        <v>2026-04</v>
      </c>
      <c r="F901" s="36">
        <f t="shared" si="29"/>
        <v>2.3284310648309825E-2</v>
      </c>
      <c r="G901" s="1"/>
      <c r="H901" s="1"/>
    </row>
    <row r="902" spans="1:8" x14ac:dyDescent="0.3">
      <c r="A902" s="26">
        <v>46133</v>
      </c>
      <c r="B902" s="38" t="s">
        <v>65</v>
      </c>
      <c r="C902" s="35">
        <v>80.8215</v>
      </c>
      <c r="D902" s="39">
        <v>16310648</v>
      </c>
      <c r="E902" s="1" t="str">
        <f t="shared" si="28"/>
        <v>2026-04</v>
      </c>
      <c r="F902" s="36">
        <f t="shared" si="29"/>
        <v>-8.3835553243489791E-3</v>
      </c>
      <c r="G902" s="1"/>
      <c r="H902" s="1"/>
    </row>
    <row r="903" spans="1:8" x14ac:dyDescent="0.3">
      <c r="A903" s="26">
        <v>46134</v>
      </c>
      <c r="B903" s="38" t="s">
        <v>65</v>
      </c>
      <c r="C903" s="35">
        <v>81.212000000000003</v>
      </c>
      <c r="D903" s="39">
        <v>17968702</v>
      </c>
      <c r="E903" s="1" t="str">
        <f t="shared" si="28"/>
        <v>2026-04</v>
      </c>
      <c r="F903" s="36">
        <f t="shared" si="29"/>
        <v>4.8316351465884644E-3</v>
      </c>
      <c r="G903" s="1"/>
      <c r="H903" s="1"/>
    </row>
    <row r="904" spans="1:8" x14ac:dyDescent="0.3">
      <c r="A904" s="26">
        <v>46135</v>
      </c>
      <c r="B904" s="38" t="s">
        <v>65</v>
      </c>
      <c r="C904" s="35">
        <v>79.796599999999998</v>
      </c>
      <c r="D904" s="39">
        <v>27554435</v>
      </c>
      <c r="E904" s="1" t="str">
        <f t="shared" si="28"/>
        <v>2026-04</v>
      </c>
      <c r="F904" s="36">
        <f t="shared" si="29"/>
        <v>-1.7428458848446127E-2</v>
      </c>
      <c r="G904" s="1"/>
      <c r="H904" s="1"/>
    </row>
    <row r="905" spans="1:8" x14ac:dyDescent="0.3">
      <c r="A905" s="26">
        <v>46136</v>
      </c>
      <c r="B905" s="38" t="s">
        <v>65</v>
      </c>
      <c r="C905" s="35">
        <v>79.698999999999998</v>
      </c>
      <c r="D905" s="39">
        <v>24782112</v>
      </c>
      <c r="E905" s="1" t="str">
        <f t="shared" si="28"/>
        <v>2026-04</v>
      </c>
      <c r="F905" s="36">
        <f t="shared" si="29"/>
        <v>-1.22310975655604E-3</v>
      </c>
      <c r="G905" s="1"/>
      <c r="H905" s="1"/>
    </row>
    <row r="906" spans="1:8" x14ac:dyDescent="0.3">
      <c r="A906" s="26">
        <v>46139</v>
      </c>
      <c r="B906" s="38" t="s">
        <v>65</v>
      </c>
      <c r="C906" s="35">
        <v>81.212000000000003</v>
      </c>
      <c r="D906" s="39">
        <v>22594765</v>
      </c>
      <c r="E906" s="1" t="str">
        <f t="shared" si="28"/>
        <v>2026-04</v>
      </c>
      <c r="F906" s="36">
        <f t="shared" si="29"/>
        <v>1.8983927025433278E-2</v>
      </c>
      <c r="G906" s="1"/>
      <c r="H906" s="1"/>
    </row>
    <row r="907" spans="1:8" x14ac:dyDescent="0.3">
      <c r="A907" s="26">
        <v>46140</v>
      </c>
      <c r="B907" s="38" t="s">
        <v>65</v>
      </c>
      <c r="C907" s="35">
        <v>81.1631</v>
      </c>
      <c r="D907" s="39">
        <v>21920627</v>
      </c>
      <c r="E907" s="1" t="str">
        <f t="shared" si="28"/>
        <v>2026-04</v>
      </c>
      <c r="F907" s="36">
        <f t="shared" si="29"/>
        <v>-6.0212776436985305E-4</v>
      </c>
      <c r="G907" s="1"/>
      <c r="H907" s="1"/>
    </row>
    <row r="908" spans="1:8" x14ac:dyDescent="0.3">
      <c r="A908" s="26">
        <v>46141</v>
      </c>
      <c r="B908" s="38" t="s">
        <v>65</v>
      </c>
      <c r="C908" s="35">
        <v>82.920100000000005</v>
      </c>
      <c r="D908" s="39">
        <v>33307662</v>
      </c>
      <c r="E908" s="1" t="str">
        <f t="shared" si="28"/>
        <v>2026-04</v>
      </c>
      <c r="F908" s="36">
        <f t="shared" si="29"/>
        <v>2.1647768505638654E-2</v>
      </c>
      <c r="G908" s="1"/>
      <c r="H908" s="1"/>
    </row>
    <row r="909" spans="1:8" x14ac:dyDescent="0.3">
      <c r="A909" s="26">
        <v>46142</v>
      </c>
      <c r="B909" s="38" t="s">
        <v>65</v>
      </c>
      <c r="C909" s="35">
        <v>83.017799999999994</v>
      </c>
      <c r="D909" s="39">
        <v>36086904</v>
      </c>
      <c r="E909" s="1" t="str">
        <f t="shared" si="28"/>
        <v>2026-04</v>
      </c>
      <c r="F909" s="36">
        <f t="shared" si="29"/>
        <v>1.1782426697506398E-3</v>
      </c>
      <c r="G909" s="1"/>
      <c r="H909" s="1"/>
    </row>
    <row r="910" spans="1:8" x14ac:dyDescent="0.3">
      <c r="A910" s="26">
        <v>46146</v>
      </c>
      <c r="B910" s="38" t="s">
        <v>65</v>
      </c>
      <c r="C910" s="35">
        <v>83.944999999999993</v>
      </c>
      <c r="D910" s="39">
        <v>18212654</v>
      </c>
      <c r="E910" s="1" t="str">
        <f t="shared" si="28"/>
        <v>2026-05</v>
      </c>
      <c r="F910" s="36">
        <f t="shared" si="29"/>
        <v>1.1168689124501086E-2</v>
      </c>
      <c r="G910" s="1"/>
      <c r="H910" s="1"/>
    </row>
    <row r="911" spans="1:8" x14ac:dyDescent="0.3">
      <c r="A911" s="26">
        <v>46147</v>
      </c>
      <c r="B911" s="38" t="s">
        <v>65</v>
      </c>
      <c r="C911" s="35">
        <v>83.847399999999993</v>
      </c>
      <c r="D911" s="39">
        <v>14130254</v>
      </c>
      <c r="E911" s="1" t="str">
        <f t="shared" si="28"/>
        <v>2026-05</v>
      </c>
      <c r="F911" s="36">
        <f t="shared" si="29"/>
        <v>-1.1626660313300841E-3</v>
      </c>
      <c r="G911" s="1"/>
      <c r="H911" s="1"/>
    </row>
    <row r="912" spans="1:8" x14ac:dyDescent="0.3">
      <c r="A912" s="26">
        <v>46148</v>
      </c>
      <c r="B912" s="38" t="s">
        <v>65</v>
      </c>
      <c r="C912" s="35">
        <v>85.360399999999998</v>
      </c>
      <c r="D912" s="39">
        <v>29584618</v>
      </c>
      <c r="E912" s="1" t="str">
        <f t="shared" si="28"/>
        <v>2026-05</v>
      </c>
      <c r="F912" s="36">
        <f t="shared" si="29"/>
        <v>1.8044685941364991E-2</v>
      </c>
      <c r="G912" s="1"/>
      <c r="H912" s="1"/>
    </row>
    <row r="913" spans="1:8" x14ac:dyDescent="0.3">
      <c r="A913" s="26">
        <v>46149</v>
      </c>
      <c r="B913" s="38" t="s">
        <v>65</v>
      </c>
      <c r="C913" s="35">
        <v>87.019800000000004</v>
      </c>
      <c r="D913" s="39">
        <v>26155798</v>
      </c>
      <c r="E913" s="1" t="str">
        <f t="shared" si="28"/>
        <v>2026-05</v>
      </c>
      <c r="F913" s="36">
        <f t="shared" si="29"/>
        <v>1.9439927647949329E-2</v>
      </c>
      <c r="G913" s="1"/>
      <c r="H913" s="1"/>
    </row>
    <row r="914" spans="1:8" x14ac:dyDescent="0.3">
      <c r="A914" s="26">
        <v>46150</v>
      </c>
      <c r="B914" s="38" t="s">
        <v>65</v>
      </c>
      <c r="C914" s="35">
        <v>84.530699999999996</v>
      </c>
      <c r="D914" s="39">
        <v>32368685</v>
      </c>
      <c r="E914" s="1" t="str">
        <f t="shared" si="28"/>
        <v>2026-05</v>
      </c>
      <c r="F914" s="36">
        <f t="shared" si="29"/>
        <v>-2.8603834989278432E-2</v>
      </c>
      <c r="G914" s="1"/>
      <c r="H914" s="1"/>
    </row>
    <row r="915" spans="1:8" x14ac:dyDescent="0.3">
      <c r="A915" s="26">
        <v>46153</v>
      </c>
      <c r="B915" s="38" t="s">
        <v>65</v>
      </c>
      <c r="C915" s="35">
        <v>84.530699999999996</v>
      </c>
      <c r="D915" s="39">
        <v>25082901</v>
      </c>
      <c r="E915" s="1" t="str">
        <f t="shared" si="28"/>
        <v>2026-05</v>
      </c>
      <c r="F915" s="36">
        <f t="shared" si="29"/>
        <v>0</v>
      </c>
      <c r="G915" s="1"/>
      <c r="H915" s="1"/>
    </row>
    <row r="916" spans="1:8" x14ac:dyDescent="0.3">
      <c r="A916" s="26">
        <v>46154</v>
      </c>
      <c r="B916" s="38" t="s">
        <v>65</v>
      </c>
      <c r="C916" s="35">
        <v>84.384299999999996</v>
      </c>
      <c r="D916" s="39">
        <v>18242698</v>
      </c>
      <c r="E916" s="1" t="str">
        <f t="shared" si="28"/>
        <v>2026-05</v>
      </c>
      <c r="F916" s="36">
        <f t="shared" si="29"/>
        <v>-1.7319151503536467E-3</v>
      </c>
      <c r="G916" s="1"/>
      <c r="H916" s="1"/>
    </row>
    <row r="917" spans="1:8" x14ac:dyDescent="0.3">
      <c r="A917" s="26">
        <v>46155</v>
      </c>
      <c r="B917" s="38" t="s">
        <v>65</v>
      </c>
      <c r="C917" s="35">
        <v>84.872299999999996</v>
      </c>
      <c r="D917" s="39">
        <v>40690650</v>
      </c>
      <c r="E917" s="1" t="str">
        <f t="shared" si="28"/>
        <v>2026-05</v>
      </c>
      <c r="F917" s="36">
        <f t="shared" si="29"/>
        <v>5.7830662812869971E-3</v>
      </c>
      <c r="G917" s="1"/>
      <c r="H917" s="1"/>
    </row>
    <row r="918" spans="1:8" x14ac:dyDescent="0.3">
      <c r="A918" s="26">
        <v>46156</v>
      </c>
      <c r="B918" s="38" t="s">
        <v>65</v>
      </c>
      <c r="C918" s="35">
        <v>85.604399999999998</v>
      </c>
      <c r="D918" s="39">
        <v>27183599</v>
      </c>
      <c r="E918" s="1" t="str">
        <f t="shared" si="28"/>
        <v>2026-05</v>
      </c>
      <c r="F918" s="36">
        <f t="shared" si="29"/>
        <v>8.6259003231914377E-3</v>
      </c>
      <c r="G918" s="1"/>
      <c r="H918" s="1"/>
    </row>
    <row r="919" spans="1:8" x14ac:dyDescent="0.3">
      <c r="A919" s="26">
        <v>46157</v>
      </c>
      <c r="B919" s="38" t="s">
        <v>65</v>
      </c>
      <c r="C919" s="35">
        <v>85.506799999999998</v>
      </c>
      <c r="D919" s="39">
        <v>19768118</v>
      </c>
      <c r="E919" s="1" t="str">
        <f t="shared" si="28"/>
        <v>2026-05</v>
      </c>
      <c r="F919" s="36">
        <f t="shared" si="29"/>
        <v>-1.1401283111616145E-3</v>
      </c>
      <c r="G919" s="1"/>
      <c r="H919" s="1"/>
    </row>
    <row r="920" spans="1:8" x14ac:dyDescent="0.3">
      <c r="A920" s="26">
        <v>46160</v>
      </c>
      <c r="B920" s="38" t="s">
        <v>65</v>
      </c>
      <c r="C920" s="35">
        <v>84.579499999999996</v>
      </c>
      <c r="D920" s="39">
        <v>22680845</v>
      </c>
      <c r="E920" s="1" t="str">
        <f t="shared" si="28"/>
        <v>2026-05</v>
      </c>
      <c r="F920" s="36">
        <f t="shared" si="29"/>
        <v>-1.0844751528533481E-2</v>
      </c>
      <c r="G920" s="1"/>
      <c r="H920" s="1"/>
    </row>
    <row r="921" spans="1:8" x14ac:dyDescent="0.3">
      <c r="A921" s="26">
        <v>46161</v>
      </c>
      <c r="B921" s="38" t="s">
        <v>65</v>
      </c>
      <c r="C921" s="35">
        <v>83.896199999999993</v>
      </c>
      <c r="D921" s="39">
        <v>34699714</v>
      </c>
      <c r="E921" s="1" t="str">
        <f t="shared" si="28"/>
        <v>2026-05</v>
      </c>
      <c r="F921" s="36">
        <f t="shared" si="29"/>
        <v>-8.0787897776648521E-3</v>
      </c>
      <c r="G921" s="1"/>
      <c r="H921" s="1"/>
    </row>
    <row r="922" spans="1:8" x14ac:dyDescent="0.3">
      <c r="A922" s="26">
        <v>46162</v>
      </c>
      <c r="B922" s="38" t="s">
        <v>65</v>
      </c>
      <c r="C922" s="35">
        <v>82.236900000000006</v>
      </c>
      <c r="D922" s="39">
        <v>26094441</v>
      </c>
      <c r="E922" s="1" t="str">
        <f t="shared" si="28"/>
        <v>2026-05</v>
      </c>
      <c r="F922" s="36">
        <f t="shared" si="29"/>
        <v>-1.9778011399801065E-2</v>
      </c>
      <c r="G922" s="1"/>
      <c r="H922" s="1"/>
    </row>
    <row r="923" spans="1:8" x14ac:dyDescent="0.3">
      <c r="A923" s="26">
        <v>46163</v>
      </c>
      <c r="B923" s="38" t="s">
        <v>65</v>
      </c>
      <c r="C923" s="35">
        <v>82.968900000000005</v>
      </c>
      <c r="D923" s="39">
        <v>26964930</v>
      </c>
      <c r="E923" s="1" t="str">
        <f t="shared" si="28"/>
        <v>2026-05</v>
      </c>
      <c r="F923" s="36">
        <f t="shared" si="29"/>
        <v>8.9011137336159063E-3</v>
      </c>
      <c r="G923" s="1"/>
      <c r="H923" s="1"/>
    </row>
    <row r="924" spans="1:8" x14ac:dyDescent="0.3">
      <c r="A924" s="26">
        <v>46164</v>
      </c>
      <c r="B924" s="38" t="s">
        <v>65</v>
      </c>
      <c r="C924" s="35">
        <v>83.993899999999996</v>
      </c>
      <c r="D924" s="39">
        <v>26182560</v>
      </c>
      <c r="E924" s="1" t="str">
        <f t="shared" si="28"/>
        <v>2026-05</v>
      </c>
      <c r="F924" s="36">
        <f t="shared" si="29"/>
        <v>1.2354026629254999E-2</v>
      </c>
      <c r="G924" s="1"/>
      <c r="H924" s="1"/>
    </row>
    <row r="925" spans="1:8" x14ac:dyDescent="0.3">
      <c r="A925" s="26">
        <v>46168</v>
      </c>
      <c r="B925" s="38" t="s">
        <v>65</v>
      </c>
      <c r="C925" s="35">
        <v>82.285700000000006</v>
      </c>
      <c r="D925" s="39">
        <v>37987226</v>
      </c>
      <c r="E925" s="1" t="str">
        <f t="shared" si="28"/>
        <v>2026-05</v>
      </c>
      <c r="F925" s="36">
        <f t="shared" si="29"/>
        <v>-2.0337191153167011E-2</v>
      </c>
      <c r="G925" s="1"/>
      <c r="H925" s="1"/>
    </row>
    <row r="926" spans="1:8" x14ac:dyDescent="0.3">
      <c r="A926" s="26">
        <v>46169</v>
      </c>
      <c r="B926" s="38" t="s">
        <v>65</v>
      </c>
      <c r="C926" s="35">
        <v>82.529700000000005</v>
      </c>
      <c r="D926" s="39">
        <v>29547950</v>
      </c>
      <c r="E926" s="1" t="str">
        <f t="shared" si="28"/>
        <v>2026-05</v>
      </c>
      <c r="F926" s="36">
        <f t="shared" si="29"/>
        <v>2.9652782925830845E-3</v>
      </c>
      <c r="G926" s="1"/>
      <c r="H926" s="1"/>
    </row>
    <row r="927" spans="1:8" x14ac:dyDescent="0.3">
      <c r="A927" s="26">
        <v>46170</v>
      </c>
      <c r="B927" s="38" t="s">
        <v>65</v>
      </c>
      <c r="C927" s="35">
        <v>81.577200000000005</v>
      </c>
      <c r="D927" s="39">
        <v>61279839</v>
      </c>
      <c r="E927" s="1" t="str">
        <f t="shared" si="28"/>
        <v>2026-05</v>
      </c>
      <c r="F927" s="36">
        <f t="shared" si="29"/>
        <v>-1.1541299677570671E-2</v>
      </c>
      <c r="G927" s="1"/>
      <c r="H927" s="1"/>
    </row>
    <row r="928" spans="1:8" x14ac:dyDescent="0.3">
      <c r="A928" s="26">
        <v>46171</v>
      </c>
      <c r="B928" s="38" t="s">
        <v>65</v>
      </c>
      <c r="C928" s="35">
        <v>81.676500000000004</v>
      </c>
      <c r="D928" s="39">
        <v>57539144</v>
      </c>
      <c r="E928" s="1" t="str">
        <f t="shared" si="28"/>
        <v>2026-05</v>
      </c>
      <c r="F928" s="36">
        <f t="shared" si="29"/>
        <v>1.2172518792015197E-3</v>
      </c>
      <c r="G928" s="1"/>
      <c r="H928" s="1"/>
    </row>
    <row r="929" spans="1:8" x14ac:dyDescent="0.3">
      <c r="A929" s="26">
        <v>46174</v>
      </c>
      <c r="B929" s="38" t="s">
        <v>65</v>
      </c>
      <c r="C929" s="35">
        <v>81.428200000000004</v>
      </c>
      <c r="D929" s="39">
        <v>33054316</v>
      </c>
      <c r="E929" s="1" t="str">
        <f t="shared" si="28"/>
        <v>2026-06</v>
      </c>
      <c r="F929" s="36">
        <f t="shared" si="29"/>
        <v>-3.0400421173777392E-3</v>
      </c>
      <c r="G929" s="1"/>
      <c r="H929" s="1"/>
    </row>
    <row r="930" spans="1:8" x14ac:dyDescent="0.3">
      <c r="A930" s="26">
        <v>46175</v>
      </c>
      <c r="B930" s="38" t="s">
        <v>65</v>
      </c>
      <c r="C930" s="35">
        <v>81.527500000000003</v>
      </c>
      <c r="D930" s="39">
        <v>49087801</v>
      </c>
      <c r="E930" s="1" t="str">
        <f t="shared" si="28"/>
        <v>2026-06</v>
      </c>
      <c r="F930" s="36">
        <f t="shared" si="29"/>
        <v>1.2194792467474791E-3</v>
      </c>
      <c r="G930" s="1"/>
      <c r="H930" s="1"/>
    </row>
    <row r="931" spans="1:8" x14ac:dyDescent="0.3">
      <c r="A931" s="26">
        <v>46176</v>
      </c>
      <c r="B931" s="38" t="s">
        <v>65</v>
      </c>
      <c r="C931" s="35">
        <v>81.676500000000004</v>
      </c>
      <c r="D931" s="39">
        <v>41872093</v>
      </c>
      <c r="E931" s="1" t="str">
        <f t="shared" si="28"/>
        <v>2026-06</v>
      </c>
      <c r="F931" s="36">
        <f t="shared" si="29"/>
        <v>1.827604182637721E-3</v>
      </c>
      <c r="G931" s="1"/>
      <c r="H931" s="1"/>
    </row>
    <row r="932" spans="1:8" x14ac:dyDescent="0.3">
      <c r="A932" s="26">
        <v>46177</v>
      </c>
      <c r="B932" s="38" t="s">
        <v>65</v>
      </c>
      <c r="C932" s="35">
        <v>76.165199999999999</v>
      </c>
      <c r="D932" s="39">
        <v>63187630</v>
      </c>
      <c r="E932" s="1" t="str">
        <f t="shared" si="28"/>
        <v>2026-06</v>
      </c>
      <c r="F932" s="36">
        <f t="shared" si="29"/>
        <v>-6.7477181318984059E-2</v>
      </c>
      <c r="G932" s="1"/>
      <c r="H932" s="1"/>
    </row>
    <row r="933" spans="1:8" x14ac:dyDescent="0.3">
      <c r="A933" s="26">
        <v>46178</v>
      </c>
      <c r="B933" s="38" t="s">
        <v>65</v>
      </c>
      <c r="C933" s="35">
        <v>73.483999999999995</v>
      </c>
      <c r="D933" s="39">
        <v>146206292</v>
      </c>
      <c r="E933" s="1" t="str">
        <f t="shared" si="28"/>
        <v>2026-06</v>
      </c>
      <c r="F933" s="36">
        <f t="shared" si="29"/>
        <v>-3.5202428405623598E-2</v>
      </c>
      <c r="G933" s="1"/>
      <c r="H933" s="1"/>
    </row>
    <row r="934" spans="1:8" x14ac:dyDescent="0.3">
      <c r="A934" s="26">
        <v>46181</v>
      </c>
      <c r="B934" s="38" t="s">
        <v>65</v>
      </c>
      <c r="C934" s="35">
        <v>72.1434</v>
      </c>
      <c r="D934" s="39">
        <v>78013458</v>
      </c>
      <c r="E934" s="1" t="str">
        <f t="shared" si="28"/>
        <v>2026-06</v>
      </c>
      <c r="F934" s="36">
        <f t="shared" si="29"/>
        <v>-1.8243427140602009E-2</v>
      </c>
      <c r="G934" s="1"/>
      <c r="H934" s="1"/>
    </row>
    <row r="935" spans="1:8" x14ac:dyDescent="0.3">
      <c r="A935" s="26">
        <v>46182</v>
      </c>
      <c r="B935" s="38" t="s">
        <v>65</v>
      </c>
      <c r="C935" s="35">
        <v>70.504900000000006</v>
      </c>
      <c r="D935" s="39">
        <v>77389804</v>
      </c>
      <c r="E935" s="1" t="str">
        <f t="shared" si="28"/>
        <v>2026-06</v>
      </c>
      <c r="F935" s="36">
        <f t="shared" si="29"/>
        <v>-2.2711710288120468E-2</v>
      </c>
      <c r="G935" s="1"/>
      <c r="H935" s="1"/>
    </row>
    <row r="936" spans="1:8" x14ac:dyDescent="0.3">
      <c r="A936" s="26">
        <v>46183</v>
      </c>
      <c r="B936" s="38" t="s">
        <v>65</v>
      </c>
      <c r="C936" s="35">
        <v>69.760199999999998</v>
      </c>
      <c r="D936" s="39">
        <v>61004348</v>
      </c>
      <c r="E936" s="1" t="str">
        <f t="shared" si="28"/>
        <v>2026-06</v>
      </c>
      <c r="F936" s="36">
        <f t="shared" si="29"/>
        <v>-1.0562386444062932E-2</v>
      </c>
      <c r="G936" s="1"/>
      <c r="H936" s="1"/>
    </row>
    <row r="937" spans="1:8" x14ac:dyDescent="0.3">
      <c r="A937" s="26">
        <v>46184</v>
      </c>
      <c r="B937" s="38" t="s">
        <v>65</v>
      </c>
      <c r="C937" s="35">
        <v>73.235799999999998</v>
      </c>
      <c r="D937" s="39">
        <v>78489223</v>
      </c>
      <c r="E937" s="1" t="str">
        <f t="shared" si="28"/>
        <v>2026-06</v>
      </c>
      <c r="F937" s="36">
        <f t="shared" si="29"/>
        <v>4.9822104867818684E-2</v>
      </c>
      <c r="G937" s="1"/>
      <c r="H937" s="1"/>
    </row>
    <row r="938" spans="1:8" x14ac:dyDescent="0.3">
      <c r="A938" s="26">
        <v>46185</v>
      </c>
      <c r="B938" s="38" t="s">
        <v>65</v>
      </c>
      <c r="C938" s="35">
        <v>74.030199999999994</v>
      </c>
      <c r="D938" s="39">
        <v>101171592</v>
      </c>
      <c r="E938" s="1" t="str">
        <f t="shared" si="28"/>
        <v>2026-06</v>
      </c>
      <c r="F938" s="36">
        <f t="shared" si="29"/>
        <v>1.0847153987530556E-2</v>
      </c>
      <c r="G938" s="1"/>
      <c r="H938" s="1"/>
    </row>
    <row r="939" spans="1:8" x14ac:dyDescent="0.3">
      <c r="A939" s="26">
        <v>46188</v>
      </c>
      <c r="B939" s="38" t="s">
        <v>65</v>
      </c>
      <c r="C939" s="35">
        <v>75.9666</v>
      </c>
      <c r="D939" s="39">
        <v>65674140</v>
      </c>
      <c r="E939" s="1" t="str">
        <f t="shared" si="28"/>
        <v>2026-06</v>
      </c>
      <c r="F939" s="36">
        <f t="shared" si="29"/>
        <v>2.6156892727562608E-2</v>
      </c>
      <c r="G939" s="1"/>
      <c r="H939" s="1"/>
    </row>
    <row r="940" spans="1:8" x14ac:dyDescent="0.3">
      <c r="A940" s="26">
        <v>46189</v>
      </c>
      <c r="B940" s="38" t="s">
        <v>65</v>
      </c>
      <c r="C940" s="35">
        <v>74.675600000000003</v>
      </c>
      <c r="D940" s="39">
        <v>24023417</v>
      </c>
      <c r="E940" s="1" t="str">
        <f t="shared" si="28"/>
        <v>2026-06</v>
      </c>
      <c r="F940" s="36">
        <f t="shared" si="29"/>
        <v>-1.6994310657578393E-2</v>
      </c>
      <c r="G940" s="1"/>
      <c r="H940" s="1"/>
    </row>
    <row r="941" spans="1:8" x14ac:dyDescent="0.3">
      <c r="A941" s="26">
        <v>46190</v>
      </c>
      <c r="B941" s="38" t="s">
        <v>65</v>
      </c>
      <c r="C941" s="35">
        <v>74.526700000000005</v>
      </c>
      <c r="D941" s="39">
        <v>26637552</v>
      </c>
      <c r="E941" s="1" t="str">
        <f t="shared" si="28"/>
        <v>2026-06</v>
      </c>
      <c r="F941" s="36">
        <f t="shared" si="29"/>
        <v>-1.9939578657552914E-3</v>
      </c>
      <c r="G941" s="1"/>
      <c r="H941" s="1"/>
    </row>
    <row r="942" spans="1:8" x14ac:dyDescent="0.3">
      <c r="A942" s="26">
        <v>46191</v>
      </c>
      <c r="B942" s="38" t="s">
        <v>65</v>
      </c>
      <c r="C942" s="35">
        <v>73.186099999999996</v>
      </c>
      <c r="D942" s="39">
        <v>35447806</v>
      </c>
      <c r="E942" s="1" t="str">
        <f t="shared" si="28"/>
        <v>2026-06</v>
      </c>
      <c r="F942" s="36">
        <f t="shared" si="29"/>
        <v>-1.7988184100463434E-2</v>
      </c>
      <c r="G942" s="1"/>
      <c r="H942" s="1"/>
    </row>
    <row r="943" spans="1:8" x14ac:dyDescent="0.3">
      <c r="A943" s="26">
        <v>46195</v>
      </c>
      <c r="B943" s="38" t="s">
        <v>65</v>
      </c>
      <c r="C943" s="35">
        <v>73.732299999999995</v>
      </c>
      <c r="D943" s="39">
        <v>30047479</v>
      </c>
      <c r="E943" s="1" t="str">
        <f t="shared" si="28"/>
        <v>2026-06</v>
      </c>
      <c r="F943" s="36">
        <f t="shared" si="29"/>
        <v>7.4631658197390482E-3</v>
      </c>
      <c r="G943" s="1"/>
      <c r="H943" s="1"/>
    </row>
    <row r="944" spans="1:8" x14ac:dyDescent="0.3">
      <c r="A944" s="26">
        <v>46196</v>
      </c>
      <c r="B944" s="38" t="s">
        <v>65</v>
      </c>
      <c r="C944" s="35">
        <v>72.441299999999998</v>
      </c>
      <c r="D944" s="39">
        <v>24717867</v>
      </c>
      <c r="E944" s="1" t="str">
        <f t="shared" si="28"/>
        <v>2026-06</v>
      </c>
      <c r="F944" s="36">
        <f t="shared" si="29"/>
        <v>-1.7509286974636606E-2</v>
      </c>
      <c r="G944" s="1"/>
      <c r="H944" s="1"/>
    </row>
    <row r="945" spans="1:8" x14ac:dyDescent="0.3">
      <c r="A945" s="26">
        <v>46197</v>
      </c>
      <c r="B945" s="38" t="s">
        <v>65</v>
      </c>
      <c r="C945" s="35">
        <v>73.136499999999998</v>
      </c>
      <c r="D945" s="39">
        <v>17681764</v>
      </c>
      <c r="E945" s="1" t="str">
        <f t="shared" si="28"/>
        <v>2026-06</v>
      </c>
      <c r="F945" s="36">
        <f t="shared" si="29"/>
        <v>9.5967355638288954E-3</v>
      </c>
      <c r="G945" s="1"/>
      <c r="H945" s="1"/>
    </row>
    <row r="946" spans="1:8" x14ac:dyDescent="0.3">
      <c r="A946" s="26">
        <v>46198</v>
      </c>
      <c r="B946" s="38" t="s">
        <v>65</v>
      </c>
      <c r="C946" s="35">
        <v>71.696600000000004</v>
      </c>
      <c r="D946" s="39">
        <v>22875537</v>
      </c>
      <c r="E946" s="1" t="str">
        <f t="shared" si="28"/>
        <v>2026-06</v>
      </c>
      <c r="F946" s="36">
        <f t="shared" si="29"/>
        <v>-1.9687843963000606E-2</v>
      </c>
      <c r="G946" s="1"/>
      <c r="H946" s="1"/>
    </row>
    <row r="947" spans="1:8" x14ac:dyDescent="0.3">
      <c r="A947" s="26">
        <v>46199</v>
      </c>
      <c r="B947" s="38" t="s">
        <v>65</v>
      </c>
      <c r="C947" s="35">
        <v>70.306299999999993</v>
      </c>
      <c r="D947" s="39">
        <v>44447599</v>
      </c>
      <c r="E947" s="1" t="str">
        <f t="shared" si="28"/>
        <v>2026-06</v>
      </c>
      <c r="F947" s="36">
        <f t="shared" si="29"/>
        <v>-1.9391435577140514E-2</v>
      </c>
      <c r="G947" s="1"/>
      <c r="H947" s="1"/>
    </row>
    <row r="948" spans="1:8" x14ac:dyDescent="0.3">
      <c r="A948" s="26">
        <v>46202</v>
      </c>
      <c r="B948" s="38" t="s">
        <v>65</v>
      </c>
      <c r="C948" s="35">
        <v>71.696600000000004</v>
      </c>
      <c r="D948" s="39">
        <v>35718598</v>
      </c>
      <c r="E948" s="1" t="str">
        <f t="shared" si="28"/>
        <v>2026-06</v>
      </c>
      <c r="F948" s="36">
        <f t="shared" si="29"/>
        <v>1.9774899262228418E-2</v>
      </c>
      <c r="G948" s="1"/>
      <c r="H948" s="1"/>
    </row>
    <row r="949" spans="1:8" x14ac:dyDescent="0.3">
      <c r="A949" s="26">
        <v>46203</v>
      </c>
      <c r="B949" s="38" t="s">
        <v>65</v>
      </c>
      <c r="C949" s="35">
        <v>70.951800000000006</v>
      </c>
      <c r="D949" s="39">
        <v>33418323</v>
      </c>
      <c r="E949" s="1" t="str">
        <f t="shared" si="28"/>
        <v>2026-06</v>
      </c>
      <c r="F949" s="36">
        <f t="shared" si="29"/>
        <v>-1.0388219246100894E-2</v>
      </c>
      <c r="G949" s="1"/>
      <c r="H949" s="1"/>
    </row>
    <row r="950" spans="1:8" x14ac:dyDescent="0.3">
      <c r="A950" s="26">
        <v>46205</v>
      </c>
      <c r="B950" s="38" t="s">
        <v>65</v>
      </c>
      <c r="C950" s="35">
        <v>72.292400000000001</v>
      </c>
      <c r="D950" s="39">
        <v>36610053</v>
      </c>
      <c r="E950" s="1" t="str">
        <f t="shared" si="28"/>
        <v>2026-07</v>
      </c>
      <c r="F950" s="36">
        <f t="shared" si="29"/>
        <v>1.8894517122891807E-2</v>
      </c>
      <c r="G950" s="1"/>
      <c r="H950" s="1"/>
    </row>
    <row r="951" spans="1:8" x14ac:dyDescent="0.3">
      <c r="A951" s="26">
        <v>46206</v>
      </c>
      <c r="B951" s="38" t="s">
        <v>65</v>
      </c>
      <c r="C951" s="35">
        <v>72.739199999999997</v>
      </c>
      <c r="D951" s="39">
        <v>16922389</v>
      </c>
      <c r="E951" s="1" t="str">
        <f t="shared" si="28"/>
        <v>2026-07</v>
      </c>
      <c r="F951" s="36">
        <f t="shared" si="29"/>
        <v>6.1804560368723394E-3</v>
      </c>
      <c r="G951" s="1"/>
      <c r="H951" s="1"/>
    </row>
    <row r="952" spans="1:8" x14ac:dyDescent="0.3">
      <c r="A952" s="26">
        <v>46209</v>
      </c>
      <c r="B952" s="38" t="s">
        <v>65</v>
      </c>
      <c r="C952" s="35">
        <v>73.483999999999995</v>
      </c>
      <c r="D952" s="39">
        <v>23014249</v>
      </c>
      <c r="E952" s="1" t="str">
        <f t="shared" si="28"/>
        <v>2026-07</v>
      </c>
      <c r="F952" s="36">
        <f t="shared" si="29"/>
        <v>1.0239320751396663E-2</v>
      </c>
      <c r="G952" s="1"/>
      <c r="H952" s="1"/>
    </row>
    <row r="953" spans="1:8" x14ac:dyDescent="0.3">
      <c r="A953" s="26">
        <v>46210</v>
      </c>
      <c r="B953" s="38" t="s">
        <v>65</v>
      </c>
      <c r="C953" s="35">
        <v>72.093800000000002</v>
      </c>
      <c r="D953" s="39">
        <v>22053951</v>
      </c>
      <c r="E953" s="1" t="str">
        <f t="shared" si="28"/>
        <v>2026-07</v>
      </c>
      <c r="F953" s="36">
        <f t="shared" si="29"/>
        <v>-1.8918404006314171E-2</v>
      </c>
      <c r="G953" s="1"/>
      <c r="H953" s="1"/>
    </row>
    <row r="954" spans="1:8" x14ac:dyDescent="0.3">
      <c r="A954" s="26">
        <v>46211</v>
      </c>
      <c r="B954" s="38" t="s">
        <v>65</v>
      </c>
      <c r="C954" s="35">
        <v>73.186099999999996</v>
      </c>
      <c r="D954" s="39">
        <v>31620673</v>
      </c>
      <c r="E954" s="1" t="str">
        <f t="shared" si="28"/>
        <v>2026-07</v>
      </c>
      <c r="F954" s="36">
        <f t="shared" si="29"/>
        <v>1.5151094823687927E-2</v>
      </c>
      <c r="G954" s="1"/>
      <c r="H954" s="1"/>
    </row>
    <row r="955" spans="1:8" x14ac:dyDescent="0.3">
      <c r="A955" s="26">
        <v>46212</v>
      </c>
      <c r="B955" s="38" t="s">
        <v>65</v>
      </c>
      <c r="C955" s="35">
        <v>71.795900000000003</v>
      </c>
      <c r="D955" s="39">
        <v>24301595</v>
      </c>
      <c r="E955" s="1" t="str">
        <f t="shared" si="28"/>
        <v>2026-07</v>
      </c>
      <c r="F955" s="36">
        <f t="shared" si="29"/>
        <v>-1.8995410330650109E-2</v>
      </c>
      <c r="G955" s="1"/>
      <c r="H955" s="1"/>
    </row>
    <row r="956" spans="1:8" x14ac:dyDescent="0.3">
      <c r="A956" s="26">
        <v>46213</v>
      </c>
      <c r="B956" s="38" t="s">
        <v>65</v>
      </c>
      <c r="C956" s="35">
        <v>72.1434</v>
      </c>
      <c r="D956" s="39">
        <v>25629398</v>
      </c>
      <c r="E956" s="1" t="str">
        <f t="shared" si="28"/>
        <v>2026-07</v>
      </c>
      <c r="F956" s="36">
        <f t="shared" si="29"/>
        <v>4.8401092541494606E-3</v>
      </c>
      <c r="G956" s="1"/>
      <c r="H956" s="1"/>
    </row>
    <row r="957" spans="1:8" x14ac:dyDescent="0.3">
      <c r="A957" s="26">
        <v>46216</v>
      </c>
      <c r="B957" s="38" t="s">
        <v>65</v>
      </c>
      <c r="C957" s="35">
        <v>71.895200000000003</v>
      </c>
      <c r="D957" s="39">
        <v>29260868</v>
      </c>
      <c r="E957" s="1" t="str">
        <f t="shared" si="28"/>
        <v>2026-07</v>
      </c>
      <c r="F957" s="36">
        <f t="shared" si="29"/>
        <v>-3.4403701516700913E-3</v>
      </c>
      <c r="G957" s="1"/>
      <c r="H957" s="1"/>
    </row>
    <row r="958" spans="1:8" x14ac:dyDescent="0.3">
      <c r="A958" s="26">
        <v>46217</v>
      </c>
      <c r="B958" s="38" t="s">
        <v>65</v>
      </c>
      <c r="C958" s="35">
        <v>73.583299999999994</v>
      </c>
      <c r="D958" s="39">
        <v>23453612</v>
      </c>
      <c r="E958" s="1" t="str">
        <f t="shared" si="28"/>
        <v>2026-07</v>
      </c>
      <c r="F958" s="36">
        <f t="shared" si="29"/>
        <v>2.3480009792030465E-2</v>
      </c>
      <c r="G958" s="1"/>
      <c r="H958" s="1"/>
    </row>
    <row r="959" spans="1:8" x14ac:dyDescent="0.3">
      <c r="A959" s="26">
        <v>46218</v>
      </c>
      <c r="B959" s="38" t="s">
        <v>65</v>
      </c>
      <c r="C959" s="35">
        <v>75.668700000000001</v>
      </c>
      <c r="D959" s="39">
        <v>37897394</v>
      </c>
      <c r="E959" s="1" t="str">
        <f t="shared" si="28"/>
        <v>2026-07</v>
      </c>
      <c r="F959" s="36">
        <f t="shared" si="29"/>
        <v>2.8340669689997711E-2</v>
      </c>
      <c r="G959" s="1"/>
      <c r="H959" s="1"/>
    </row>
    <row r="960" spans="1:8" x14ac:dyDescent="0.3">
      <c r="A960" s="26">
        <v>46219</v>
      </c>
      <c r="B960" s="38" t="s">
        <v>65</v>
      </c>
      <c r="C960" s="35">
        <v>75.569400000000002</v>
      </c>
      <c r="D960" s="39">
        <v>28518556</v>
      </c>
      <c r="E960" s="1" t="str">
        <f t="shared" si="28"/>
        <v>2026-07</v>
      </c>
      <c r="F960" s="36">
        <f t="shared" si="29"/>
        <v>-1.3122995373252566E-3</v>
      </c>
      <c r="G960" s="1"/>
      <c r="H960" s="1"/>
    </row>
    <row r="961" spans="1:8" x14ac:dyDescent="0.3">
      <c r="A961" s="26">
        <v>46220</v>
      </c>
      <c r="B961" s="38" t="s">
        <v>65</v>
      </c>
      <c r="C961" s="35">
        <v>75.023200000000003</v>
      </c>
      <c r="D961" s="39">
        <v>20295807</v>
      </c>
      <c r="E961" s="1" t="str">
        <f t="shared" si="28"/>
        <v>2026-07</v>
      </c>
      <c r="F961" s="36">
        <f t="shared" si="29"/>
        <v>-7.2277932602349271E-3</v>
      </c>
      <c r="G961" s="1"/>
      <c r="H961" s="1"/>
    </row>
    <row r="962" spans="1:8" x14ac:dyDescent="0.3">
      <c r="A962" s="26">
        <v>46223</v>
      </c>
      <c r="B962" s="38" t="s">
        <v>65</v>
      </c>
      <c r="C962" s="35">
        <v>75.221800000000002</v>
      </c>
      <c r="D962" s="39">
        <v>17151614</v>
      </c>
      <c r="E962" s="1" t="str">
        <f t="shared" ref="E962:E1025" si="30">TEXT(A962,"yyyy-mm")</f>
        <v>2026-07</v>
      </c>
      <c r="F962" s="36">
        <f t="shared" si="29"/>
        <v>2.6471811386343802E-3</v>
      </c>
      <c r="G962" s="1"/>
      <c r="H962" s="1"/>
    </row>
    <row r="963" spans="1:8" x14ac:dyDescent="0.3">
      <c r="A963" s="26">
        <v>46224</v>
      </c>
      <c r="B963" s="38" t="s">
        <v>65</v>
      </c>
      <c r="C963" s="35">
        <v>76.413399999999996</v>
      </c>
      <c r="D963" s="39">
        <v>17396996</v>
      </c>
      <c r="E963" s="1" t="str">
        <f t="shared" si="30"/>
        <v>2026-07</v>
      </c>
      <c r="F963" s="36">
        <f t="shared" ref="F963:F1026" si="31">IF(B963=B962,C963/C962-1,0)</f>
        <v>1.5841152431874672E-2</v>
      </c>
      <c r="G963" s="1"/>
      <c r="H963" s="1"/>
    </row>
    <row r="964" spans="1:8" x14ac:dyDescent="0.3">
      <c r="A964" s="26">
        <v>46225</v>
      </c>
      <c r="B964" s="38" t="s">
        <v>65</v>
      </c>
      <c r="C964" s="35">
        <v>76.363799999999998</v>
      </c>
      <c r="D964" s="39">
        <v>17338449</v>
      </c>
      <c r="E964" s="1" t="str">
        <f t="shared" si="30"/>
        <v>2026-07</v>
      </c>
      <c r="F964" s="36">
        <f t="shared" si="31"/>
        <v>-6.491008121611852E-4</v>
      </c>
      <c r="G964" s="1"/>
      <c r="H964" s="1"/>
    </row>
    <row r="965" spans="1:8" x14ac:dyDescent="0.3">
      <c r="A965" s="26">
        <v>46226</v>
      </c>
      <c r="B965" s="38" t="s">
        <v>65</v>
      </c>
      <c r="C965" s="35">
        <v>78.051900000000003</v>
      </c>
      <c r="D965" s="39">
        <v>21486964</v>
      </c>
      <c r="E965" s="1" t="str">
        <f t="shared" si="30"/>
        <v>2026-07</v>
      </c>
      <c r="F965" s="36">
        <f t="shared" si="31"/>
        <v>2.2106024058520024E-2</v>
      </c>
      <c r="G965" s="1"/>
      <c r="H965" s="1"/>
    </row>
    <row r="966" spans="1:8" x14ac:dyDescent="0.3">
      <c r="A966" s="26">
        <v>46227</v>
      </c>
      <c r="B966" s="38" t="s">
        <v>65</v>
      </c>
      <c r="C966" s="35">
        <v>77.555400000000006</v>
      </c>
      <c r="D966" s="39">
        <v>22838041</v>
      </c>
      <c r="E966" s="1" t="str">
        <f t="shared" si="30"/>
        <v>2026-07</v>
      </c>
      <c r="F966" s="36">
        <f t="shared" si="31"/>
        <v>-6.3611520027058166E-3</v>
      </c>
      <c r="G966" s="1"/>
      <c r="H966" s="1"/>
    </row>
    <row r="967" spans="1:8" x14ac:dyDescent="0.3">
      <c r="A967" s="26">
        <v>46230</v>
      </c>
      <c r="B967" s="38" t="s">
        <v>65</v>
      </c>
      <c r="C967" s="35">
        <v>77.406499999999994</v>
      </c>
      <c r="D967" s="39">
        <v>10413318</v>
      </c>
      <c r="E967" s="1" t="str">
        <f t="shared" si="30"/>
        <v>2026-07</v>
      </c>
      <c r="F967" s="36">
        <f t="shared" si="31"/>
        <v>-1.9199178909529158E-3</v>
      </c>
      <c r="G967" s="1"/>
      <c r="H967" s="1"/>
    </row>
    <row r="968" spans="1:8" x14ac:dyDescent="0.3">
      <c r="A968" s="26">
        <v>46231</v>
      </c>
      <c r="B968" s="38" t="s">
        <v>65</v>
      </c>
      <c r="C968" s="35">
        <v>77.356800000000007</v>
      </c>
      <c r="D968" s="39">
        <v>19122920</v>
      </c>
      <c r="E968" s="1" t="str">
        <f t="shared" si="30"/>
        <v>2026-07</v>
      </c>
      <c r="F968" s="36">
        <f t="shared" si="31"/>
        <v>-6.4206494286633831E-4</v>
      </c>
      <c r="G968" s="1"/>
      <c r="H968" s="1"/>
    </row>
    <row r="969" spans="1:8" x14ac:dyDescent="0.3">
      <c r="A969" s="26">
        <v>46232</v>
      </c>
      <c r="B969" s="38" t="s">
        <v>65</v>
      </c>
      <c r="C969" s="35">
        <v>77.605099999999993</v>
      </c>
      <c r="D969" s="39">
        <v>14512593</v>
      </c>
      <c r="E969" s="1" t="str">
        <f t="shared" si="30"/>
        <v>2026-07</v>
      </c>
      <c r="F969" s="36">
        <f t="shared" si="31"/>
        <v>3.2098018532304984E-3</v>
      </c>
      <c r="G969" s="1"/>
      <c r="H969" s="1"/>
    </row>
    <row r="970" spans="1:8" x14ac:dyDescent="0.3">
      <c r="A970" s="26">
        <v>46233</v>
      </c>
      <c r="B970" s="38" t="s">
        <v>65</v>
      </c>
      <c r="C970" s="35">
        <v>79.0946</v>
      </c>
      <c r="D970" s="39">
        <v>20490605</v>
      </c>
      <c r="E970" s="1" t="str">
        <f t="shared" si="30"/>
        <v>2026-07</v>
      </c>
      <c r="F970" s="36">
        <f t="shared" si="31"/>
        <v>1.9193326211808248E-2</v>
      </c>
      <c r="G970" s="1"/>
      <c r="H970" s="1"/>
    </row>
    <row r="971" spans="1:8" x14ac:dyDescent="0.3">
      <c r="A971" s="26">
        <v>46234</v>
      </c>
      <c r="B971" s="38" t="s">
        <v>65</v>
      </c>
      <c r="C971" s="35">
        <v>78.697400000000002</v>
      </c>
      <c r="D971" s="39">
        <v>27134663</v>
      </c>
      <c r="E971" s="1" t="str">
        <f t="shared" si="30"/>
        <v>2026-07</v>
      </c>
      <c r="F971" s="36">
        <f t="shared" si="31"/>
        <v>-5.0218346132352432E-3</v>
      </c>
      <c r="G971" s="1"/>
      <c r="H971" s="1"/>
    </row>
    <row r="972" spans="1:8" x14ac:dyDescent="0.3">
      <c r="A972" s="26">
        <v>46237</v>
      </c>
      <c r="B972" s="38" t="s">
        <v>65</v>
      </c>
      <c r="C972" s="35">
        <v>78.002300000000005</v>
      </c>
      <c r="D972" s="39">
        <v>20353345</v>
      </c>
      <c r="E972" s="1" t="str">
        <f t="shared" si="30"/>
        <v>2026-08</v>
      </c>
      <c r="F972" s="36">
        <f t="shared" si="31"/>
        <v>-8.8325662601305144E-3</v>
      </c>
      <c r="G972" s="1"/>
      <c r="H972" s="1"/>
    </row>
    <row r="973" spans="1:8" x14ac:dyDescent="0.3">
      <c r="A973" s="26">
        <v>46238</v>
      </c>
      <c r="B973" s="38" t="s">
        <v>65</v>
      </c>
      <c r="C973" s="35">
        <v>77.505799999999994</v>
      </c>
      <c r="D973" s="39">
        <v>17983851</v>
      </c>
      <c r="E973" s="1" t="str">
        <f t="shared" si="30"/>
        <v>2026-08</v>
      </c>
      <c r="F973" s="36">
        <f t="shared" si="31"/>
        <v>-6.3651969236806494E-3</v>
      </c>
      <c r="G973" s="1"/>
      <c r="H973" s="1"/>
    </row>
    <row r="974" spans="1:8" x14ac:dyDescent="0.3">
      <c r="A974" s="26">
        <v>46239</v>
      </c>
      <c r="B974" s="38" t="s">
        <v>65</v>
      </c>
      <c r="C974" s="35">
        <v>77.207899999999995</v>
      </c>
      <c r="D974" s="39">
        <v>18363926</v>
      </c>
      <c r="E974" s="1" t="str">
        <f t="shared" si="30"/>
        <v>2026-08</v>
      </c>
      <c r="F974" s="36">
        <f t="shared" si="31"/>
        <v>-3.8435833189257584E-3</v>
      </c>
      <c r="G974" s="1"/>
      <c r="H974" s="1"/>
    </row>
    <row r="975" spans="1:8" x14ac:dyDescent="0.3">
      <c r="A975" s="26">
        <v>46240</v>
      </c>
      <c r="B975" s="38" t="s">
        <v>65</v>
      </c>
      <c r="C975" s="35">
        <v>72.639899999999997</v>
      </c>
      <c r="D975" s="39">
        <v>97662718</v>
      </c>
      <c r="E975" s="1" t="str">
        <f t="shared" si="30"/>
        <v>2026-08</v>
      </c>
      <c r="F975" s="36">
        <f t="shared" si="31"/>
        <v>-5.9164930013638428E-2</v>
      </c>
      <c r="G975" s="1"/>
      <c r="H975" s="1"/>
    </row>
    <row r="976" spans="1:8" x14ac:dyDescent="0.3">
      <c r="A976" s="26">
        <v>46241</v>
      </c>
      <c r="B976" s="38" t="s">
        <v>65</v>
      </c>
      <c r="C976" s="35">
        <v>73.632999999999996</v>
      </c>
      <c r="D976" s="39">
        <v>45446231</v>
      </c>
      <c r="E976" s="1" t="str">
        <f t="shared" si="30"/>
        <v>2026-08</v>
      </c>
      <c r="F976" s="36">
        <f t="shared" si="31"/>
        <v>1.3671549657970239E-2</v>
      </c>
      <c r="G976" s="1"/>
      <c r="H976" s="1"/>
    </row>
    <row r="977" spans="1:8" x14ac:dyDescent="0.3">
      <c r="A977" s="26">
        <v>46244</v>
      </c>
      <c r="B977" s="38" t="s">
        <v>65</v>
      </c>
      <c r="C977" s="35">
        <v>73.980500000000006</v>
      </c>
      <c r="D977" s="39">
        <v>40471051</v>
      </c>
      <c r="E977" s="1" t="str">
        <f t="shared" si="30"/>
        <v>2026-08</v>
      </c>
      <c r="F977" s="36">
        <f t="shared" si="31"/>
        <v>4.7193513777792351E-3</v>
      </c>
      <c r="G977" s="1"/>
      <c r="H977" s="1"/>
    </row>
    <row r="978" spans="1:8" x14ac:dyDescent="0.3">
      <c r="A978" s="26">
        <v>46245</v>
      </c>
      <c r="B978" s="38" t="s">
        <v>65</v>
      </c>
      <c r="C978" s="35">
        <v>72.341999999999999</v>
      </c>
      <c r="D978" s="39">
        <v>32086579</v>
      </c>
      <c r="E978" s="1" t="str">
        <f t="shared" si="30"/>
        <v>2026-08</v>
      </c>
      <c r="F978" s="36">
        <f t="shared" si="31"/>
        <v>-2.2147728117544618E-2</v>
      </c>
      <c r="G978" s="1"/>
      <c r="H978" s="1"/>
    </row>
    <row r="979" spans="1:8" x14ac:dyDescent="0.3">
      <c r="A979" s="26">
        <v>46246</v>
      </c>
      <c r="B979" s="38" t="s">
        <v>65</v>
      </c>
      <c r="C979" s="35">
        <v>72.1434</v>
      </c>
      <c r="D979" s="39">
        <v>31933300</v>
      </c>
      <c r="E979" s="1" t="str">
        <f t="shared" si="30"/>
        <v>2026-08</v>
      </c>
      <c r="F979" s="36">
        <f t="shared" si="31"/>
        <v>-2.7452931906776223E-3</v>
      </c>
      <c r="G979" s="1"/>
      <c r="H979" s="1"/>
    </row>
    <row r="980" spans="1:8" x14ac:dyDescent="0.3">
      <c r="A980" s="26">
        <v>46247</v>
      </c>
      <c r="B980" s="38" t="s">
        <v>65</v>
      </c>
      <c r="C980" s="35">
        <v>72.0441</v>
      </c>
      <c r="D980" s="39">
        <v>26997528</v>
      </c>
      <c r="E980" s="1" t="str">
        <f t="shared" si="30"/>
        <v>2026-08</v>
      </c>
      <c r="F980" s="36">
        <f t="shared" si="31"/>
        <v>-1.3764252863047721E-3</v>
      </c>
      <c r="G980" s="1"/>
      <c r="H980" s="1"/>
    </row>
    <row r="981" spans="1:8" x14ac:dyDescent="0.3">
      <c r="A981" s="26">
        <v>46248</v>
      </c>
      <c r="B981" s="38" t="s">
        <v>65</v>
      </c>
      <c r="C981" s="35">
        <v>69.909099999999995</v>
      </c>
      <c r="D981" s="39">
        <v>39252330</v>
      </c>
      <c r="E981" s="1" t="str">
        <f t="shared" si="30"/>
        <v>2026-08</v>
      </c>
      <c r="F981" s="36">
        <f t="shared" si="31"/>
        <v>-2.9634626569004285E-2</v>
      </c>
      <c r="G981" s="1"/>
      <c r="H981" s="1"/>
    </row>
    <row r="982" spans="1:8" x14ac:dyDescent="0.3">
      <c r="A982" s="26">
        <v>46251</v>
      </c>
      <c r="B982" s="38" t="s">
        <v>65</v>
      </c>
      <c r="C982" s="35">
        <v>72.888199999999998</v>
      </c>
      <c r="D982" s="39">
        <v>30905797</v>
      </c>
      <c r="E982" s="1" t="str">
        <f t="shared" si="30"/>
        <v>2026-08</v>
      </c>
      <c r="F982" s="36">
        <f t="shared" si="31"/>
        <v>4.2613908632781694E-2</v>
      </c>
      <c r="G982" s="1"/>
      <c r="H982" s="1"/>
    </row>
    <row r="983" spans="1:8" x14ac:dyDescent="0.3">
      <c r="A983" s="26">
        <v>46252</v>
      </c>
      <c r="B983" s="38" t="s">
        <v>65</v>
      </c>
      <c r="C983" s="35">
        <v>72.0441</v>
      </c>
      <c r="D983" s="39">
        <v>26581511</v>
      </c>
      <c r="E983" s="1" t="str">
        <f t="shared" si="30"/>
        <v>2026-08</v>
      </c>
      <c r="F983" s="36">
        <f t="shared" si="31"/>
        <v>-1.1580749696109893E-2</v>
      </c>
      <c r="G983" s="1"/>
      <c r="H983" s="1"/>
    </row>
    <row r="984" spans="1:8" x14ac:dyDescent="0.3">
      <c r="A984" s="26">
        <v>46253</v>
      </c>
      <c r="B984" s="38" t="s">
        <v>65</v>
      </c>
      <c r="C984" s="35">
        <v>72.491</v>
      </c>
      <c r="D984" s="39">
        <v>25886292</v>
      </c>
      <c r="E984" s="1" t="str">
        <f t="shared" si="30"/>
        <v>2026-08</v>
      </c>
      <c r="F984" s="36">
        <f t="shared" si="31"/>
        <v>6.2031450181208037E-3</v>
      </c>
      <c r="G984" s="1"/>
      <c r="H984" s="1"/>
    </row>
    <row r="985" spans="1:8" x14ac:dyDescent="0.3">
      <c r="A985" s="26">
        <v>46254</v>
      </c>
      <c r="B985" s="38" t="s">
        <v>65</v>
      </c>
      <c r="C985" s="35">
        <v>72.242699999999999</v>
      </c>
      <c r="D985" s="39">
        <v>27618330</v>
      </c>
      <c r="E985" s="1" t="str">
        <f t="shared" si="30"/>
        <v>2026-08</v>
      </c>
      <c r="F985" s="36">
        <f t="shared" si="31"/>
        <v>-3.4252527900014984E-3</v>
      </c>
      <c r="G985" s="1"/>
      <c r="H985" s="1"/>
    </row>
    <row r="986" spans="1:8" x14ac:dyDescent="0.3">
      <c r="A986" s="26">
        <v>46255</v>
      </c>
      <c r="B986" s="38" t="s">
        <v>65</v>
      </c>
      <c r="C986" s="35">
        <v>74.626000000000005</v>
      </c>
      <c r="D986" s="39">
        <v>37549323</v>
      </c>
      <c r="E986" s="1" t="str">
        <f t="shared" si="30"/>
        <v>2026-08</v>
      </c>
      <c r="F986" s="36">
        <f t="shared" si="31"/>
        <v>3.2990184475386597E-2</v>
      </c>
      <c r="G986" s="1"/>
      <c r="H986" s="1"/>
    </row>
    <row r="987" spans="1:8" x14ac:dyDescent="0.3">
      <c r="A987" s="26">
        <v>46258</v>
      </c>
      <c r="B987" s="38" t="s">
        <v>65</v>
      </c>
      <c r="C987" s="35">
        <v>74.079800000000006</v>
      </c>
      <c r="D987" s="39">
        <v>58041195</v>
      </c>
      <c r="E987" s="1" t="str">
        <f t="shared" si="30"/>
        <v>2026-08</v>
      </c>
      <c r="F987" s="36">
        <f t="shared" si="31"/>
        <v>-7.3191649023128802E-3</v>
      </c>
      <c r="G987" s="1"/>
      <c r="H987" s="1"/>
    </row>
    <row r="988" spans="1:8" x14ac:dyDescent="0.3">
      <c r="A988" s="26">
        <v>46259</v>
      </c>
      <c r="B988" s="38" t="s">
        <v>65</v>
      </c>
      <c r="C988" s="35">
        <v>73.831599999999995</v>
      </c>
      <c r="D988" s="39">
        <v>11333818</v>
      </c>
      <c r="E988" s="1" t="str">
        <f t="shared" si="30"/>
        <v>2026-08</v>
      </c>
      <c r="F988" s="36">
        <f t="shared" si="31"/>
        <v>-3.3504410109099769E-3</v>
      </c>
      <c r="G988" s="1"/>
      <c r="H988" s="1"/>
    </row>
    <row r="989" spans="1:8" x14ac:dyDescent="0.3">
      <c r="A989" s="26">
        <v>46260</v>
      </c>
      <c r="B989" s="38" t="s">
        <v>65</v>
      </c>
      <c r="C989" s="35">
        <v>73.682599999999994</v>
      </c>
      <c r="D989" s="39">
        <v>26859569</v>
      </c>
      <c r="E989" s="1" t="str">
        <f t="shared" si="30"/>
        <v>2026-08</v>
      </c>
      <c r="F989" s="36">
        <f t="shared" si="31"/>
        <v>-2.0181060684043572E-3</v>
      </c>
      <c r="G989" s="1"/>
      <c r="H989" s="1"/>
    </row>
    <row r="990" spans="1:8" x14ac:dyDescent="0.3">
      <c r="A990" s="26">
        <v>46261</v>
      </c>
      <c r="B990" s="38" t="s">
        <v>65</v>
      </c>
      <c r="C990" s="35">
        <v>74.129499999999993</v>
      </c>
      <c r="D990" s="39">
        <v>20109742</v>
      </c>
      <c r="E990" s="1" t="str">
        <f t="shared" si="30"/>
        <v>2026-08</v>
      </c>
      <c r="F990" s="36">
        <f t="shared" si="31"/>
        <v>6.065203996601598E-3</v>
      </c>
      <c r="G990" s="1"/>
      <c r="H990" s="1"/>
    </row>
    <row r="991" spans="1:8" x14ac:dyDescent="0.3">
      <c r="A991" s="26">
        <v>46262</v>
      </c>
      <c r="B991" s="38" t="s">
        <v>65</v>
      </c>
      <c r="C991" s="35">
        <v>74.973500000000001</v>
      </c>
      <c r="D991" s="39">
        <v>26471858</v>
      </c>
      <c r="E991" s="1" t="str">
        <f t="shared" si="30"/>
        <v>2026-08</v>
      </c>
      <c r="F991" s="36">
        <f t="shared" si="31"/>
        <v>1.1385480813981053E-2</v>
      </c>
      <c r="G991" s="1"/>
      <c r="H991" s="1"/>
    </row>
    <row r="992" spans="1:8" x14ac:dyDescent="0.3">
      <c r="A992" s="26">
        <v>46265</v>
      </c>
      <c r="B992" s="38" t="s">
        <v>65</v>
      </c>
      <c r="C992" s="35">
        <v>75.718299999999999</v>
      </c>
      <c r="D992" s="39">
        <v>33566245</v>
      </c>
      <c r="E992" s="1" t="str">
        <f t="shared" si="30"/>
        <v>2026-08</v>
      </c>
      <c r="F992" s="36">
        <f t="shared" si="31"/>
        <v>9.9341767424490079E-3</v>
      </c>
      <c r="G992" s="1"/>
      <c r="H992" s="1"/>
    </row>
    <row r="993" spans="1:8" x14ac:dyDescent="0.3">
      <c r="A993" s="26">
        <v>46266</v>
      </c>
      <c r="B993" s="38" t="s">
        <v>65</v>
      </c>
      <c r="C993" s="35">
        <v>75.420400000000001</v>
      </c>
      <c r="D993" s="39">
        <v>28844946</v>
      </c>
      <c r="E993" s="1" t="str">
        <f t="shared" si="30"/>
        <v>2026-09</v>
      </c>
      <c r="F993" s="36">
        <f t="shared" si="31"/>
        <v>-3.9343197087097215E-3</v>
      </c>
      <c r="G993" s="1"/>
      <c r="H993" s="1"/>
    </row>
    <row r="994" spans="1:8" x14ac:dyDescent="0.3">
      <c r="A994" s="26">
        <v>46267</v>
      </c>
      <c r="B994" s="38" t="s">
        <v>65</v>
      </c>
      <c r="C994" s="35">
        <v>75.470100000000002</v>
      </c>
      <c r="D994" s="39">
        <v>36228710</v>
      </c>
      <c r="E994" s="1" t="str">
        <f t="shared" si="30"/>
        <v>2026-09</v>
      </c>
      <c r="F994" s="36">
        <f t="shared" si="31"/>
        <v>6.5897290388283736E-4</v>
      </c>
      <c r="G994" s="1"/>
      <c r="H994" s="1"/>
    </row>
    <row r="995" spans="1:8" x14ac:dyDescent="0.3">
      <c r="A995" s="26">
        <v>46268</v>
      </c>
      <c r="B995" s="38" t="s">
        <v>65</v>
      </c>
      <c r="C995" s="35">
        <v>76.760999999999996</v>
      </c>
      <c r="D995" s="39">
        <v>21112248</v>
      </c>
      <c r="E995" s="1" t="str">
        <f t="shared" si="30"/>
        <v>2026-09</v>
      </c>
      <c r="F995" s="36">
        <f t="shared" si="31"/>
        <v>1.7104787193868765E-2</v>
      </c>
      <c r="G995" s="1"/>
      <c r="H995" s="1"/>
    </row>
    <row r="996" spans="1:8" x14ac:dyDescent="0.3">
      <c r="A996" s="26">
        <v>46269</v>
      </c>
      <c r="B996" s="38" t="s">
        <v>65</v>
      </c>
      <c r="C996" s="35">
        <v>77.5</v>
      </c>
      <c r="D996" s="39">
        <v>29691804</v>
      </c>
      <c r="E996" s="1" t="str">
        <f t="shared" si="30"/>
        <v>2026-09</v>
      </c>
      <c r="F996" s="36">
        <f t="shared" si="31"/>
        <v>9.6272846888394437E-3</v>
      </c>
      <c r="G996" s="1"/>
      <c r="H996" s="1"/>
    </row>
    <row r="997" spans="1:8" x14ac:dyDescent="0.3">
      <c r="A997" s="26">
        <v>46272</v>
      </c>
      <c r="B997" s="38" t="s">
        <v>65</v>
      </c>
      <c r="C997" s="35">
        <v>77.099999999999994</v>
      </c>
      <c r="D997" s="39">
        <v>12567649</v>
      </c>
      <c r="E997" s="1" t="str">
        <f t="shared" si="30"/>
        <v>2026-09</v>
      </c>
      <c r="F997" s="36">
        <f t="shared" si="31"/>
        <v>-5.161290322580725E-3</v>
      </c>
      <c r="G997" s="1"/>
      <c r="H997" s="1"/>
    </row>
    <row r="998" spans="1:8" x14ac:dyDescent="0.3">
      <c r="A998" s="26">
        <v>46273</v>
      </c>
      <c r="B998" s="38" t="s">
        <v>65</v>
      </c>
      <c r="C998" s="35">
        <v>76.900000000000006</v>
      </c>
      <c r="D998" s="39">
        <v>12963982</v>
      </c>
      <c r="E998" s="1" t="str">
        <f t="shared" si="30"/>
        <v>2026-09</v>
      </c>
      <c r="F998" s="36">
        <f t="shared" si="31"/>
        <v>-2.5940337224382715E-3</v>
      </c>
      <c r="G998" s="1"/>
      <c r="H998" s="1"/>
    </row>
    <row r="999" spans="1:8" x14ac:dyDescent="0.3">
      <c r="A999" s="26">
        <v>46274</v>
      </c>
      <c r="B999" s="38" t="s">
        <v>65</v>
      </c>
      <c r="C999" s="35">
        <v>76.95</v>
      </c>
      <c r="D999" s="39">
        <v>23853046</v>
      </c>
      <c r="E999" s="1" t="str">
        <f t="shared" si="30"/>
        <v>2026-09</v>
      </c>
      <c r="F999" s="36">
        <f t="shared" si="31"/>
        <v>6.5019505851759973E-4</v>
      </c>
      <c r="G999" s="1"/>
      <c r="H999" s="1"/>
    </row>
    <row r="1000" spans="1:8" x14ac:dyDescent="0.3">
      <c r="A1000" s="26">
        <v>46275</v>
      </c>
      <c r="B1000" s="38" t="s">
        <v>65</v>
      </c>
      <c r="C1000" s="35">
        <v>75.3</v>
      </c>
      <c r="D1000" s="39">
        <v>30998228</v>
      </c>
      <c r="E1000" s="1" t="str">
        <f t="shared" si="30"/>
        <v>2026-09</v>
      </c>
      <c r="F1000" s="36">
        <f t="shared" si="31"/>
        <v>-2.1442495126705707E-2</v>
      </c>
      <c r="G1000" s="1"/>
      <c r="H1000" s="1"/>
    </row>
    <row r="1001" spans="1:8" x14ac:dyDescent="0.3">
      <c r="A1001" s="26">
        <v>46276</v>
      </c>
      <c r="B1001" s="38" t="s">
        <v>65</v>
      </c>
      <c r="C1001" s="35">
        <v>75.05</v>
      </c>
      <c r="D1001" s="39">
        <v>23045025</v>
      </c>
      <c r="E1001" s="1" t="str">
        <f t="shared" si="30"/>
        <v>2026-09</v>
      </c>
      <c r="F1001" s="36">
        <f t="shared" si="31"/>
        <v>-3.3200531208499307E-3</v>
      </c>
      <c r="G1001" s="1"/>
      <c r="H1001" s="1"/>
    </row>
    <row r="1002" spans="1:8" x14ac:dyDescent="0.3">
      <c r="A1002" s="26">
        <v>46279</v>
      </c>
      <c r="B1002" s="38" t="s">
        <v>65</v>
      </c>
      <c r="C1002" s="35">
        <v>75.45</v>
      </c>
      <c r="D1002" s="39">
        <v>23888451</v>
      </c>
      <c r="E1002" s="1" t="str">
        <f t="shared" si="30"/>
        <v>2026-09</v>
      </c>
      <c r="F1002" s="36">
        <f t="shared" si="31"/>
        <v>5.3297801465690409E-3</v>
      </c>
      <c r="G1002" s="1"/>
      <c r="H1002" s="1"/>
    </row>
    <row r="1003" spans="1:8" x14ac:dyDescent="0.3">
      <c r="A1003" s="26">
        <v>46280</v>
      </c>
      <c r="B1003" s="38" t="s">
        <v>65</v>
      </c>
      <c r="C1003" s="35">
        <v>76.05</v>
      </c>
      <c r="D1003" s="39">
        <v>26778954</v>
      </c>
      <c r="E1003" s="1" t="str">
        <f t="shared" si="30"/>
        <v>2026-09</v>
      </c>
      <c r="F1003" s="36">
        <f t="shared" si="31"/>
        <v>7.9522862823060425E-3</v>
      </c>
      <c r="G1003" s="1"/>
      <c r="H1003" s="1"/>
    </row>
    <row r="1004" spans="1:8" x14ac:dyDescent="0.3">
      <c r="A1004" s="26">
        <v>46281</v>
      </c>
      <c r="B1004" s="38" t="s">
        <v>65</v>
      </c>
      <c r="C1004" s="35">
        <v>77</v>
      </c>
      <c r="D1004" s="39">
        <v>24680344</v>
      </c>
      <c r="E1004" s="1" t="str">
        <f t="shared" si="30"/>
        <v>2026-09</v>
      </c>
      <c r="F1004" s="36">
        <f t="shared" si="31"/>
        <v>1.2491781722550943E-2</v>
      </c>
      <c r="G1004" s="1"/>
      <c r="H1004" s="1"/>
    </row>
    <row r="1005" spans="1:8" x14ac:dyDescent="0.3">
      <c r="A1005" s="26">
        <v>46282</v>
      </c>
      <c r="B1005" s="38" t="s">
        <v>65</v>
      </c>
      <c r="C1005" s="35">
        <v>77.349999999999994</v>
      </c>
      <c r="D1005" s="39">
        <v>19176275</v>
      </c>
      <c r="E1005" s="1" t="str">
        <f t="shared" si="30"/>
        <v>2026-09</v>
      </c>
      <c r="F1005" s="36">
        <f t="shared" si="31"/>
        <v>4.5454545454544082E-3</v>
      </c>
      <c r="G1005" s="1"/>
      <c r="H1005" s="1"/>
    </row>
    <row r="1006" spans="1:8" x14ac:dyDescent="0.3">
      <c r="A1006" s="26">
        <v>46283</v>
      </c>
      <c r="B1006" s="38" t="s">
        <v>65</v>
      </c>
      <c r="C1006" s="35">
        <v>76.75</v>
      </c>
      <c r="D1006" s="39">
        <v>56369948</v>
      </c>
      <c r="E1006" s="1" t="str">
        <f t="shared" si="30"/>
        <v>2026-09</v>
      </c>
      <c r="F1006" s="36">
        <f t="shared" si="31"/>
        <v>-7.7569489334194941E-3</v>
      </c>
      <c r="G1006" s="1"/>
      <c r="H1006" s="1"/>
    </row>
    <row r="1007" spans="1:8" x14ac:dyDescent="0.3">
      <c r="A1007" s="26">
        <v>46286</v>
      </c>
      <c r="B1007" s="38" t="s">
        <v>65</v>
      </c>
      <c r="C1007" s="35">
        <v>77.349999999999994</v>
      </c>
      <c r="D1007" s="39">
        <v>26364410</v>
      </c>
      <c r="E1007" s="1" t="str">
        <f t="shared" si="30"/>
        <v>2026-09</v>
      </c>
      <c r="F1007" s="36">
        <f t="shared" si="31"/>
        <v>7.8175895765471015E-3</v>
      </c>
      <c r="G1007" s="1"/>
      <c r="H1007" s="1"/>
    </row>
    <row r="1008" spans="1:8" x14ac:dyDescent="0.3">
      <c r="A1008" s="26">
        <v>46287</v>
      </c>
      <c r="B1008" s="38" t="s">
        <v>65</v>
      </c>
      <c r="C1008" s="35">
        <v>76.25</v>
      </c>
      <c r="D1008" s="39">
        <v>27276939</v>
      </c>
      <c r="E1008" s="1" t="str">
        <f t="shared" si="30"/>
        <v>2026-09</v>
      </c>
      <c r="F1008" s="36">
        <f t="shared" si="31"/>
        <v>-1.4221073044602406E-2</v>
      </c>
      <c r="G1008" s="1"/>
      <c r="H1008" s="1"/>
    </row>
    <row r="1009" spans="1:8" x14ac:dyDescent="0.3">
      <c r="A1009" s="26">
        <v>46288</v>
      </c>
      <c r="B1009" s="38" t="s">
        <v>65</v>
      </c>
      <c r="C1009" s="35">
        <v>75.349999999999994</v>
      </c>
      <c r="D1009" s="39">
        <v>22857528</v>
      </c>
      <c r="E1009" s="1" t="str">
        <f t="shared" si="30"/>
        <v>2026-09</v>
      </c>
      <c r="F1009" s="36">
        <f t="shared" si="31"/>
        <v>-1.180327868852471E-2</v>
      </c>
      <c r="G1009" s="1"/>
      <c r="H1009" s="1"/>
    </row>
    <row r="1010" spans="1:8" x14ac:dyDescent="0.3">
      <c r="A1010" s="26">
        <v>46289</v>
      </c>
      <c r="B1010" s="38" t="s">
        <v>65</v>
      </c>
      <c r="C1010" s="35">
        <v>75.8</v>
      </c>
      <c r="D1010" s="39">
        <v>18453366</v>
      </c>
      <c r="E1010" s="1" t="str">
        <f t="shared" si="30"/>
        <v>2026-09</v>
      </c>
      <c r="F1010" s="36">
        <f t="shared" si="31"/>
        <v>5.9721300597213034E-3</v>
      </c>
      <c r="G1010" s="1"/>
      <c r="H1010" s="1"/>
    </row>
    <row r="1011" spans="1:8" x14ac:dyDescent="0.3">
      <c r="A1011" s="26">
        <v>46290</v>
      </c>
      <c r="B1011" s="38" t="s">
        <v>65</v>
      </c>
      <c r="C1011" s="35">
        <v>73.75</v>
      </c>
      <c r="D1011" s="39">
        <v>25253318</v>
      </c>
      <c r="E1011" s="1" t="str">
        <f t="shared" si="30"/>
        <v>2026-09</v>
      </c>
      <c r="F1011" s="36">
        <f t="shared" si="31"/>
        <v>-2.70448548812664E-2</v>
      </c>
      <c r="G1011" s="1"/>
      <c r="H1011" s="1"/>
    </row>
    <row r="1012" spans="1:8" x14ac:dyDescent="0.3">
      <c r="A1012" s="26">
        <v>46293</v>
      </c>
      <c r="B1012" s="38" t="s">
        <v>65</v>
      </c>
      <c r="C1012" s="35">
        <v>74.05</v>
      </c>
      <c r="D1012" s="39">
        <v>26843482</v>
      </c>
      <c r="E1012" s="1" t="str">
        <f t="shared" si="30"/>
        <v>2026-09</v>
      </c>
      <c r="F1012" s="36">
        <f t="shared" si="31"/>
        <v>4.0677966101694274E-3</v>
      </c>
      <c r="G1012" s="1"/>
      <c r="H1012" s="1"/>
    </row>
    <row r="1013" spans="1:8" x14ac:dyDescent="0.3">
      <c r="A1013" s="26">
        <v>46294</v>
      </c>
      <c r="B1013" s="38" t="s">
        <v>65</v>
      </c>
      <c r="C1013" s="35">
        <v>73.900000000000006</v>
      </c>
      <c r="D1013" s="39">
        <v>39605950</v>
      </c>
      <c r="E1013" s="1" t="str">
        <f t="shared" si="30"/>
        <v>2026-09</v>
      </c>
      <c r="F1013" s="36">
        <f t="shared" si="31"/>
        <v>-2.025658338960068E-3</v>
      </c>
      <c r="G1013" s="1"/>
      <c r="H1013" s="1"/>
    </row>
    <row r="1014" spans="1:8" x14ac:dyDescent="0.3">
      <c r="A1014" s="26">
        <v>46295</v>
      </c>
      <c r="B1014" s="38" t="s">
        <v>65</v>
      </c>
      <c r="C1014" s="35">
        <v>73.599999999999994</v>
      </c>
      <c r="D1014" s="39">
        <v>33271406</v>
      </c>
      <c r="E1014" s="1" t="str">
        <f t="shared" si="30"/>
        <v>2026-09</v>
      </c>
      <c r="F1014" s="36">
        <f t="shared" si="31"/>
        <v>-4.0595399188093628E-3</v>
      </c>
      <c r="G1014" s="1"/>
      <c r="H1014" s="1"/>
    </row>
    <row r="1015" spans="1:8" x14ac:dyDescent="0.3">
      <c r="A1015" s="26">
        <v>46297</v>
      </c>
      <c r="B1015" s="38" t="s">
        <v>65</v>
      </c>
      <c r="C1015" s="35">
        <v>69.2</v>
      </c>
      <c r="D1015" s="39">
        <v>43241561</v>
      </c>
      <c r="E1015" s="1" t="str">
        <f t="shared" si="30"/>
        <v>2026-10</v>
      </c>
      <c r="F1015" s="36">
        <f t="shared" si="31"/>
        <v>-5.9782608695652106E-2</v>
      </c>
      <c r="G1015" s="1"/>
      <c r="H1015" s="1"/>
    </row>
    <row r="1016" spans="1:8" x14ac:dyDescent="0.3">
      <c r="A1016" s="26">
        <v>46300</v>
      </c>
      <c r="B1016" s="38" t="s">
        <v>65</v>
      </c>
      <c r="C1016" s="35">
        <v>68.95</v>
      </c>
      <c r="D1016" s="39">
        <v>35045345</v>
      </c>
      <c r="E1016" s="1" t="str">
        <f t="shared" si="30"/>
        <v>2026-10</v>
      </c>
      <c r="F1016" s="36">
        <f t="shared" si="31"/>
        <v>-3.6127167630057855E-3</v>
      </c>
      <c r="G1016" s="1"/>
      <c r="H1016" s="1"/>
    </row>
    <row r="1017" spans="1:8" x14ac:dyDescent="0.3">
      <c r="A1017" s="26">
        <v>46301</v>
      </c>
      <c r="B1017" s="38" t="s">
        <v>65</v>
      </c>
      <c r="C1017" s="35">
        <v>68.8</v>
      </c>
      <c r="D1017" s="39">
        <v>27006599</v>
      </c>
      <c r="E1017" s="1" t="str">
        <f t="shared" si="30"/>
        <v>2026-10</v>
      </c>
      <c r="F1017" s="36">
        <f t="shared" si="31"/>
        <v>-2.175489485134241E-3</v>
      </c>
      <c r="G1017" s="1"/>
      <c r="H1017" s="1"/>
    </row>
    <row r="1018" spans="1:8" x14ac:dyDescent="0.3">
      <c r="A1018" s="26">
        <v>46302</v>
      </c>
      <c r="B1018" s="38" t="s">
        <v>65</v>
      </c>
      <c r="C1018" s="35">
        <v>68.8</v>
      </c>
      <c r="D1018" s="39">
        <v>36146593</v>
      </c>
      <c r="E1018" s="1" t="str">
        <f t="shared" si="30"/>
        <v>2026-10</v>
      </c>
      <c r="F1018" s="36">
        <f t="shared" si="31"/>
        <v>0</v>
      </c>
      <c r="G1018" s="1"/>
      <c r="H1018" s="1"/>
    </row>
    <row r="1019" spans="1:8" x14ac:dyDescent="0.3">
      <c r="A1019" s="26">
        <v>46303</v>
      </c>
      <c r="B1019" s="38" t="s">
        <v>65</v>
      </c>
      <c r="C1019" s="35">
        <v>69.25</v>
      </c>
      <c r="D1019" s="39">
        <v>56780279</v>
      </c>
      <c r="E1019" s="1" t="str">
        <f t="shared" si="30"/>
        <v>2026-10</v>
      </c>
      <c r="F1019" s="36">
        <f t="shared" si="31"/>
        <v>6.5406976744186718E-3</v>
      </c>
      <c r="G1019" s="1"/>
      <c r="H1019" s="1"/>
    </row>
    <row r="1020" spans="1:8" x14ac:dyDescent="0.3">
      <c r="A1020" s="26">
        <v>46304</v>
      </c>
      <c r="B1020" s="38" t="s">
        <v>65</v>
      </c>
      <c r="C1020" s="35">
        <v>71.25</v>
      </c>
      <c r="D1020" s="39">
        <v>53746682</v>
      </c>
      <c r="E1020" s="1" t="str">
        <f t="shared" si="30"/>
        <v>2026-10</v>
      </c>
      <c r="F1020" s="36">
        <f t="shared" si="31"/>
        <v>2.8880866425992746E-2</v>
      </c>
      <c r="G1020" s="1"/>
      <c r="H1020" s="1"/>
    </row>
    <row r="1021" spans="1:8" x14ac:dyDescent="0.3">
      <c r="A1021" s="26">
        <v>46307</v>
      </c>
      <c r="B1021" s="38" t="s">
        <v>65</v>
      </c>
      <c r="C1021" s="35">
        <v>71.900000000000006</v>
      </c>
      <c r="D1021" s="39">
        <v>28794945</v>
      </c>
      <c r="E1021" s="1" t="str">
        <f t="shared" si="30"/>
        <v>2026-10</v>
      </c>
      <c r="F1021" s="36">
        <f t="shared" si="31"/>
        <v>9.1228070175439768E-3</v>
      </c>
      <c r="G1021" s="1"/>
      <c r="H1021" s="1"/>
    </row>
    <row r="1022" spans="1:8" x14ac:dyDescent="0.3">
      <c r="A1022" s="26">
        <v>46308</v>
      </c>
      <c r="B1022" s="38" t="s">
        <v>65</v>
      </c>
      <c r="C1022" s="35">
        <v>73.05</v>
      </c>
      <c r="D1022" s="39">
        <v>27595380</v>
      </c>
      <c r="E1022" s="1" t="str">
        <f t="shared" si="30"/>
        <v>2026-10</v>
      </c>
      <c r="F1022" s="36">
        <f t="shared" si="31"/>
        <v>1.5994436717663207E-2</v>
      </c>
      <c r="G1022" s="1"/>
      <c r="H1022" s="1"/>
    </row>
    <row r="1023" spans="1:8" x14ac:dyDescent="0.3">
      <c r="A1023" s="26">
        <v>46309</v>
      </c>
      <c r="B1023" s="38" t="s">
        <v>65</v>
      </c>
      <c r="C1023" s="35">
        <v>72.75</v>
      </c>
      <c r="D1023" s="39">
        <v>27719582</v>
      </c>
      <c r="E1023" s="1" t="str">
        <f t="shared" si="30"/>
        <v>2026-10</v>
      </c>
      <c r="F1023" s="36">
        <f t="shared" si="31"/>
        <v>-4.1067761806981018E-3</v>
      </c>
      <c r="G1023" s="1"/>
      <c r="H1023" s="1"/>
    </row>
    <row r="1024" spans="1:8" x14ac:dyDescent="0.3">
      <c r="A1024" s="26">
        <v>46310</v>
      </c>
      <c r="B1024" s="38" t="s">
        <v>65</v>
      </c>
      <c r="C1024" s="35">
        <v>72.45</v>
      </c>
      <c r="D1024" s="39">
        <v>32031256</v>
      </c>
      <c r="E1024" s="1" t="str">
        <f t="shared" si="30"/>
        <v>2026-10</v>
      </c>
      <c r="F1024" s="36">
        <f t="shared" si="31"/>
        <v>-4.1237113402061709E-3</v>
      </c>
      <c r="G1024" s="1"/>
      <c r="H1024" s="1"/>
    </row>
    <row r="1025" spans="1:8" x14ac:dyDescent="0.3">
      <c r="A1025" s="26">
        <v>46311</v>
      </c>
      <c r="B1025" s="38" t="s">
        <v>65</v>
      </c>
      <c r="C1025" s="35">
        <v>73.3</v>
      </c>
      <c r="D1025" s="39">
        <v>28486297</v>
      </c>
      <c r="E1025" s="1" t="str">
        <f t="shared" si="30"/>
        <v>2026-10</v>
      </c>
      <c r="F1025" s="36">
        <f t="shared" si="31"/>
        <v>1.1732229123533333E-2</v>
      </c>
      <c r="G1025" s="1"/>
      <c r="H1025" s="1"/>
    </row>
    <row r="1026" spans="1:8" x14ac:dyDescent="0.3">
      <c r="A1026" s="26">
        <v>45932</v>
      </c>
      <c r="B1026" s="38" t="s">
        <v>67</v>
      </c>
      <c r="C1026" s="35">
        <v>436.37759999999997</v>
      </c>
      <c r="D1026" s="39">
        <v>7496348</v>
      </c>
      <c r="E1026" s="1" t="str">
        <f t="shared" ref="E1026:E1089" si="32">TEXT(A1026,"yyyy-mm")</f>
        <v>2025-10</v>
      </c>
      <c r="F1026" s="36">
        <f t="shared" si="31"/>
        <v>0</v>
      </c>
      <c r="G1026" s="1"/>
      <c r="H1026" s="1"/>
    </row>
    <row r="1027" spans="1:8" x14ac:dyDescent="0.3">
      <c r="A1027" s="26">
        <v>45933</v>
      </c>
      <c r="B1027" s="38" t="s">
        <v>67</v>
      </c>
      <c r="C1027" s="35">
        <v>435.41039999999998</v>
      </c>
      <c r="D1027" s="39">
        <v>2736862</v>
      </c>
      <c r="E1027" s="1" t="str">
        <f t="shared" si="32"/>
        <v>2025-10</v>
      </c>
      <c r="F1027" s="36">
        <f t="shared" ref="F1027:F1090" si="33">IF(B1027=B1026,C1027/C1026-1,0)</f>
        <v>-2.2164290742695547E-3</v>
      </c>
      <c r="G1027" s="1"/>
      <c r="H1027" s="1"/>
    </row>
    <row r="1028" spans="1:8" x14ac:dyDescent="0.3">
      <c r="A1028" s="26">
        <v>45936</v>
      </c>
      <c r="B1028" s="38" t="s">
        <v>67</v>
      </c>
      <c r="C1028" s="35">
        <v>433.6696</v>
      </c>
      <c r="D1028" s="39">
        <v>1532822</v>
      </c>
      <c r="E1028" s="1" t="str">
        <f t="shared" si="32"/>
        <v>2025-10</v>
      </c>
      <c r="F1028" s="36">
        <f t="shared" si="33"/>
        <v>-3.9980671109370869E-3</v>
      </c>
      <c r="G1028" s="1"/>
      <c r="H1028" s="1"/>
    </row>
    <row r="1029" spans="1:8" x14ac:dyDescent="0.3">
      <c r="A1029" s="26">
        <v>45938</v>
      </c>
      <c r="B1029" s="38" t="s">
        <v>67</v>
      </c>
      <c r="C1029" s="35">
        <v>430.38130000000001</v>
      </c>
      <c r="D1029" s="39">
        <v>3671413</v>
      </c>
      <c r="E1029" s="1" t="str">
        <f t="shared" si="32"/>
        <v>2025-10</v>
      </c>
      <c r="F1029" s="36">
        <f t="shared" si="33"/>
        <v>-7.5825005949229363E-3</v>
      </c>
      <c r="G1029" s="1"/>
      <c r="H1029" s="1"/>
    </row>
    <row r="1030" spans="1:8" x14ac:dyDescent="0.3">
      <c r="A1030" s="26">
        <v>45939</v>
      </c>
      <c r="B1030" s="38" t="s">
        <v>67</v>
      </c>
      <c r="C1030" s="35">
        <v>441.79360000000003</v>
      </c>
      <c r="D1030" s="39">
        <v>8863671</v>
      </c>
      <c r="E1030" s="1" t="str">
        <f t="shared" si="32"/>
        <v>2025-10</v>
      </c>
      <c r="F1030" s="36">
        <f t="shared" si="33"/>
        <v>2.6516719011722811E-2</v>
      </c>
      <c r="G1030" s="1"/>
      <c r="H1030" s="1"/>
    </row>
    <row r="1031" spans="1:8" x14ac:dyDescent="0.3">
      <c r="A1031" s="26">
        <v>45940</v>
      </c>
      <c r="B1031" s="38" t="s">
        <v>67</v>
      </c>
      <c r="C1031" s="35">
        <v>429.99439999999998</v>
      </c>
      <c r="D1031" s="39">
        <v>4617428</v>
      </c>
      <c r="E1031" s="1" t="str">
        <f t="shared" si="32"/>
        <v>2025-10</v>
      </c>
      <c r="F1031" s="36">
        <f t="shared" si="33"/>
        <v>-2.6707494178277003E-2</v>
      </c>
      <c r="G1031" s="1"/>
      <c r="H1031" s="1"/>
    </row>
    <row r="1032" spans="1:8" x14ac:dyDescent="0.3">
      <c r="A1032" s="26">
        <v>45943</v>
      </c>
      <c r="B1032" s="38" t="s">
        <v>67</v>
      </c>
      <c r="C1032" s="35">
        <v>418.58199999999999</v>
      </c>
      <c r="D1032" s="39">
        <v>14909392</v>
      </c>
      <c r="E1032" s="1" t="str">
        <f t="shared" si="32"/>
        <v>2025-10</v>
      </c>
      <c r="F1032" s="36">
        <f t="shared" si="33"/>
        <v>-2.6540810764047129E-2</v>
      </c>
      <c r="G1032" s="1"/>
      <c r="H1032" s="1"/>
    </row>
    <row r="1033" spans="1:8" x14ac:dyDescent="0.3">
      <c r="A1033" s="26">
        <v>45944</v>
      </c>
      <c r="B1033" s="38" t="s">
        <v>67</v>
      </c>
      <c r="C1033" s="35">
        <v>406.20249999999999</v>
      </c>
      <c r="D1033" s="39">
        <v>11822195</v>
      </c>
      <c r="E1033" s="1" t="str">
        <f t="shared" si="32"/>
        <v>2025-10</v>
      </c>
      <c r="F1033" s="36">
        <f t="shared" si="33"/>
        <v>-2.9574850328012214E-2</v>
      </c>
      <c r="G1033" s="1"/>
      <c r="H1033" s="1"/>
    </row>
    <row r="1034" spans="1:8" x14ac:dyDescent="0.3">
      <c r="A1034" s="26">
        <v>45945</v>
      </c>
      <c r="B1034" s="38" t="s">
        <v>67</v>
      </c>
      <c r="C1034" s="35">
        <v>413.74619999999999</v>
      </c>
      <c r="D1034" s="39">
        <v>5114416</v>
      </c>
      <c r="E1034" s="1" t="str">
        <f t="shared" si="32"/>
        <v>2025-10</v>
      </c>
      <c r="F1034" s="36">
        <f t="shared" si="33"/>
        <v>1.8571279103402949E-2</v>
      </c>
      <c r="G1034" s="1"/>
      <c r="H1034" s="1"/>
    </row>
    <row r="1035" spans="1:8" x14ac:dyDescent="0.3">
      <c r="A1035" s="26">
        <v>45946</v>
      </c>
      <c r="B1035" s="38" t="s">
        <v>67</v>
      </c>
      <c r="C1035" s="35">
        <v>410.45800000000003</v>
      </c>
      <c r="D1035" s="39">
        <v>4332911</v>
      </c>
      <c r="E1035" s="1" t="str">
        <f t="shared" si="32"/>
        <v>2025-10</v>
      </c>
      <c r="F1035" s="36">
        <f t="shared" si="33"/>
        <v>-7.9473841693288305E-3</v>
      </c>
      <c r="G1035" s="1"/>
      <c r="H1035" s="1"/>
    </row>
    <row r="1036" spans="1:8" x14ac:dyDescent="0.3">
      <c r="A1036" s="26">
        <v>45947</v>
      </c>
      <c r="B1036" s="38" t="s">
        <v>67</v>
      </c>
      <c r="C1036" s="35">
        <v>400.39960000000002</v>
      </c>
      <c r="D1036" s="39">
        <v>8093205</v>
      </c>
      <c r="E1036" s="1" t="str">
        <f t="shared" si="32"/>
        <v>2025-10</v>
      </c>
      <c r="F1036" s="36">
        <f t="shared" si="33"/>
        <v>-2.4505308703935635E-2</v>
      </c>
      <c r="G1036" s="1"/>
      <c r="H1036" s="1"/>
    </row>
    <row r="1037" spans="1:8" x14ac:dyDescent="0.3">
      <c r="A1037" s="26">
        <v>45950</v>
      </c>
      <c r="B1037" s="38" t="s">
        <v>67</v>
      </c>
      <c r="C1037" s="35">
        <v>411.03820000000002</v>
      </c>
      <c r="D1037" s="39">
        <v>4668109</v>
      </c>
      <c r="E1037" s="1" t="str">
        <f t="shared" si="32"/>
        <v>2025-10</v>
      </c>
      <c r="F1037" s="36">
        <f t="shared" si="33"/>
        <v>2.6569956613343271E-2</v>
      </c>
      <c r="G1037" s="1"/>
      <c r="H1037" s="1"/>
    </row>
    <row r="1038" spans="1:8" x14ac:dyDescent="0.3">
      <c r="A1038" s="26">
        <v>45951</v>
      </c>
      <c r="B1038" s="38" t="s">
        <v>67</v>
      </c>
      <c r="C1038" s="35">
        <v>415.1003</v>
      </c>
      <c r="D1038" s="39">
        <v>5285162</v>
      </c>
      <c r="E1038" s="1" t="str">
        <f t="shared" si="32"/>
        <v>2025-10</v>
      </c>
      <c r="F1038" s="36">
        <f t="shared" si="33"/>
        <v>9.8825364649806069E-3</v>
      </c>
      <c r="G1038" s="1"/>
      <c r="H1038" s="1"/>
    </row>
    <row r="1039" spans="1:8" x14ac:dyDescent="0.3">
      <c r="A1039" s="26">
        <v>45952</v>
      </c>
      <c r="B1039" s="38" t="s">
        <v>67</v>
      </c>
      <c r="C1039" s="35">
        <v>408.52370000000002</v>
      </c>
      <c r="D1039" s="39">
        <v>4156310</v>
      </c>
      <c r="E1039" s="1" t="str">
        <f t="shared" si="32"/>
        <v>2025-10</v>
      </c>
      <c r="F1039" s="36">
        <f t="shared" si="33"/>
        <v>-1.5843399775909539E-2</v>
      </c>
      <c r="G1039" s="1"/>
      <c r="H1039" s="1"/>
    </row>
    <row r="1040" spans="1:8" x14ac:dyDescent="0.3">
      <c r="A1040" s="26">
        <v>45953</v>
      </c>
      <c r="B1040" s="38" t="s">
        <v>67</v>
      </c>
      <c r="C1040" s="35">
        <v>407.9434</v>
      </c>
      <c r="D1040" s="39">
        <v>3042728</v>
      </c>
      <c r="E1040" s="1" t="str">
        <f t="shared" si="32"/>
        <v>2025-10</v>
      </c>
      <c r="F1040" s="36">
        <f t="shared" si="33"/>
        <v>-1.4204806232784861E-3</v>
      </c>
      <c r="G1040" s="1"/>
      <c r="H1040" s="1"/>
    </row>
    <row r="1041" spans="1:8" x14ac:dyDescent="0.3">
      <c r="A1041" s="26">
        <v>45954</v>
      </c>
      <c r="B1041" s="38" t="s">
        <v>67</v>
      </c>
      <c r="C1041" s="35">
        <v>411.03820000000002</v>
      </c>
      <c r="D1041" s="39">
        <v>2689754</v>
      </c>
      <c r="E1041" s="1" t="str">
        <f t="shared" si="32"/>
        <v>2025-10</v>
      </c>
      <c r="F1041" s="36">
        <f t="shared" si="33"/>
        <v>7.5863465372894012E-3</v>
      </c>
      <c r="G1041" s="1"/>
      <c r="H1041" s="1"/>
    </row>
    <row r="1042" spans="1:8" x14ac:dyDescent="0.3">
      <c r="A1042" s="26">
        <v>45957</v>
      </c>
      <c r="B1042" s="38" t="s">
        <v>67</v>
      </c>
      <c r="C1042" s="35">
        <v>419.93610000000001</v>
      </c>
      <c r="D1042" s="39">
        <v>5555573</v>
      </c>
      <c r="E1042" s="1" t="str">
        <f t="shared" si="32"/>
        <v>2025-10</v>
      </c>
      <c r="F1042" s="36">
        <f t="shared" si="33"/>
        <v>2.1647379732589345E-2</v>
      </c>
      <c r="G1042" s="1"/>
      <c r="H1042" s="1"/>
    </row>
    <row r="1043" spans="1:8" x14ac:dyDescent="0.3">
      <c r="A1043" s="26">
        <v>45958</v>
      </c>
      <c r="B1043" s="38" t="s">
        <v>67</v>
      </c>
      <c r="C1043" s="35">
        <v>418.1952</v>
      </c>
      <c r="D1043" s="39">
        <v>3147448</v>
      </c>
      <c r="E1043" s="1" t="str">
        <f t="shared" si="32"/>
        <v>2025-10</v>
      </c>
      <c r="F1043" s="36">
        <f t="shared" si="33"/>
        <v>-4.1456307281036997E-3</v>
      </c>
      <c r="G1043" s="1"/>
      <c r="H1043" s="1"/>
    </row>
    <row r="1044" spans="1:8" x14ac:dyDescent="0.3">
      <c r="A1044" s="26">
        <v>45960</v>
      </c>
      <c r="B1044" s="38" t="s">
        <v>67</v>
      </c>
      <c r="C1044" s="35">
        <v>418.1952</v>
      </c>
      <c r="D1044" s="39">
        <v>5957582</v>
      </c>
      <c r="E1044" s="1" t="str">
        <f t="shared" si="32"/>
        <v>2025-10</v>
      </c>
      <c r="F1044" s="36">
        <f t="shared" si="33"/>
        <v>0</v>
      </c>
      <c r="G1044" s="1"/>
      <c r="H1044" s="1"/>
    </row>
    <row r="1045" spans="1:8" x14ac:dyDescent="0.3">
      <c r="A1045" s="26">
        <v>45961</v>
      </c>
      <c r="B1045" s="38" t="s">
        <v>67</v>
      </c>
      <c r="C1045" s="35">
        <v>409.68430000000001</v>
      </c>
      <c r="D1045" s="39">
        <v>5685831</v>
      </c>
      <c r="E1045" s="1" t="str">
        <f t="shared" si="32"/>
        <v>2025-10</v>
      </c>
      <c r="F1045" s="36">
        <f t="shared" si="33"/>
        <v>-2.0351500925883448E-2</v>
      </c>
      <c r="G1045" s="1"/>
      <c r="H1045" s="1"/>
    </row>
    <row r="1046" spans="1:8" x14ac:dyDescent="0.3">
      <c r="A1046" s="26">
        <v>45964</v>
      </c>
      <c r="B1046" s="38" t="s">
        <v>67</v>
      </c>
      <c r="C1046" s="35">
        <v>414.71339999999998</v>
      </c>
      <c r="D1046" s="39">
        <v>2971587</v>
      </c>
      <c r="E1046" s="1" t="str">
        <f t="shared" si="32"/>
        <v>2025-11</v>
      </c>
      <c r="F1046" s="36">
        <f t="shared" si="33"/>
        <v>1.227554973427103E-2</v>
      </c>
      <c r="G1046" s="1"/>
      <c r="H1046" s="1"/>
    </row>
    <row r="1047" spans="1:8" x14ac:dyDescent="0.3">
      <c r="A1047" s="26">
        <v>45965</v>
      </c>
      <c r="B1047" s="38" t="s">
        <v>67</v>
      </c>
      <c r="C1047" s="35">
        <v>411.61860000000001</v>
      </c>
      <c r="D1047" s="39">
        <v>3934108</v>
      </c>
      <c r="E1047" s="1" t="str">
        <f t="shared" si="32"/>
        <v>2025-11</v>
      </c>
      <c r="F1047" s="36">
        <f t="shared" si="33"/>
        <v>-7.4625030201579401E-3</v>
      </c>
      <c r="G1047" s="1"/>
      <c r="H1047" s="1"/>
    </row>
    <row r="1048" spans="1:8" x14ac:dyDescent="0.3">
      <c r="A1048" s="26">
        <v>45966</v>
      </c>
      <c r="B1048" s="38" t="s">
        <v>67</v>
      </c>
      <c r="C1048" s="35">
        <v>409.68430000000001</v>
      </c>
      <c r="D1048" s="39">
        <v>6657368</v>
      </c>
      <c r="E1048" s="1" t="str">
        <f t="shared" si="32"/>
        <v>2025-11</v>
      </c>
      <c r="F1048" s="36">
        <f t="shared" si="33"/>
        <v>-4.6992531435654517E-3</v>
      </c>
      <c r="G1048" s="1"/>
      <c r="H1048" s="1"/>
    </row>
    <row r="1049" spans="1:8" x14ac:dyDescent="0.3">
      <c r="A1049" s="26">
        <v>45967</v>
      </c>
      <c r="B1049" s="38" t="s">
        <v>67</v>
      </c>
      <c r="C1049" s="35">
        <v>418.77550000000002</v>
      </c>
      <c r="D1049" s="39">
        <v>6297729</v>
      </c>
      <c r="E1049" s="1" t="str">
        <f t="shared" si="32"/>
        <v>2025-11</v>
      </c>
      <c r="F1049" s="36">
        <f t="shared" si="33"/>
        <v>2.2190745410551438E-2</v>
      </c>
      <c r="G1049" s="1"/>
      <c r="H1049" s="1"/>
    </row>
    <row r="1050" spans="1:8" x14ac:dyDescent="0.3">
      <c r="A1050" s="26">
        <v>45968</v>
      </c>
      <c r="B1050" s="38" t="s">
        <v>67</v>
      </c>
      <c r="C1050" s="35">
        <v>414.52</v>
      </c>
      <c r="D1050" s="39">
        <v>5288774</v>
      </c>
      <c r="E1050" s="1" t="str">
        <f t="shared" si="32"/>
        <v>2025-11</v>
      </c>
      <c r="F1050" s="36">
        <f t="shared" si="33"/>
        <v>-1.0161769253454467E-2</v>
      </c>
      <c r="G1050" s="1"/>
      <c r="H1050" s="1"/>
    </row>
    <row r="1051" spans="1:8" x14ac:dyDescent="0.3">
      <c r="A1051" s="26">
        <v>45971</v>
      </c>
      <c r="B1051" s="38" t="s">
        <v>67</v>
      </c>
      <c r="C1051" s="35">
        <v>421.67689999999999</v>
      </c>
      <c r="D1051" s="39">
        <v>5012982</v>
      </c>
      <c r="E1051" s="1" t="str">
        <f t="shared" si="32"/>
        <v>2025-11</v>
      </c>
      <c r="F1051" s="36">
        <f t="shared" si="33"/>
        <v>1.7265511917398557E-2</v>
      </c>
      <c r="G1051" s="1"/>
      <c r="H1051" s="1"/>
    </row>
    <row r="1052" spans="1:8" x14ac:dyDescent="0.3">
      <c r="A1052" s="26">
        <v>45972</v>
      </c>
      <c r="B1052" s="38" t="s">
        <v>67</v>
      </c>
      <c r="C1052" s="35">
        <v>421.09660000000002</v>
      </c>
      <c r="D1052" s="39">
        <v>3271978</v>
      </c>
      <c r="E1052" s="1" t="str">
        <f t="shared" si="32"/>
        <v>2025-11</v>
      </c>
      <c r="F1052" s="36">
        <f t="shared" si="33"/>
        <v>-1.3761721355852741E-3</v>
      </c>
      <c r="G1052" s="1"/>
      <c r="H1052" s="1"/>
    </row>
    <row r="1053" spans="1:8" x14ac:dyDescent="0.3">
      <c r="A1053" s="26">
        <v>45973</v>
      </c>
      <c r="B1053" s="38" t="s">
        <v>67</v>
      </c>
      <c r="C1053" s="35">
        <v>423.03089999999997</v>
      </c>
      <c r="D1053" s="39">
        <v>3026961</v>
      </c>
      <c r="E1053" s="1" t="str">
        <f t="shared" si="32"/>
        <v>2025-11</v>
      </c>
      <c r="F1053" s="36">
        <f t="shared" si="33"/>
        <v>4.593482825555828E-3</v>
      </c>
      <c r="G1053" s="1"/>
      <c r="H1053" s="1"/>
    </row>
    <row r="1054" spans="1:8" x14ac:dyDescent="0.3">
      <c r="A1054" s="26">
        <v>45974</v>
      </c>
      <c r="B1054" s="38" t="s">
        <v>67</v>
      </c>
      <c r="C1054" s="35">
        <v>422.25720000000001</v>
      </c>
      <c r="D1054" s="39">
        <v>2916061</v>
      </c>
      <c r="E1054" s="1" t="str">
        <f t="shared" si="32"/>
        <v>2025-11</v>
      </c>
      <c r="F1054" s="36">
        <f t="shared" si="33"/>
        <v>-1.8289444104436781E-3</v>
      </c>
      <c r="G1054" s="1"/>
      <c r="H1054" s="1"/>
    </row>
    <row r="1055" spans="1:8" x14ac:dyDescent="0.3">
      <c r="A1055" s="26">
        <v>45975</v>
      </c>
      <c r="B1055" s="38" t="s">
        <v>67</v>
      </c>
      <c r="C1055" s="35">
        <v>411.23169999999999</v>
      </c>
      <c r="D1055" s="39">
        <v>5829378</v>
      </c>
      <c r="E1055" s="1" t="str">
        <f t="shared" si="32"/>
        <v>2025-11</v>
      </c>
      <c r="F1055" s="36">
        <f t="shared" si="33"/>
        <v>-2.6110863236908699E-2</v>
      </c>
      <c r="G1055" s="1"/>
      <c r="H1055" s="1"/>
    </row>
    <row r="1056" spans="1:8" x14ac:dyDescent="0.3">
      <c r="A1056" s="26">
        <v>45978</v>
      </c>
      <c r="B1056" s="38" t="s">
        <v>67</v>
      </c>
      <c r="C1056" s="35">
        <v>408.33030000000002</v>
      </c>
      <c r="D1056" s="39">
        <v>4837728</v>
      </c>
      <c r="E1056" s="1" t="str">
        <f t="shared" si="32"/>
        <v>2025-11</v>
      </c>
      <c r="F1056" s="36">
        <f t="shared" si="33"/>
        <v>-7.0553899419718569E-3</v>
      </c>
      <c r="G1056" s="1"/>
      <c r="H1056" s="1"/>
    </row>
    <row r="1057" spans="1:8" x14ac:dyDescent="0.3">
      <c r="A1057" s="26">
        <v>45979</v>
      </c>
      <c r="B1057" s="38" t="s">
        <v>67</v>
      </c>
      <c r="C1057" s="35">
        <v>403.10759999999999</v>
      </c>
      <c r="D1057" s="39">
        <v>5566980</v>
      </c>
      <c r="E1057" s="1" t="str">
        <f t="shared" si="32"/>
        <v>2025-11</v>
      </c>
      <c r="F1057" s="36">
        <f t="shared" si="33"/>
        <v>-1.2790380728542661E-2</v>
      </c>
      <c r="G1057" s="1"/>
      <c r="H1057" s="1"/>
    </row>
    <row r="1058" spans="1:8" x14ac:dyDescent="0.3">
      <c r="A1058" s="26">
        <v>45980</v>
      </c>
      <c r="B1058" s="38" t="s">
        <v>67</v>
      </c>
      <c r="C1058" s="35">
        <v>402.7208</v>
      </c>
      <c r="D1058" s="39">
        <v>2941268</v>
      </c>
      <c r="E1058" s="1" t="str">
        <f t="shared" si="32"/>
        <v>2025-11</v>
      </c>
      <c r="F1058" s="36">
        <f t="shared" si="33"/>
        <v>-9.5954529262165522E-4</v>
      </c>
      <c r="G1058" s="1"/>
      <c r="H1058" s="1"/>
    </row>
    <row r="1059" spans="1:8" x14ac:dyDescent="0.3">
      <c r="A1059" s="26">
        <v>45981</v>
      </c>
      <c r="B1059" s="38" t="s">
        <v>67</v>
      </c>
      <c r="C1059" s="35">
        <v>403.88139999999999</v>
      </c>
      <c r="D1059" s="39">
        <v>2843422</v>
      </c>
      <c r="E1059" s="1" t="str">
        <f t="shared" si="32"/>
        <v>2025-11</v>
      </c>
      <c r="F1059" s="36">
        <f t="shared" si="33"/>
        <v>2.8818973343318621E-3</v>
      </c>
      <c r="G1059" s="1"/>
      <c r="H1059" s="1"/>
    </row>
    <row r="1060" spans="1:8" x14ac:dyDescent="0.3">
      <c r="A1060" s="26">
        <v>45982</v>
      </c>
      <c r="B1060" s="38" t="s">
        <v>67</v>
      </c>
      <c r="C1060" s="35">
        <v>395.75729999999999</v>
      </c>
      <c r="D1060" s="39">
        <v>6353592</v>
      </c>
      <c r="E1060" s="1" t="str">
        <f t="shared" si="32"/>
        <v>2025-11</v>
      </c>
      <c r="F1060" s="36">
        <f t="shared" si="33"/>
        <v>-2.0115063481507156E-2</v>
      </c>
      <c r="G1060" s="1"/>
      <c r="H1060" s="1"/>
    </row>
    <row r="1061" spans="1:8" x14ac:dyDescent="0.3">
      <c r="A1061" s="26">
        <v>45985</v>
      </c>
      <c r="B1061" s="38" t="s">
        <v>67</v>
      </c>
      <c r="C1061" s="35">
        <v>401.56020000000001</v>
      </c>
      <c r="D1061" s="39">
        <v>5120092</v>
      </c>
      <c r="E1061" s="1" t="str">
        <f t="shared" si="32"/>
        <v>2025-11</v>
      </c>
      <c r="F1061" s="36">
        <f t="shared" si="33"/>
        <v>1.4662774382178334E-2</v>
      </c>
      <c r="G1061" s="1"/>
      <c r="H1061" s="1"/>
    </row>
    <row r="1062" spans="1:8" x14ac:dyDescent="0.3">
      <c r="A1062" s="26">
        <v>45986</v>
      </c>
      <c r="B1062" s="38" t="s">
        <v>67</v>
      </c>
      <c r="C1062" s="35">
        <v>401.75360000000001</v>
      </c>
      <c r="D1062" s="39">
        <v>2622853</v>
      </c>
      <c r="E1062" s="1" t="str">
        <f t="shared" si="32"/>
        <v>2025-11</v>
      </c>
      <c r="F1062" s="36">
        <f t="shared" si="33"/>
        <v>4.8162143559049575E-4</v>
      </c>
      <c r="G1062" s="1"/>
      <c r="H1062" s="1"/>
    </row>
    <row r="1063" spans="1:8" x14ac:dyDescent="0.3">
      <c r="A1063" s="26">
        <v>45987</v>
      </c>
      <c r="B1063" s="38" t="s">
        <v>67</v>
      </c>
      <c r="C1063" s="35">
        <v>399.6259</v>
      </c>
      <c r="D1063" s="39">
        <v>3188838</v>
      </c>
      <c r="E1063" s="1" t="str">
        <f t="shared" si="32"/>
        <v>2025-11</v>
      </c>
      <c r="F1063" s="36">
        <f t="shared" si="33"/>
        <v>-5.2960321948577471E-3</v>
      </c>
      <c r="G1063" s="1"/>
      <c r="H1063" s="1"/>
    </row>
    <row r="1064" spans="1:8" x14ac:dyDescent="0.3">
      <c r="A1064" s="26">
        <v>45988</v>
      </c>
      <c r="B1064" s="38" t="s">
        <v>67</v>
      </c>
      <c r="C1064" s="35">
        <v>398.27190000000002</v>
      </c>
      <c r="D1064" s="39">
        <v>3551387</v>
      </c>
      <c r="E1064" s="1" t="str">
        <f t="shared" si="32"/>
        <v>2025-11</v>
      </c>
      <c r="F1064" s="36">
        <f t="shared" si="33"/>
        <v>-3.3881687848560382E-3</v>
      </c>
      <c r="G1064" s="1"/>
      <c r="H1064" s="1"/>
    </row>
    <row r="1065" spans="1:8" x14ac:dyDescent="0.3">
      <c r="A1065" s="26">
        <v>45989</v>
      </c>
      <c r="B1065" s="38" t="s">
        <v>67</v>
      </c>
      <c r="C1065" s="35">
        <v>397.4982</v>
      </c>
      <c r="D1065" s="39">
        <v>2021076</v>
      </c>
      <c r="E1065" s="1" t="str">
        <f t="shared" si="32"/>
        <v>2025-11</v>
      </c>
      <c r="F1065" s="36">
        <f t="shared" si="33"/>
        <v>-1.9426427021339565E-3</v>
      </c>
      <c r="G1065" s="1"/>
      <c r="H1065" s="1"/>
    </row>
    <row r="1066" spans="1:8" x14ac:dyDescent="0.3">
      <c r="A1066" s="26">
        <v>45992</v>
      </c>
      <c r="B1066" s="38" t="s">
        <v>67</v>
      </c>
      <c r="C1066" s="35">
        <v>399.04559999999998</v>
      </c>
      <c r="D1066" s="39">
        <v>2582051</v>
      </c>
      <c r="E1066" s="1" t="str">
        <f t="shared" si="32"/>
        <v>2025-12</v>
      </c>
      <c r="F1066" s="36">
        <f t="shared" si="33"/>
        <v>3.8928478166693203E-3</v>
      </c>
      <c r="G1066" s="1"/>
      <c r="H1066" s="1"/>
    </row>
    <row r="1067" spans="1:8" x14ac:dyDescent="0.3">
      <c r="A1067" s="26">
        <v>45993</v>
      </c>
      <c r="B1067" s="38" t="s">
        <v>67</v>
      </c>
      <c r="C1067" s="35">
        <v>396.72449999999998</v>
      </c>
      <c r="D1067" s="39">
        <v>2416460</v>
      </c>
      <c r="E1067" s="1" t="str">
        <f t="shared" si="32"/>
        <v>2025-12</v>
      </c>
      <c r="F1067" s="36">
        <f t="shared" si="33"/>
        <v>-5.8166284755426512E-3</v>
      </c>
      <c r="G1067" s="1"/>
      <c r="H1067" s="1"/>
    </row>
    <row r="1068" spans="1:8" x14ac:dyDescent="0.3">
      <c r="A1068" s="26">
        <v>45994</v>
      </c>
      <c r="B1068" s="38" t="s">
        <v>67</v>
      </c>
      <c r="C1068" s="35">
        <v>390.92160000000001</v>
      </c>
      <c r="D1068" s="39">
        <v>3989559</v>
      </c>
      <c r="E1068" s="1" t="str">
        <f t="shared" si="32"/>
        <v>2025-12</v>
      </c>
      <c r="F1068" s="36">
        <f t="shared" si="33"/>
        <v>-1.4627027067902199E-2</v>
      </c>
      <c r="G1068" s="1"/>
      <c r="H1068" s="1"/>
    </row>
    <row r="1069" spans="1:8" x14ac:dyDescent="0.3">
      <c r="A1069" s="26">
        <v>45995</v>
      </c>
      <c r="B1069" s="38" t="s">
        <v>67</v>
      </c>
      <c r="C1069" s="35">
        <v>393.04930000000002</v>
      </c>
      <c r="D1069" s="39">
        <v>4200405</v>
      </c>
      <c r="E1069" s="1" t="str">
        <f t="shared" si="32"/>
        <v>2025-12</v>
      </c>
      <c r="F1069" s="36">
        <f t="shared" si="33"/>
        <v>5.4427793194338214E-3</v>
      </c>
      <c r="G1069" s="1"/>
      <c r="H1069" s="1"/>
    </row>
    <row r="1070" spans="1:8" x14ac:dyDescent="0.3">
      <c r="A1070" s="26">
        <v>45996</v>
      </c>
      <c r="B1070" s="38" t="s">
        <v>67</v>
      </c>
      <c r="C1070" s="35">
        <v>394.01639999999998</v>
      </c>
      <c r="D1070" s="39">
        <v>3423195</v>
      </c>
      <c r="E1070" s="1" t="str">
        <f t="shared" si="32"/>
        <v>2025-12</v>
      </c>
      <c r="F1070" s="36">
        <f t="shared" si="33"/>
        <v>2.4605055905200235E-3</v>
      </c>
      <c r="G1070" s="1"/>
      <c r="H1070" s="1"/>
    </row>
    <row r="1071" spans="1:8" x14ac:dyDescent="0.3">
      <c r="A1071" s="26">
        <v>45999</v>
      </c>
      <c r="B1071" s="38" t="s">
        <v>67</v>
      </c>
      <c r="C1071" s="35">
        <v>391.30840000000001</v>
      </c>
      <c r="D1071" s="39">
        <v>3197267</v>
      </c>
      <c r="E1071" s="1" t="str">
        <f t="shared" si="32"/>
        <v>2025-12</v>
      </c>
      <c r="F1071" s="36">
        <f t="shared" si="33"/>
        <v>-6.8728103703297183E-3</v>
      </c>
      <c r="G1071" s="1"/>
      <c r="H1071" s="1"/>
    </row>
    <row r="1072" spans="1:8" x14ac:dyDescent="0.3">
      <c r="A1072" s="26">
        <v>46000</v>
      </c>
      <c r="B1072" s="38" t="s">
        <v>67</v>
      </c>
      <c r="C1072" s="35">
        <v>388.02010000000001</v>
      </c>
      <c r="D1072" s="39">
        <v>4256421</v>
      </c>
      <c r="E1072" s="1" t="str">
        <f t="shared" si="32"/>
        <v>2025-12</v>
      </c>
      <c r="F1072" s="36">
        <f t="shared" si="33"/>
        <v>-8.4033463120137819E-3</v>
      </c>
      <c r="G1072" s="1"/>
      <c r="H1072" s="1"/>
    </row>
    <row r="1073" spans="1:8" x14ac:dyDescent="0.3">
      <c r="A1073" s="26">
        <v>46001</v>
      </c>
      <c r="B1073" s="38" t="s">
        <v>67</v>
      </c>
      <c r="C1073" s="35">
        <v>389.5675</v>
      </c>
      <c r="D1073" s="39">
        <v>3949986</v>
      </c>
      <c r="E1073" s="1" t="str">
        <f t="shared" si="32"/>
        <v>2025-12</v>
      </c>
      <c r="F1073" s="36">
        <f t="shared" si="33"/>
        <v>3.9879377382769921E-3</v>
      </c>
      <c r="G1073" s="1"/>
      <c r="H1073" s="1"/>
    </row>
    <row r="1074" spans="1:8" x14ac:dyDescent="0.3">
      <c r="A1074" s="26">
        <v>46002</v>
      </c>
      <c r="B1074" s="38" t="s">
        <v>67</v>
      </c>
      <c r="C1074" s="35">
        <v>387.63319999999999</v>
      </c>
      <c r="D1074" s="39">
        <v>2366860</v>
      </c>
      <c r="E1074" s="1" t="str">
        <f t="shared" si="32"/>
        <v>2025-12</v>
      </c>
      <c r="F1074" s="36">
        <f t="shared" si="33"/>
        <v>-4.9652499245959048E-3</v>
      </c>
      <c r="G1074" s="1"/>
      <c r="H1074" s="1"/>
    </row>
    <row r="1075" spans="1:8" x14ac:dyDescent="0.3">
      <c r="A1075" s="26">
        <v>46003</v>
      </c>
      <c r="B1075" s="38" t="s">
        <v>67</v>
      </c>
      <c r="C1075" s="35">
        <v>388.60039999999998</v>
      </c>
      <c r="D1075" s="39">
        <v>5576007</v>
      </c>
      <c r="E1075" s="1" t="str">
        <f t="shared" si="32"/>
        <v>2025-12</v>
      </c>
      <c r="F1075" s="36">
        <f t="shared" si="33"/>
        <v>2.495142314951293E-3</v>
      </c>
      <c r="G1075" s="1"/>
      <c r="H1075" s="1"/>
    </row>
    <row r="1076" spans="1:8" x14ac:dyDescent="0.3">
      <c r="A1076" s="26">
        <v>46006</v>
      </c>
      <c r="B1076" s="38" t="s">
        <v>67</v>
      </c>
      <c r="C1076" s="35">
        <v>390.53469999999999</v>
      </c>
      <c r="D1076" s="39">
        <v>3858835</v>
      </c>
      <c r="E1076" s="1" t="str">
        <f t="shared" si="32"/>
        <v>2025-12</v>
      </c>
      <c r="F1076" s="36">
        <f t="shared" si="33"/>
        <v>4.9776068166682563E-3</v>
      </c>
      <c r="G1076" s="1"/>
      <c r="H1076" s="1"/>
    </row>
    <row r="1077" spans="1:8" x14ac:dyDescent="0.3">
      <c r="A1077" s="26">
        <v>46007</v>
      </c>
      <c r="B1077" s="38" t="s">
        <v>67</v>
      </c>
      <c r="C1077" s="35">
        <v>382.99099999999999</v>
      </c>
      <c r="D1077" s="39">
        <v>6302511</v>
      </c>
      <c r="E1077" s="1" t="str">
        <f t="shared" si="32"/>
        <v>2025-12</v>
      </c>
      <c r="F1077" s="36">
        <f t="shared" si="33"/>
        <v>-1.9316337319065346E-2</v>
      </c>
      <c r="G1077" s="1"/>
      <c r="H1077" s="1"/>
    </row>
    <row r="1078" spans="1:8" x14ac:dyDescent="0.3">
      <c r="A1078" s="26">
        <v>46008</v>
      </c>
      <c r="B1078" s="38" t="s">
        <v>67</v>
      </c>
      <c r="C1078" s="35">
        <v>385.31209999999999</v>
      </c>
      <c r="D1078" s="39">
        <v>3460196</v>
      </c>
      <c r="E1078" s="1" t="str">
        <f t="shared" si="32"/>
        <v>2025-12</v>
      </c>
      <c r="F1078" s="36">
        <f t="shared" si="33"/>
        <v>6.0604557287247118E-3</v>
      </c>
      <c r="G1078" s="1"/>
      <c r="H1078" s="1"/>
    </row>
    <row r="1079" spans="1:8" x14ac:dyDescent="0.3">
      <c r="A1079" s="26">
        <v>46009</v>
      </c>
      <c r="B1079" s="38" t="s">
        <v>67</v>
      </c>
      <c r="C1079" s="35">
        <v>388.60039999999998</v>
      </c>
      <c r="D1079" s="39">
        <v>3423972</v>
      </c>
      <c r="E1079" s="1" t="str">
        <f t="shared" si="32"/>
        <v>2025-12</v>
      </c>
      <c r="F1079" s="36">
        <f t="shared" si="33"/>
        <v>8.5341207815690101E-3</v>
      </c>
      <c r="G1079" s="1"/>
      <c r="H1079" s="1"/>
    </row>
    <row r="1080" spans="1:8" x14ac:dyDescent="0.3">
      <c r="A1080" s="26">
        <v>46010</v>
      </c>
      <c r="B1080" s="38" t="s">
        <v>67</v>
      </c>
      <c r="C1080" s="35">
        <v>393.62959999999998</v>
      </c>
      <c r="D1080" s="39">
        <v>3281541</v>
      </c>
      <c r="E1080" s="1" t="str">
        <f t="shared" si="32"/>
        <v>2025-12</v>
      </c>
      <c r="F1080" s="36">
        <f t="shared" si="33"/>
        <v>1.2941829190088239E-2</v>
      </c>
      <c r="G1080" s="1"/>
      <c r="H1080" s="1"/>
    </row>
    <row r="1081" spans="1:8" x14ac:dyDescent="0.3">
      <c r="A1081" s="26">
        <v>46013</v>
      </c>
      <c r="B1081" s="38" t="s">
        <v>67</v>
      </c>
      <c r="C1081" s="35">
        <v>393.62959999999998</v>
      </c>
      <c r="D1081" s="39">
        <v>3071851</v>
      </c>
      <c r="E1081" s="1" t="str">
        <f t="shared" si="32"/>
        <v>2025-12</v>
      </c>
      <c r="F1081" s="36">
        <f t="shared" si="33"/>
        <v>0</v>
      </c>
      <c r="G1081" s="1"/>
      <c r="H1081" s="1"/>
    </row>
    <row r="1082" spans="1:8" x14ac:dyDescent="0.3">
      <c r="A1082" s="26">
        <v>46014</v>
      </c>
      <c r="B1082" s="38" t="s">
        <v>67</v>
      </c>
      <c r="C1082" s="35">
        <v>394.2099</v>
      </c>
      <c r="D1082" s="39">
        <v>4581011</v>
      </c>
      <c r="E1082" s="1" t="str">
        <f t="shared" si="32"/>
        <v>2025-12</v>
      </c>
      <c r="F1082" s="36">
        <f t="shared" si="33"/>
        <v>1.4742285641120567E-3</v>
      </c>
      <c r="G1082" s="1"/>
      <c r="H1082" s="1"/>
    </row>
    <row r="1083" spans="1:8" x14ac:dyDescent="0.3">
      <c r="A1083" s="26">
        <v>46015</v>
      </c>
      <c r="B1083" s="38" t="s">
        <v>67</v>
      </c>
      <c r="C1083" s="35">
        <v>397.30470000000003</v>
      </c>
      <c r="D1083" s="39">
        <v>0</v>
      </c>
      <c r="E1083" s="1" t="str">
        <f t="shared" si="32"/>
        <v>2025-12</v>
      </c>
      <c r="F1083" s="36">
        <f t="shared" si="33"/>
        <v>7.8506399763171864E-3</v>
      </c>
      <c r="G1083" s="1"/>
      <c r="H1083" s="1"/>
    </row>
    <row r="1084" spans="1:8" x14ac:dyDescent="0.3">
      <c r="A1084" s="26">
        <v>46020</v>
      </c>
      <c r="B1084" s="38" t="s">
        <v>67</v>
      </c>
      <c r="C1084" s="35">
        <v>394.79020000000003</v>
      </c>
      <c r="D1084" s="39">
        <v>3564631</v>
      </c>
      <c r="E1084" s="1" t="str">
        <f t="shared" si="32"/>
        <v>2025-12</v>
      </c>
      <c r="F1084" s="36">
        <f t="shared" si="33"/>
        <v>-6.3288956813246644E-3</v>
      </c>
      <c r="G1084" s="1"/>
      <c r="H1084" s="1"/>
    </row>
    <row r="1085" spans="1:8" x14ac:dyDescent="0.3">
      <c r="A1085" s="26">
        <v>46021</v>
      </c>
      <c r="B1085" s="38" t="s">
        <v>67</v>
      </c>
      <c r="C1085" s="35">
        <v>395.17700000000002</v>
      </c>
      <c r="D1085" s="39">
        <v>2919071</v>
      </c>
      <c r="E1085" s="1" t="str">
        <f t="shared" si="32"/>
        <v>2025-12</v>
      </c>
      <c r="F1085" s="36">
        <f t="shared" si="33"/>
        <v>9.7976089578710734E-4</v>
      </c>
      <c r="G1085" s="1"/>
      <c r="H1085" s="1"/>
    </row>
    <row r="1086" spans="1:8" x14ac:dyDescent="0.3">
      <c r="A1086" s="26">
        <v>46022</v>
      </c>
      <c r="B1086" s="38" t="s">
        <v>67</v>
      </c>
      <c r="C1086" s="35">
        <v>394.4033</v>
      </c>
      <c r="D1086" s="39">
        <v>0</v>
      </c>
      <c r="E1086" s="1" t="str">
        <f t="shared" si="32"/>
        <v>2025-12</v>
      </c>
      <c r="F1086" s="36">
        <f t="shared" si="33"/>
        <v>-1.9578568590783441E-3</v>
      </c>
      <c r="G1086" s="1"/>
      <c r="H1086" s="1"/>
    </row>
    <row r="1087" spans="1:8" x14ac:dyDescent="0.3">
      <c r="A1087" s="26">
        <v>46024</v>
      </c>
      <c r="B1087" s="38" t="s">
        <v>67</v>
      </c>
      <c r="C1087" s="35">
        <v>402.14049999999997</v>
      </c>
      <c r="D1087" s="39">
        <v>3592360</v>
      </c>
      <c r="E1087" s="1" t="str">
        <f t="shared" si="32"/>
        <v>2026-01</v>
      </c>
      <c r="F1087" s="36">
        <f t="shared" si="33"/>
        <v>1.9617482916598261E-2</v>
      </c>
      <c r="G1087" s="1"/>
      <c r="H1087" s="1"/>
    </row>
    <row r="1088" spans="1:8" x14ac:dyDescent="0.3">
      <c r="A1088" s="26">
        <v>46027</v>
      </c>
      <c r="B1088" s="38" t="s">
        <v>67</v>
      </c>
      <c r="C1088" s="35">
        <v>406.39600000000002</v>
      </c>
      <c r="D1088" s="39">
        <v>5966386</v>
      </c>
      <c r="E1088" s="1" t="str">
        <f t="shared" si="32"/>
        <v>2026-01</v>
      </c>
      <c r="F1088" s="36">
        <f t="shared" si="33"/>
        <v>1.0582122417413853E-2</v>
      </c>
      <c r="G1088" s="1"/>
      <c r="H1088" s="1"/>
    </row>
    <row r="1089" spans="1:8" x14ac:dyDescent="0.3">
      <c r="A1089" s="26">
        <v>46028</v>
      </c>
      <c r="B1089" s="38" t="s">
        <v>67</v>
      </c>
      <c r="C1089" s="35">
        <v>418.1952</v>
      </c>
      <c r="D1089" s="39">
        <v>9937060</v>
      </c>
      <c r="E1089" s="1" t="str">
        <f t="shared" si="32"/>
        <v>2026-01</v>
      </c>
      <c r="F1089" s="36">
        <f t="shared" si="33"/>
        <v>2.9033750332188246E-2</v>
      </c>
      <c r="G1089" s="1"/>
      <c r="H1089" s="1"/>
    </row>
    <row r="1090" spans="1:8" x14ac:dyDescent="0.3">
      <c r="A1090" s="26">
        <v>46029</v>
      </c>
      <c r="B1090" s="38" t="s">
        <v>67</v>
      </c>
      <c r="C1090" s="35">
        <v>416.06740000000002</v>
      </c>
      <c r="D1090" s="39">
        <v>4114142</v>
      </c>
      <c r="E1090" s="1" t="str">
        <f t="shared" ref="E1090:E1153" si="34">TEXT(A1090,"yyyy-mm")</f>
        <v>2026-01</v>
      </c>
      <c r="F1090" s="36">
        <f t="shared" si="33"/>
        <v>-5.0880545735579874E-3</v>
      </c>
      <c r="G1090" s="1"/>
      <c r="H1090" s="1"/>
    </row>
    <row r="1091" spans="1:8" x14ac:dyDescent="0.3">
      <c r="A1091" s="26">
        <v>46030</v>
      </c>
      <c r="B1091" s="38" t="s">
        <v>67</v>
      </c>
      <c r="C1091" s="35">
        <v>411.23169999999999</v>
      </c>
      <c r="D1091" s="39">
        <v>4720328</v>
      </c>
      <c r="E1091" s="1" t="str">
        <f t="shared" si="34"/>
        <v>2026-01</v>
      </c>
      <c r="F1091" s="36">
        <f t="shared" ref="F1091:F1154" si="35">IF(B1091=B1090,C1091/C1090-1,0)</f>
        <v>-1.1622395794527618E-2</v>
      </c>
      <c r="G1091" s="1"/>
      <c r="H1091" s="1"/>
    </row>
    <row r="1092" spans="1:8" x14ac:dyDescent="0.3">
      <c r="A1092" s="26">
        <v>46031</v>
      </c>
      <c r="B1092" s="38" t="s">
        <v>67</v>
      </c>
      <c r="C1092" s="35">
        <v>412.77910000000003</v>
      </c>
      <c r="D1092" s="39">
        <v>2784013</v>
      </c>
      <c r="E1092" s="1" t="str">
        <f t="shared" si="34"/>
        <v>2026-01</v>
      </c>
      <c r="F1092" s="36">
        <f t="shared" si="35"/>
        <v>3.7628422127964356E-3</v>
      </c>
      <c r="G1092" s="1"/>
      <c r="H1092" s="1"/>
    </row>
    <row r="1093" spans="1:8" x14ac:dyDescent="0.3">
      <c r="A1093" s="26">
        <v>46034</v>
      </c>
      <c r="B1093" s="38" t="s">
        <v>67</v>
      </c>
      <c r="C1093" s="35">
        <v>412.19889999999998</v>
      </c>
      <c r="D1093" s="39">
        <v>4506490</v>
      </c>
      <c r="E1093" s="1" t="str">
        <f t="shared" si="34"/>
        <v>2026-01</v>
      </c>
      <c r="F1093" s="36">
        <f t="shared" si="35"/>
        <v>-1.4055944208416493E-3</v>
      </c>
      <c r="G1093" s="1"/>
      <c r="H1093" s="1"/>
    </row>
    <row r="1094" spans="1:8" x14ac:dyDescent="0.3">
      <c r="A1094" s="26">
        <v>46035</v>
      </c>
      <c r="B1094" s="38" t="s">
        <v>67</v>
      </c>
      <c r="C1094" s="35">
        <v>417.61489999999998</v>
      </c>
      <c r="D1094" s="39">
        <v>6518576</v>
      </c>
      <c r="E1094" s="1" t="str">
        <f t="shared" si="34"/>
        <v>2026-01</v>
      </c>
      <c r="F1094" s="36">
        <f t="shared" si="35"/>
        <v>1.3139287853509485E-2</v>
      </c>
      <c r="G1094" s="1"/>
      <c r="H1094" s="1"/>
    </row>
    <row r="1095" spans="1:8" x14ac:dyDescent="0.3">
      <c r="A1095" s="26">
        <v>46036</v>
      </c>
      <c r="B1095" s="38" t="s">
        <v>67</v>
      </c>
      <c r="C1095" s="35">
        <v>420.5163</v>
      </c>
      <c r="D1095" s="39">
        <v>7276953</v>
      </c>
      <c r="E1095" s="1" t="str">
        <f t="shared" si="34"/>
        <v>2026-01</v>
      </c>
      <c r="F1095" s="36">
        <f t="shared" si="35"/>
        <v>6.9475490457835409E-3</v>
      </c>
      <c r="G1095" s="1"/>
      <c r="H1095" s="1"/>
    </row>
    <row r="1096" spans="1:8" x14ac:dyDescent="0.3">
      <c r="A1096" s="26">
        <v>46037</v>
      </c>
      <c r="B1096" s="38" t="s">
        <v>67</v>
      </c>
      <c r="C1096" s="35">
        <v>424.19150000000002</v>
      </c>
      <c r="D1096" s="39">
        <v>6027499</v>
      </c>
      <c r="E1096" s="1" t="str">
        <f t="shared" si="34"/>
        <v>2026-01</v>
      </c>
      <c r="F1096" s="36">
        <f t="shared" si="35"/>
        <v>8.7397325620910404E-3</v>
      </c>
      <c r="G1096" s="1"/>
      <c r="H1096" s="1"/>
    </row>
    <row r="1097" spans="1:8" x14ac:dyDescent="0.3">
      <c r="A1097" s="26">
        <v>46038</v>
      </c>
      <c r="B1097" s="38" t="s">
        <v>67</v>
      </c>
      <c r="C1097" s="35">
        <v>423.99799999999999</v>
      </c>
      <c r="D1097" s="39">
        <v>3234803</v>
      </c>
      <c r="E1097" s="1" t="str">
        <f t="shared" si="34"/>
        <v>2026-01</v>
      </c>
      <c r="F1097" s="36">
        <f t="shared" si="35"/>
        <v>-4.5616189857655698E-4</v>
      </c>
      <c r="G1097" s="1"/>
      <c r="H1097" s="1"/>
    </row>
    <row r="1098" spans="1:8" x14ac:dyDescent="0.3">
      <c r="A1098" s="26">
        <v>46041</v>
      </c>
      <c r="B1098" s="38" t="s">
        <v>67</v>
      </c>
      <c r="C1098" s="35">
        <v>417.61489999999998</v>
      </c>
      <c r="D1098" s="39">
        <v>2942636</v>
      </c>
      <c r="E1098" s="1" t="str">
        <f t="shared" si="34"/>
        <v>2026-01</v>
      </c>
      <c r="F1098" s="36">
        <f t="shared" si="35"/>
        <v>-1.5054552144113886E-2</v>
      </c>
      <c r="G1098" s="1"/>
      <c r="H1098" s="1"/>
    </row>
    <row r="1099" spans="1:8" x14ac:dyDescent="0.3">
      <c r="A1099" s="26">
        <v>46042</v>
      </c>
      <c r="B1099" s="38" t="s">
        <v>67</v>
      </c>
      <c r="C1099" s="35">
        <v>412.9726</v>
      </c>
      <c r="D1099" s="39">
        <v>3700867</v>
      </c>
      <c r="E1099" s="1" t="str">
        <f t="shared" si="34"/>
        <v>2026-01</v>
      </c>
      <c r="F1099" s="36">
        <f t="shared" si="35"/>
        <v>-1.1116222146288268E-2</v>
      </c>
      <c r="G1099" s="1"/>
      <c r="H1099" s="1"/>
    </row>
    <row r="1100" spans="1:8" x14ac:dyDescent="0.3">
      <c r="A1100" s="26">
        <v>46043</v>
      </c>
      <c r="B1100" s="38" t="s">
        <v>67</v>
      </c>
      <c r="C1100" s="35">
        <v>413.35939999999999</v>
      </c>
      <c r="D1100" s="39">
        <v>3019751</v>
      </c>
      <c r="E1100" s="1" t="str">
        <f t="shared" si="34"/>
        <v>2026-01</v>
      </c>
      <c r="F1100" s="36">
        <f t="shared" si="35"/>
        <v>9.3662388255300044E-4</v>
      </c>
      <c r="G1100" s="1"/>
      <c r="H1100" s="1"/>
    </row>
    <row r="1101" spans="1:8" x14ac:dyDescent="0.3">
      <c r="A1101" s="26">
        <v>46044</v>
      </c>
      <c r="B1101" s="38" t="s">
        <v>67</v>
      </c>
      <c r="C1101" s="35">
        <v>412.39229999999998</v>
      </c>
      <c r="D1101" s="39">
        <v>2439004</v>
      </c>
      <c r="E1101" s="1" t="str">
        <f t="shared" si="34"/>
        <v>2026-01</v>
      </c>
      <c r="F1101" s="36">
        <f t="shared" si="35"/>
        <v>-2.339610518110935E-3</v>
      </c>
      <c r="G1101" s="1"/>
      <c r="H1101" s="1"/>
    </row>
    <row r="1102" spans="1:8" x14ac:dyDescent="0.3">
      <c r="A1102" s="26">
        <v>46045</v>
      </c>
      <c r="B1102" s="38" t="s">
        <v>67</v>
      </c>
      <c r="C1102" s="35">
        <v>408.13679999999999</v>
      </c>
      <c r="D1102" s="39">
        <v>5944903</v>
      </c>
      <c r="E1102" s="1" t="str">
        <f t="shared" si="34"/>
        <v>2026-01</v>
      </c>
      <c r="F1102" s="36">
        <f t="shared" si="35"/>
        <v>-1.0319057848558244E-2</v>
      </c>
      <c r="G1102" s="1"/>
      <c r="H1102" s="1"/>
    </row>
    <row r="1103" spans="1:8" x14ac:dyDescent="0.3">
      <c r="A1103" s="26">
        <v>46048</v>
      </c>
      <c r="B1103" s="38" t="s">
        <v>67</v>
      </c>
      <c r="C1103" s="35">
        <v>409.10399999999998</v>
      </c>
      <c r="D1103" s="39">
        <v>3461517</v>
      </c>
      <c r="E1103" s="1" t="str">
        <f t="shared" si="34"/>
        <v>2026-01</v>
      </c>
      <c r="F1103" s="36">
        <f t="shared" si="35"/>
        <v>2.3697936574207379E-3</v>
      </c>
      <c r="G1103" s="1"/>
      <c r="H1103" s="1"/>
    </row>
    <row r="1104" spans="1:8" x14ac:dyDescent="0.3">
      <c r="A1104" s="26">
        <v>46049</v>
      </c>
      <c r="B1104" s="38" t="s">
        <v>67</v>
      </c>
      <c r="C1104" s="35">
        <v>416.26080000000002</v>
      </c>
      <c r="D1104" s="39">
        <v>4713965</v>
      </c>
      <c r="E1104" s="1" t="str">
        <f t="shared" si="34"/>
        <v>2026-01</v>
      </c>
      <c r="F1104" s="36">
        <f t="shared" si="35"/>
        <v>1.7493840197113864E-2</v>
      </c>
      <c r="G1104" s="1"/>
      <c r="H1104" s="1"/>
    </row>
    <row r="1105" spans="1:8" x14ac:dyDescent="0.3">
      <c r="A1105" s="26">
        <v>46050</v>
      </c>
      <c r="B1105" s="38" t="s">
        <v>67</v>
      </c>
      <c r="C1105" s="35">
        <v>424.77179999999998</v>
      </c>
      <c r="D1105" s="39">
        <v>7848056</v>
      </c>
      <c r="E1105" s="1" t="str">
        <f t="shared" si="34"/>
        <v>2026-01</v>
      </c>
      <c r="F1105" s="36">
        <f t="shared" si="35"/>
        <v>2.044631634782812E-2</v>
      </c>
      <c r="G1105" s="1"/>
      <c r="H1105" s="1"/>
    </row>
    <row r="1106" spans="1:8" x14ac:dyDescent="0.3">
      <c r="A1106" s="26">
        <v>46051</v>
      </c>
      <c r="B1106" s="38" t="s">
        <v>67</v>
      </c>
      <c r="C1106" s="35">
        <v>429.60750000000002</v>
      </c>
      <c r="D1106" s="39">
        <v>7243158</v>
      </c>
      <c r="E1106" s="1" t="str">
        <f t="shared" si="34"/>
        <v>2026-01</v>
      </c>
      <c r="F1106" s="36">
        <f t="shared" si="35"/>
        <v>1.1384230309074317E-2</v>
      </c>
      <c r="G1106" s="1"/>
      <c r="H1106" s="1"/>
    </row>
    <row r="1107" spans="1:8" x14ac:dyDescent="0.3">
      <c r="A1107" s="26">
        <v>46052</v>
      </c>
      <c r="B1107" s="38" t="s">
        <v>67</v>
      </c>
      <c r="C1107" s="35">
        <v>418.00170000000003</v>
      </c>
      <c r="D1107" s="39">
        <v>6051744</v>
      </c>
      <c r="E1107" s="1" t="str">
        <f t="shared" si="34"/>
        <v>2026-01</v>
      </c>
      <c r="F1107" s="36">
        <f t="shared" si="35"/>
        <v>-2.7014891499799187E-2</v>
      </c>
      <c r="G1107" s="1"/>
      <c r="H1107" s="1"/>
    </row>
    <row r="1108" spans="1:8" x14ac:dyDescent="0.3">
      <c r="A1108" s="26">
        <v>46055</v>
      </c>
      <c r="B1108" s="38" t="s">
        <v>67</v>
      </c>
      <c r="C1108" s="35">
        <v>410.26459999999997</v>
      </c>
      <c r="D1108" s="39">
        <v>5654965</v>
      </c>
      <c r="E1108" s="1" t="str">
        <f t="shared" si="34"/>
        <v>2026-02</v>
      </c>
      <c r="F1108" s="36">
        <f t="shared" si="35"/>
        <v>-1.8509733333620493E-2</v>
      </c>
      <c r="G1108" s="1"/>
      <c r="H1108" s="1"/>
    </row>
    <row r="1109" spans="1:8" x14ac:dyDescent="0.3">
      <c r="A1109" s="26">
        <v>46056</v>
      </c>
      <c r="B1109" s="38" t="s">
        <v>67</v>
      </c>
      <c r="C1109" s="35">
        <v>408.13679999999999</v>
      </c>
      <c r="D1109" s="39">
        <v>5866482</v>
      </c>
      <c r="E1109" s="1" t="str">
        <f t="shared" si="34"/>
        <v>2026-02</v>
      </c>
      <c r="F1109" s="36">
        <f t="shared" si="35"/>
        <v>-5.1864089663109514E-3</v>
      </c>
      <c r="G1109" s="1"/>
      <c r="H1109" s="1"/>
    </row>
    <row r="1110" spans="1:8" x14ac:dyDescent="0.3">
      <c r="A1110" s="26">
        <v>46057</v>
      </c>
      <c r="B1110" s="38" t="s">
        <v>67</v>
      </c>
      <c r="C1110" s="35">
        <v>406.39600000000002</v>
      </c>
      <c r="D1110" s="39">
        <v>3748322</v>
      </c>
      <c r="E1110" s="1" t="str">
        <f t="shared" si="34"/>
        <v>2026-02</v>
      </c>
      <c r="F1110" s="36">
        <f t="shared" si="35"/>
        <v>-4.2652365579383122E-3</v>
      </c>
      <c r="G1110" s="1"/>
      <c r="H1110" s="1"/>
    </row>
    <row r="1111" spans="1:8" x14ac:dyDescent="0.3">
      <c r="A1111" s="26">
        <v>46058</v>
      </c>
      <c r="B1111" s="38" t="s">
        <v>67</v>
      </c>
      <c r="C1111" s="35">
        <v>400.78649999999999</v>
      </c>
      <c r="D1111" s="39">
        <v>7204623</v>
      </c>
      <c r="E1111" s="1" t="str">
        <f t="shared" si="34"/>
        <v>2026-02</v>
      </c>
      <c r="F1111" s="36">
        <f t="shared" si="35"/>
        <v>-1.3803039399994166E-2</v>
      </c>
      <c r="G1111" s="1"/>
      <c r="H1111" s="1"/>
    </row>
    <row r="1112" spans="1:8" x14ac:dyDescent="0.3">
      <c r="A1112" s="26">
        <v>46059</v>
      </c>
      <c r="B1112" s="38" t="s">
        <v>67</v>
      </c>
      <c r="C1112" s="35">
        <v>394.2099</v>
      </c>
      <c r="D1112" s="39">
        <v>7417464</v>
      </c>
      <c r="E1112" s="1" t="str">
        <f t="shared" si="34"/>
        <v>2026-02</v>
      </c>
      <c r="F1112" s="36">
        <f t="shared" si="35"/>
        <v>-1.6409235341010686E-2</v>
      </c>
      <c r="G1112" s="1"/>
      <c r="H1112" s="1"/>
    </row>
    <row r="1113" spans="1:8" x14ac:dyDescent="0.3">
      <c r="A1113" s="26">
        <v>46062</v>
      </c>
      <c r="B1113" s="38" t="s">
        <v>67</v>
      </c>
      <c r="C1113" s="35">
        <v>404.8485</v>
      </c>
      <c r="D1113" s="39">
        <v>4200519</v>
      </c>
      <c r="E1113" s="1" t="str">
        <f t="shared" si="34"/>
        <v>2026-02</v>
      </c>
      <c r="F1113" s="36">
        <f t="shared" si="35"/>
        <v>2.6987145680511748E-2</v>
      </c>
      <c r="G1113" s="1"/>
      <c r="H1113" s="1"/>
    </row>
    <row r="1114" spans="1:8" x14ac:dyDescent="0.3">
      <c r="A1114" s="26">
        <v>46063</v>
      </c>
      <c r="B1114" s="38" t="s">
        <v>67</v>
      </c>
      <c r="C1114" s="35">
        <v>403.49450000000002</v>
      </c>
      <c r="D1114" s="39">
        <v>3091696</v>
      </c>
      <c r="E1114" s="1" t="str">
        <f t="shared" si="34"/>
        <v>2026-02</v>
      </c>
      <c r="F1114" s="36">
        <f t="shared" si="35"/>
        <v>-3.344460952677375E-3</v>
      </c>
      <c r="G1114" s="1"/>
      <c r="H1114" s="1"/>
    </row>
    <row r="1115" spans="1:8" x14ac:dyDescent="0.3">
      <c r="A1115" s="26">
        <v>46064</v>
      </c>
      <c r="B1115" s="38" t="s">
        <v>67</v>
      </c>
      <c r="C1115" s="35">
        <v>404.26819999999998</v>
      </c>
      <c r="D1115" s="39">
        <v>1963348</v>
      </c>
      <c r="E1115" s="1" t="str">
        <f t="shared" si="34"/>
        <v>2026-02</v>
      </c>
      <c r="F1115" s="36">
        <f t="shared" si="35"/>
        <v>1.9174982558620712E-3</v>
      </c>
      <c r="G1115" s="1"/>
      <c r="H1115" s="1"/>
    </row>
    <row r="1116" spans="1:8" x14ac:dyDescent="0.3">
      <c r="A1116" s="26">
        <v>46065</v>
      </c>
      <c r="B1116" s="38" t="s">
        <v>67</v>
      </c>
      <c r="C1116" s="35">
        <v>400.39960000000002</v>
      </c>
      <c r="D1116" s="39">
        <v>3266535</v>
      </c>
      <c r="E1116" s="1" t="str">
        <f t="shared" si="34"/>
        <v>2026-02</v>
      </c>
      <c r="F1116" s="36">
        <f t="shared" si="35"/>
        <v>-9.5693898258629728E-3</v>
      </c>
      <c r="G1116" s="1"/>
      <c r="H1116" s="1"/>
    </row>
    <row r="1117" spans="1:8" x14ac:dyDescent="0.3">
      <c r="A1117" s="26">
        <v>46066</v>
      </c>
      <c r="B1117" s="38" t="s">
        <v>67</v>
      </c>
      <c r="C1117" s="35">
        <v>391.88869999999997</v>
      </c>
      <c r="D1117" s="39">
        <v>8865258</v>
      </c>
      <c r="E1117" s="1" t="str">
        <f t="shared" si="34"/>
        <v>2026-02</v>
      </c>
      <c r="F1117" s="36">
        <f t="shared" si="35"/>
        <v>-2.1256015240774584E-2</v>
      </c>
      <c r="G1117" s="1"/>
      <c r="H1117" s="1"/>
    </row>
    <row r="1118" spans="1:8" x14ac:dyDescent="0.3">
      <c r="A1118" s="26">
        <v>46069</v>
      </c>
      <c r="B1118" s="38" t="s">
        <v>67</v>
      </c>
      <c r="C1118" s="35">
        <v>395.37040000000002</v>
      </c>
      <c r="D1118" s="39">
        <v>0</v>
      </c>
      <c r="E1118" s="1" t="str">
        <f t="shared" si="34"/>
        <v>2026-02</v>
      </c>
      <c r="F1118" s="36">
        <f t="shared" si="35"/>
        <v>8.8844102930245583E-3</v>
      </c>
      <c r="G1118" s="1"/>
      <c r="H1118" s="1"/>
    </row>
    <row r="1119" spans="1:8" x14ac:dyDescent="0.3">
      <c r="A1119" s="26">
        <v>46073</v>
      </c>
      <c r="B1119" s="38" t="s">
        <v>67</v>
      </c>
      <c r="C1119" s="35">
        <v>394.4033</v>
      </c>
      <c r="D1119" s="39">
        <v>3879006</v>
      </c>
      <c r="E1119" s="1" t="str">
        <f t="shared" si="34"/>
        <v>2026-02</v>
      </c>
      <c r="F1119" s="36">
        <f t="shared" si="35"/>
        <v>-2.4460607066184581E-3</v>
      </c>
      <c r="G1119" s="1"/>
      <c r="H1119" s="1"/>
    </row>
    <row r="1120" spans="1:8" x14ac:dyDescent="0.3">
      <c r="A1120" s="26">
        <v>46076</v>
      </c>
      <c r="B1120" s="38" t="s">
        <v>67</v>
      </c>
      <c r="C1120" s="35">
        <v>404.07479999999998</v>
      </c>
      <c r="D1120" s="39">
        <v>4059158</v>
      </c>
      <c r="E1120" s="1" t="str">
        <f t="shared" si="34"/>
        <v>2026-02</v>
      </c>
      <c r="F1120" s="36">
        <f t="shared" si="35"/>
        <v>2.4521853645747882E-2</v>
      </c>
      <c r="G1120" s="1"/>
      <c r="H1120" s="1"/>
    </row>
    <row r="1121" spans="1:8" x14ac:dyDescent="0.3">
      <c r="A1121" s="26">
        <v>46077</v>
      </c>
      <c r="B1121" s="38" t="s">
        <v>67</v>
      </c>
      <c r="C1121" s="35">
        <v>400.01280000000003</v>
      </c>
      <c r="D1121" s="39">
        <v>4006411</v>
      </c>
      <c r="E1121" s="1" t="str">
        <f t="shared" si="34"/>
        <v>2026-02</v>
      </c>
      <c r="F1121" s="36">
        <f t="shared" si="35"/>
        <v>-1.0052594222653699E-2</v>
      </c>
      <c r="G1121" s="1"/>
      <c r="H1121" s="1"/>
    </row>
    <row r="1122" spans="1:8" x14ac:dyDescent="0.3">
      <c r="A1122" s="26">
        <v>46078</v>
      </c>
      <c r="B1122" s="38" t="s">
        <v>67</v>
      </c>
      <c r="C1122" s="35">
        <v>398.65879999999999</v>
      </c>
      <c r="D1122" s="39">
        <v>4338287</v>
      </c>
      <c r="E1122" s="1" t="str">
        <f t="shared" si="34"/>
        <v>2026-02</v>
      </c>
      <c r="F1122" s="36">
        <f t="shared" si="35"/>
        <v>-3.384891683466229E-3</v>
      </c>
      <c r="G1122" s="1"/>
      <c r="H1122" s="1"/>
    </row>
    <row r="1123" spans="1:8" x14ac:dyDescent="0.3">
      <c r="A1123" s="26">
        <v>46079</v>
      </c>
      <c r="B1123" s="38" t="s">
        <v>67</v>
      </c>
      <c r="C1123" s="35">
        <v>401.75360000000001</v>
      </c>
      <c r="D1123" s="39">
        <v>8347844</v>
      </c>
      <c r="E1123" s="1" t="str">
        <f t="shared" si="34"/>
        <v>2026-02</v>
      </c>
      <c r="F1123" s="36">
        <f t="shared" si="35"/>
        <v>7.7630294377046827E-3</v>
      </c>
      <c r="G1123" s="1"/>
      <c r="H1123" s="1"/>
    </row>
    <row r="1124" spans="1:8" x14ac:dyDescent="0.3">
      <c r="A1124" s="26">
        <v>46080</v>
      </c>
      <c r="B1124" s="38" t="s">
        <v>67</v>
      </c>
      <c r="C1124" s="35">
        <v>405.23540000000003</v>
      </c>
      <c r="D1124" s="39">
        <v>5886748</v>
      </c>
      <c r="E1124" s="1" t="str">
        <f t="shared" si="34"/>
        <v>2026-02</v>
      </c>
      <c r="F1124" s="36">
        <f t="shared" si="35"/>
        <v>8.6665060375314962E-3</v>
      </c>
      <c r="G1124" s="1"/>
      <c r="H1124" s="1"/>
    </row>
    <row r="1125" spans="1:8" x14ac:dyDescent="0.3">
      <c r="A1125" s="26">
        <v>46083</v>
      </c>
      <c r="B1125" s="38" t="s">
        <v>67</v>
      </c>
      <c r="C1125" s="35">
        <v>397.4982</v>
      </c>
      <c r="D1125" s="39">
        <v>5733059</v>
      </c>
      <c r="E1125" s="1" t="str">
        <f t="shared" si="34"/>
        <v>2026-03</v>
      </c>
      <c r="F1125" s="36">
        <f t="shared" si="35"/>
        <v>-1.9093099961158488E-2</v>
      </c>
      <c r="G1125" s="1"/>
      <c r="H1125" s="1"/>
    </row>
    <row r="1126" spans="1:8" x14ac:dyDescent="0.3">
      <c r="A1126" s="26">
        <v>46084</v>
      </c>
      <c r="B1126" s="38" t="s">
        <v>67</v>
      </c>
      <c r="C1126" s="35">
        <v>395.95069999999998</v>
      </c>
      <c r="D1126" s="39">
        <v>4789309</v>
      </c>
      <c r="E1126" s="1" t="str">
        <f t="shared" si="34"/>
        <v>2026-03</v>
      </c>
      <c r="F1126" s="36">
        <f t="shared" si="35"/>
        <v>-3.8930993901356015E-3</v>
      </c>
      <c r="G1126" s="1"/>
      <c r="H1126" s="1"/>
    </row>
    <row r="1127" spans="1:8" x14ac:dyDescent="0.3">
      <c r="A1127" s="26">
        <v>46085</v>
      </c>
      <c r="B1127" s="38" t="s">
        <v>67</v>
      </c>
      <c r="C1127" s="35">
        <v>391.50189999999998</v>
      </c>
      <c r="D1127" s="39">
        <v>8824720</v>
      </c>
      <c r="E1127" s="1" t="str">
        <f t="shared" si="34"/>
        <v>2026-03</v>
      </c>
      <c r="F1127" s="36">
        <f t="shared" si="35"/>
        <v>-1.1235742227504564E-2</v>
      </c>
      <c r="G1127" s="1"/>
      <c r="H1127" s="1"/>
    </row>
    <row r="1128" spans="1:8" x14ac:dyDescent="0.3">
      <c r="A1128" s="26">
        <v>46086</v>
      </c>
      <c r="B1128" s="38" t="s">
        <v>67</v>
      </c>
      <c r="C1128" s="35">
        <v>394.01639999999998</v>
      </c>
      <c r="D1128" s="39">
        <v>6799645</v>
      </c>
      <c r="E1128" s="1" t="str">
        <f t="shared" si="34"/>
        <v>2026-03</v>
      </c>
      <c r="F1128" s="36">
        <f t="shared" si="35"/>
        <v>6.4227019077045533E-3</v>
      </c>
      <c r="G1128" s="1"/>
      <c r="H1128" s="1"/>
    </row>
    <row r="1129" spans="1:8" x14ac:dyDescent="0.3">
      <c r="A1129" s="26">
        <v>46087</v>
      </c>
      <c r="B1129" s="38" t="s">
        <v>67</v>
      </c>
      <c r="C1129" s="35">
        <v>401.36680000000001</v>
      </c>
      <c r="D1129" s="39">
        <v>5327704</v>
      </c>
      <c r="E1129" s="1" t="str">
        <f t="shared" si="34"/>
        <v>2026-03</v>
      </c>
      <c r="F1129" s="36">
        <f t="shared" si="35"/>
        <v>1.8655061058372224E-2</v>
      </c>
      <c r="G1129" s="1"/>
      <c r="H1129" s="1"/>
    </row>
    <row r="1130" spans="1:8" x14ac:dyDescent="0.3">
      <c r="A1130" s="26">
        <v>46090</v>
      </c>
      <c r="B1130" s="38" t="s">
        <v>67</v>
      </c>
      <c r="C1130" s="35">
        <v>393.62959999999998</v>
      </c>
      <c r="D1130" s="39">
        <v>7514150</v>
      </c>
      <c r="E1130" s="1" t="str">
        <f t="shared" si="34"/>
        <v>2026-03</v>
      </c>
      <c r="F1130" s="36">
        <f t="shared" si="35"/>
        <v>-1.9277130046630786E-2</v>
      </c>
      <c r="G1130" s="1"/>
      <c r="H1130" s="1"/>
    </row>
    <row r="1131" spans="1:8" x14ac:dyDescent="0.3">
      <c r="A1131" s="26">
        <v>46091</v>
      </c>
      <c r="B1131" s="38" t="s">
        <v>67</v>
      </c>
      <c r="C1131" s="35">
        <v>402.91419999999999</v>
      </c>
      <c r="D1131" s="39">
        <v>5820906</v>
      </c>
      <c r="E1131" s="1" t="str">
        <f t="shared" si="34"/>
        <v>2026-03</v>
      </c>
      <c r="F1131" s="36">
        <f t="shared" si="35"/>
        <v>2.3587148933921664E-2</v>
      </c>
      <c r="G1131" s="1"/>
      <c r="H1131" s="1"/>
    </row>
    <row r="1132" spans="1:8" x14ac:dyDescent="0.3">
      <c r="A1132" s="26">
        <v>46092</v>
      </c>
      <c r="B1132" s="38" t="s">
        <v>67</v>
      </c>
      <c r="C1132" s="35">
        <v>404.21120000000002</v>
      </c>
      <c r="D1132" s="39">
        <v>3011930</v>
      </c>
      <c r="E1132" s="1" t="str">
        <f t="shared" si="34"/>
        <v>2026-03</v>
      </c>
      <c r="F1132" s="36">
        <f t="shared" si="35"/>
        <v>3.2190476285025582E-3</v>
      </c>
      <c r="G1132" s="1"/>
      <c r="H1132" s="1"/>
    </row>
    <row r="1133" spans="1:8" x14ac:dyDescent="0.3">
      <c r="A1133" s="26">
        <v>46093</v>
      </c>
      <c r="B1133" s="38" t="s">
        <v>67</v>
      </c>
      <c r="C1133" s="35">
        <v>399.29849999999999</v>
      </c>
      <c r="D1133" s="39">
        <v>4109636</v>
      </c>
      <c r="E1133" s="1" t="str">
        <f t="shared" si="34"/>
        <v>2026-03</v>
      </c>
      <c r="F1133" s="36">
        <f t="shared" si="35"/>
        <v>-1.2153794847841959E-2</v>
      </c>
      <c r="G1133" s="1"/>
      <c r="H1133" s="1"/>
    </row>
    <row r="1134" spans="1:8" x14ac:dyDescent="0.3">
      <c r="A1134" s="26">
        <v>46094</v>
      </c>
      <c r="B1134" s="38" t="s">
        <v>67</v>
      </c>
      <c r="C1134" s="35">
        <v>394.38589999999999</v>
      </c>
      <c r="D1134" s="39">
        <v>3234997</v>
      </c>
      <c r="E1134" s="1" t="str">
        <f t="shared" si="34"/>
        <v>2026-03</v>
      </c>
      <c r="F1134" s="36">
        <f t="shared" si="35"/>
        <v>-1.2303076520447709E-2</v>
      </c>
      <c r="G1134" s="1"/>
      <c r="H1134" s="1"/>
    </row>
    <row r="1135" spans="1:8" x14ac:dyDescent="0.3">
      <c r="A1135" s="26">
        <v>46097</v>
      </c>
      <c r="B1135" s="38" t="s">
        <v>67</v>
      </c>
      <c r="C1135" s="35">
        <v>399.10199999999998</v>
      </c>
      <c r="D1135" s="39">
        <v>5443139</v>
      </c>
      <c r="E1135" s="1" t="str">
        <f t="shared" si="34"/>
        <v>2026-03</v>
      </c>
      <c r="F1135" s="36">
        <f t="shared" si="35"/>
        <v>1.1958084708403538E-2</v>
      </c>
      <c r="G1135" s="1"/>
      <c r="H1135" s="1"/>
    </row>
    <row r="1136" spans="1:8" x14ac:dyDescent="0.3">
      <c r="A1136" s="26">
        <v>46098</v>
      </c>
      <c r="B1136" s="38" t="s">
        <v>67</v>
      </c>
      <c r="C1136" s="35">
        <v>397.33350000000002</v>
      </c>
      <c r="D1136" s="39">
        <v>4666977</v>
      </c>
      <c r="E1136" s="1" t="str">
        <f t="shared" si="34"/>
        <v>2026-03</v>
      </c>
      <c r="F1136" s="36">
        <f t="shared" si="35"/>
        <v>-4.4311980395987938E-3</v>
      </c>
      <c r="G1136" s="1"/>
      <c r="H1136" s="1"/>
    </row>
    <row r="1137" spans="1:8" x14ac:dyDescent="0.3">
      <c r="A1137" s="26">
        <v>46099</v>
      </c>
      <c r="B1137" s="38" t="s">
        <v>67</v>
      </c>
      <c r="C1137" s="35">
        <v>395.76139999999998</v>
      </c>
      <c r="D1137" s="39">
        <v>3641560</v>
      </c>
      <c r="E1137" s="1" t="str">
        <f t="shared" si="34"/>
        <v>2026-03</v>
      </c>
      <c r="F1137" s="36">
        <f t="shared" si="35"/>
        <v>-3.9566258571200885E-3</v>
      </c>
      <c r="G1137" s="1"/>
      <c r="H1137" s="1"/>
    </row>
    <row r="1138" spans="1:8" x14ac:dyDescent="0.3">
      <c r="A1138" s="26">
        <v>46100</v>
      </c>
      <c r="B1138" s="38" t="s">
        <v>67</v>
      </c>
      <c r="C1138" s="35">
        <v>391.63479999999998</v>
      </c>
      <c r="D1138" s="39">
        <v>4273349</v>
      </c>
      <c r="E1138" s="1" t="str">
        <f t="shared" si="34"/>
        <v>2026-03</v>
      </c>
      <c r="F1138" s="36">
        <f t="shared" si="35"/>
        <v>-1.0426989595246017E-2</v>
      </c>
      <c r="G1138" s="1"/>
      <c r="H1138" s="1"/>
    </row>
    <row r="1139" spans="1:8" x14ac:dyDescent="0.3">
      <c r="A1139" s="26">
        <v>46101</v>
      </c>
      <c r="B1139" s="38" t="s">
        <v>67</v>
      </c>
      <c r="C1139" s="35">
        <v>389.08030000000002</v>
      </c>
      <c r="D1139" s="39">
        <v>4416051</v>
      </c>
      <c r="E1139" s="1" t="str">
        <f t="shared" si="34"/>
        <v>2026-03</v>
      </c>
      <c r="F1139" s="36">
        <f t="shared" si="35"/>
        <v>-6.5226583541604377E-3</v>
      </c>
      <c r="G1139" s="1"/>
      <c r="H1139" s="1"/>
    </row>
    <row r="1140" spans="1:8" x14ac:dyDescent="0.3">
      <c r="A1140" s="26">
        <v>46104</v>
      </c>
      <c r="B1140" s="38" t="s">
        <v>67</v>
      </c>
      <c r="C1140" s="35">
        <v>375.9144</v>
      </c>
      <c r="D1140" s="39">
        <v>10938196</v>
      </c>
      <c r="E1140" s="1" t="str">
        <f t="shared" si="34"/>
        <v>2026-03</v>
      </c>
      <c r="F1140" s="36">
        <f t="shared" si="35"/>
        <v>-3.3838516110941685E-2</v>
      </c>
      <c r="G1140" s="1"/>
      <c r="H1140" s="1"/>
    </row>
    <row r="1141" spans="1:8" x14ac:dyDescent="0.3">
      <c r="A1141" s="26">
        <v>46105</v>
      </c>
      <c r="B1141" s="38" t="s">
        <v>67</v>
      </c>
      <c r="C1141" s="35">
        <v>384.75709999999998</v>
      </c>
      <c r="D1141" s="39">
        <v>5441353</v>
      </c>
      <c r="E1141" s="1" t="str">
        <f t="shared" si="34"/>
        <v>2026-03</v>
      </c>
      <c r="F1141" s="36">
        <f t="shared" si="35"/>
        <v>2.3523174424815885E-2</v>
      </c>
      <c r="G1141" s="1"/>
      <c r="H1141" s="1"/>
    </row>
    <row r="1142" spans="1:8" x14ac:dyDescent="0.3">
      <c r="A1142" s="26">
        <v>46106</v>
      </c>
      <c r="B1142" s="38" t="s">
        <v>67</v>
      </c>
      <c r="C1142" s="35">
        <v>391.0453</v>
      </c>
      <c r="D1142" s="39">
        <v>4488853</v>
      </c>
      <c r="E1142" s="1" t="str">
        <f t="shared" si="34"/>
        <v>2026-03</v>
      </c>
      <c r="F1142" s="36">
        <f t="shared" si="35"/>
        <v>1.6343298148364216E-2</v>
      </c>
      <c r="G1142" s="1"/>
      <c r="H1142" s="1"/>
    </row>
    <row r="1143" spans="1:8" x14ac:dyDescent="0.3">
      <c r="A1143" s="26">
        <v>46107</v>
      </c>
      <c r="B1143" s="38" t="s">
        <v>67</v>
      </c>
      <c r="C1143" s="35">
        <v>383.77460000000002</v>
      </c>
      <c r="D1143" s="39">
        <v>3501779</v>
      </c>
      <c r="E1143" s="1" t="str">
        <f t="shared" si="34"/>
        <v>2026-03</v>
      </c>
      <c r="F1143" s="36">
        <f t="shared" si="35"/>
        <v>-1.8592986541456913E-2</v>
      </c>
      <c r="G1143" s="1"/>
      <c r="H1143" s="1"/>
    </row>
    <row r="1144" spans="1:8" x14ac:dyDescent="0.3">
      <c r="A1144" s="26">
        <v>46108</v>
      </c>
      <c r="B1144" s="38" t="s">
        <v>67</v>
      </c>
      <c r="C1144" s="35">
        <v>383.57810000000001</v>
      </c>
      <c r="D1144" s="39">
        <v>2860204</v>
      </c>
      <c r="E1144" s="1" t="str">
        <f t="shared" si="34"/>
        <v>2026-03</v>
      </c>
      <c r="F1144" s="36">
        <f t="shared" si="35"/>
        <v>-5.1201929465893858E-4</v>
      </c>
      <c r="G1144" s="1"/>
      <c r="H1144" s="1"/>
    </row>
    <row r="1145" spans="1:8" x14ac:dyDescent="0.3">
      <c r="A1145" s="26">
        <v>46111</v>
      </c>
      <c r="B1145" s="38" t="s">
        <v>67</v>
      </c>
      <c r="C1145" s="35">
        <v>375.71789999999999</v>
      </c>
      <c r="D1145" s="39">
        <v>4574428</v>
      </c>
      <c r="E1145" s="1" t="str">
        <f t="shared" si="34"/>
        <v>2026-03</v>
      </c>
      <c r="F1145" s="36">
        <f t="shared" si="35"/>
        <v>-2.049178511494798E-2</v>
      </c>
      <c r="G1145" s="1"/>
      <c r="H1145" s="1"/>
    </row>
    <row r="1146" spans="1:8" x14ac:dyDescent="0.3">
      <c r="A1146" s="26">
        <v>46112</v>
      </c>
      <c r="B1146" s="38" t="s">
        <v>67</v>
      </c>
      <c r="C1146" s="35">
        <v>381.80959999999999</v>
      </c>
      <c r="D1146" s="39">
        <v>4259147</v>
      </c>
      <c r="E1146" s="1" t="str">
        <f t="shared" si="34"/>
        <v>2026-03</v>
      </c>
      <c r="F1146" s="36">
        <f t="shared" si="35"/>
        <v>1.6213494219998514E-2</v>
      </c>
      <c r="G1146" s="1"/>
      <c r="H1146" s="1"/>
    </row>
    <row r="1147" spans="1:8" x14ac:dyDescent="0.3">
      <c r="A1147" s="26">
        <v>46113</v>
      </c>
      <c r="B1147" s="38" t="s">
        <v>67</v>
      </c>
      <c r="C1147" s="35">
        <v>393.40339999999998</v>
      </c>
      <c r="D1147" s="39">
        <v>6870429</v>
      </c>
      <c r="E1147" s="1" t="str">
        <f t="shared" si="34"/>
        <v>2026-04</v>
      </c>
      <c r="F1147" s="36">
        <f t="shared" si="35"/>
        <v>3.0365396784156173E-2</v>
      </c>
      <c r="G1147" s="1"/>
      <c r="H1147" s="1"/>
    </row>
    <row r="1148" spans="1:8" x14ac:dyDescent="0.3">
      <c r="A1148" s="26">
        <v>46114</v>
      </c>
      <c r="B1148" s="38" t="s">
        <v>67</v>
      </c>
      <c r="C1148" s="35">
        <v>389.08030000000002</v>
      </c>
      <c r="D1148" s="39">
        <v>2452688</v>
      </c>
      <c r="E1148" s="1" t="str">
        <f t="shared" si="34"/>
        <v>2026-04</v>
      </c>
      <c r="F1148" s="36">
        <f t="shared" si="35"/>
        <v>-1.0988974675866903E-2</v>
      </c>
      <c r="G1148" s="1"/>
      <c r="H1148" s="1"/>
    </row>
    <row r="1149" spans="1:8" x14ac:dyDescent="0.3">
      <c r="A1149" s="26">
        <v>46120</v>
      </c>
      <c r="B1149" s="38" t="s">
        <v>67</v>
      </c>
      <c r="C1149" s="35">
        <v>405.19369999999998</v>
      </c>
      <c r="D1149" s="39">
        <v>10315187</v>
      </c>
      <c r="E1149" s="1" t="str">
        <f t="shared" si="34"/>
        <v>2026-04</v>
      </c>
      <c r="F1149" s="36">
        <f t="shared" si="35"/>
        <v>4.1414073136059493E-2</v>
      </c>
      <c r="G1149" s="1"/>
      <c r="H1149" s="1"/>
    </row>
    <row r="1150" spans="1:8" x14ac:dyDescent="0.3">
      <c r="A1150" s="26">
        <v>46121</v>
      </c>
      <c r="B1150" s="38" t="s">
        <v>67</v>
      </c>
      <c r="C1150" s="35">
        <v>401.06709999999998</v>
      </c>
      <c r="D1150" s="39">
        <v>4120012</v>
      </c>
      <c r="E1150" s="1" t="str">
        <f t="shared" si="34"/>
        <v>2026-04</v>
      </c>
      <c r="F1150" s="36">
        <f t="shared" si="35"/>
        <v>-1.0184264957722733E-2</v>
      </c>
      <c r="G1150" s="1"/>
      <c r="H1150" s="1"/>
    </row>
    <row r="1151" spans="1:8" x14ac:dyDescent="0.3">
      <c r="A1151" s="26">
        <v>46122</v>
      </c>
      <c r="B1151" s="38" t="s">
        <v>67</v>
      </c>
      <c r="C1151" s="35">
        <v>401.2636</v>
      </c>
      <c r="D1151" s="39">
        <v>4117884</v>
      </c>
      <c r="E1151" s="1" t="str">
        <f t="shared" si="34"/>
        <v>2026-04</v>
      </c>
      <c r="F1151" s="36">
        <f t="shared" si="35"/>
        <v>4.8994295468274274E-4</v>
      </c>
      <c r="G1151" s="1"/>
      <c r="H1151" s="1"/>
    </row>
    <row r="1152" spans="1:8" x14ac:dyDescent="0.3">
      <c r="A1152" s="26">
        <v>46125</v>
      </c>
      <c r="B1152" s="38" t="s">
        <v>67</v>
      </c>
      <c r="C1152" s="35">
        <v>398.709</v>
      </c>
      <c r="D1152" s="39">
        <v>3239791</v>
      </c>
      <c r="E1152" s="1" t="str">
        <f t="shared" si="34"/>
        <v>2026-04</v>
      </c>
      <c r="F1152" s="36">
        <f t="shared" si="35"/>
        <v>-6.3663885784805974E-3</v>
      </c>
      <c r="G1152" s="1"/>
      <c r="H1152" s="1"/>
    </row>
    <row r="1153" spans="1:8" x14ac:dyDescent="0.3">
      <c r="A1153" s="26">
        <v>46126</v>
      </c>
      <c r="B1153" s="38" t="s">
        <v>67</v>
      </c>
      <c r="C1153" s="35">
        <v>400.08460000000002</v>
      </c>
      <c r="D1153" s="39">
        <v>2806257</v>
      </c>
      <c r="E1153" s="1" t="str">
        <f t="shared" si="34"/>
        <v>2026-04</v>
      </c>
      <c r="F1153" s="36">
        <f t="shared" si="35"/>
        <v>3.4501353117186717E-3</v>
      </c>
      <c r="G1153" s="1"/>
      <c r="H1153" s="1"/>
    </row>
    <row r="1154" spans="1:8" x14ac:dyDescent="0.3">
      <c r="A1154" s="26">
        <v>46127</v>
      </c>
      <c r="B1154" s="38" t="s">
        <v>67</v>
      </c>
      <c r="C1154" s="35">
        <v>406.76569999999998</v>
      </c>
      <c r="D1154" s="39">
        <v>5300602</v>
      </c>
      <c r="E1154" s="1" t="str">
        <f t="shared" ref="E1154:E1217" si="36">TEXT(A1154,"yyyy-mm")</f>
        <v>2026-04</v>
      </c>
      <c r="F1154" s="36">
        <f t="shared" si="35"/>
        <v>1.6699218115368453E-2</v>
      </c>
      <c r="G1154" s="1"/>
      <c r="H1154" s="1"/>
    </row>
    <row r="1155" spans="1:8" x14ac:dyDescent="0.3">
      <c r="A1155" s="26">
        <v>46128</v>
      </c>
      <c r="B1155" s="38" t="s">
        <v>67</v>
      </c>
      <c r="C1155" s="35">
        <v>404.01459999999997</v>
      </c>
      <c r="D1155" s="39">
        <v>4069351</v>
      </c>
      <c r="E1155" s="1" t="str">
        <f t="shared" si="36"/>
        <v>2026-04</v>
      </c>
      <c r="F1155" s="36">
        <f t="shared" ref="F1155:F1218" si="37">IF(B1155=B1154,C1155/C1154-1,0)</f>
        <v>-6.7633529572429518E-3</v>
      </c>
      <c r="G1155" s="1"/>
      <c r="H1155" s="1"/>
    </row>
    <row r="1156" spans="1:8" x14ac:dyDescent="0.3">
      <c r="A1156" s="26">
        <v>46129</v>
      </c>
      <c r="B1156" s="38" t="s">
        <v>67</v>
      </c>
      <c r="C1156" s="35">
        <v>401.46010000000001</v>
      </c>
      <c r="D1156" s="39">
        <v>3095149</v>
      </c>
      <c r="E1156" s="1" t="str">
        <f t="shared" si="36"/>
        <v>2026-04</v>
      </c>
      <c r="F1156" s="36">
        <f t="shared" si="37"/>
        <v>-6.3227913050666329E-3</v>
      </c>
      <c r="G1156" s="1"/>
      <c r="H1156" s="1"/>
    </row>
    <row r="1157" spans="1:8" x14ac:dyDescent="0.3">
      <c r="A1157" s="26">
        <v>46132</v>
      </c>
      <c r="B1157" s="38" t="s">
        <v>67</v>
      </c>
      <c r="C1157" s="35">
        <v>404.40769999999998</v>
      </c>
      <c r="D1157" s="39">
        <v>3204263</v>
      </c>
      <c r="E1157" s="1" t="str">
        <f t="shared" si="36"/>
        <v>2026-04</v>
      </c>
      <c r="F1157" s="36">
        <f t="shared" si="37"/>
        <v>7.3421991375979268E-3</v>
      </c>
      <c r="G1157" s="1"/>
      <c r="H1157" s="1"/>
    </row>
    <row r="1158" spans="1:8" x14ac:dyDescent="0.3">
      <c r="A1158" s="26">
        <v>46133</v>
      </c>
      <c r="B1158" s="38" t="s">
        <v>67</v>
      </c>
      <c r="C1158" s="35">
        <v>409.90980000000002</v>
      </c>
      <c r="D1158" s="39">
        <v>5513809</v>
      </c>
      <c r="E1158" s="1" t="str">
        <f t="shared" si="36"/>
        <v>2026-04</v>
      </c>
      <c r="F1158" s="36">
        <f t="shared" si="37"/>
        <v>1.3605329473202588E-2</v>
      </c>
      <c r="G1158" s="1"/>
      <c r="H1158" s="1"/>
    </row>
    <row r="1159" spans="1:8" x14ac:dyDescent="0.3">
      <c r="A1159" s="26">
        <v>46134</v>
      </c>
      <c r="B1159" s="38" t="s">
        <v>67</v>
      </c>
      <c r="C1159" s="35">
        <v>409.32029999999997</v>
      </c>
      <c r="D1159" s="39">
        <v>2847612</v>
      </c>
      <c r="E1159" s="1" t="str">
        <f t="shared" si="36"/>
        <v>2026-04</v>
      </c>
      <c r="F1159" s="36">
        <f t="shared" si="37"/>
        <v>-1.438121264727088E-3</v>
      </c>
      <c r="G1159" s="1"/>
      <c r="H1159" s="1"/>
    </row>
    <row r="1160" spans="1:8" x14ac:dyDescent="0.3">
      <c r="A1160" s="26">
        <v>46135</v>
      </c>
      <c r="B1160" s="38" t="s">
        <v>67</v>
      </c>
      <c r="C1160" s="35">
        <v>404.99720000000002</v>
      </c>
      <c r="D1160" s="39">
        <v>2970861</v>
      </c>
      <c r="E1160" s="1" t="str">
        <f t="shared" si="36"/>
        <v>2026-04</v>
      </c>
      <c r="F1160" s="36">
        <f t="shared" si="37"/>
        <v>-1.0561655505480605E-2</v>
      </c>
      <c r="G1160" s="1"/>
      <c r="H1160" s="1"/>
    </row>
    <row r="1161" spans="1:8" x14ac:dyDescent="0.3">
      <c r="A1161" s="26">
        <v>46136</v>
      </c>
      <c r="B1161" s="38" t="s">
        <v>67</v>
      </c>
      <c r="C1161" s="35">
        <v>404.40769999999998</v>
      </c>
      <c r="D1161" s="39">
        <v>2990736</v>
      </c>
      <c r="E1161" s="1" t="str">
        <f t="shared" si="36"/>
        <v>2026-04</v>
      </c>
      <c r="F1161" s="36">
        <f t="shared" si="37"/>
        <v>-1.4555656187253962E-3</v>
      </c>
      <c r="G1161" s="1"/>
      <c r="H1161" s="1"/>
    </row>
    <row r="1162" spans="1:8" x14ac:dyDescent="0.3">
      <c r="A1162" s="26">
        <v>46139</v>
      </c>
      <c r="B1162" s="38" t="s">
        <v>67</v>
      </c>
      <c r="C1162" s="35">
        <v>404.80070000000001</v>
      </c>
      <c r="D1162" s="39">
        <v>2304950</v>
      </c>
      <c r="E1162" s="1" t="str">
        <f t="shared" si="36"/>
        <v>2026-04</v>
      </c>
      <c r="F1162" s="36">
        <f t="shared" si="37"/>
        <v>9.7179158557070267E-4</v>
      </c>
      <c r="G1162" s="1"/>
      <c r="H1162" s="1"/>
    </row>
    <row r="1163" spans="1:8" x14ac:dyDescent="0.3">
      <c r="A1163" s="26">
        <v>46140</v>
      </c>
      <c r="B1163" s="38" t="s">
        <v>67</v>
      </c>
      <c r="C1163" s="35">
        <v>400.4776</v>
      </c>
      <c r="D1163" s="39">
        <v>3549511</v>
      </c>
      <c r="E1163" s="1" t="str">
        <f t="shared" si="36"/>
        <v>2026-04</v>
      </c>
      <c r="F1163" s="36">
        <f t="shared" si="37"/>
        <v>-1.0679576394013179E-2</v>
      </c>
      <c r="G1163" s="1"/>
      <c r="H1163" s="1"/>
    </row>
    <row r="1164" spans="1:8" x14ac:dyDescent="0.3">
      <c r="A1164" s="26">
        <v>46141</v>
      </c>
      <c r="B1164" s="38" t="s">
        <v>67</v>
      </c>
      <c r="C1164" s="35">
        <v>412.46440000000001</v>
      </c>
      <c r="D1164" s="39">
        <v>6339342</v>
      </c>
      <c r="E1164" s="1" t="str">
        <f t="shared" si="36"/>
        <v>2026-04</v>
      </c>
      <c r="F1164" s="36">
        <f t="shared" si="37"/>
        <v>2.9931262073084719E-2</v>
      </c>
      <c r="G1164" s="1"/>
      <c r="H1164" s="1"/>
    </row>
    <row r="1165" spans="1:8" x14ac:dyDescent="0.3">
      <c r="A1165" s="26">
        <v>46142</v>
      </c>
      <c r="B1165" s="38" t="s">
        <v>67</v>
      </c>
      <c r="C1165" s="35">
        <v>405.19369999999998</v>
      </c>
      <c r="D1165" s="39">
        <v>6773830</v>
      </c>
      <c r="E1165" s="1" t="str">
        <f t="shared" si="36"/>
        <v>2026-04</v>
      </c>
      <c r="F1165" s="36">
        <f t="shared" si="37"/>
        <v>-1.7627460697214214E-2</v>
      </c>
      <c r="G1165" s="1"/>
      <c r="H1165" s="1"/>
    </row>
    <row r="1166" spans="1:8" x14ac:dyDescent="0.3">
      <c r="A1166" s="26">
        <v>46146</v>
      </c>
      <c r="B1166" s="38" t="s">
        <v>67</v>
      </c>
      <c r="C1166" s="35">
        <v>407.7482</v>
      </c>
      <c r="D1166" s="39">
        <v>2689203</v>
      </c>
      <c r="E1166" s="1" t="str">
        <f t="shared" si="36"/>
        <v>2026-05</v>
      </c>
      <c r="F1166" s="36">
        <f t="shared" si="37"/>
        <v>6.3043921956338345E-3</v>
      </c>
      <c r="G1166" s="1"/>
      <c r="H1166" s="1"/>
    </row>
    <row r="1167" spans="1:8" x14ac:dyDescent="0.3">
      <c r="A1167" s="26">
        <v>46147</v>
      </c>
      <c r="B1167" s="38" t="s">
        <v>67</v>
      </c>
      <c r="C1167" s="35">
        <v>410.89229999999998</v>
      </c>
      <c r="D1167" s="39">
        <v>1890226</v>
      </c>
      <c r="E1167" s="1" t="str">
        <f t="shared" si="36"/>
        <v>2026-05</v>
      </c>
      <c r="F1167" s="36">
        <f t="shared" si="37"/>
        <v>7.7108862773642706E-3</v>
      </c>
      <c r="G1167" s="1"/>
      <c r="H1167" s="1"/>
    </row>
    <row r="1168" spans="1:8" x14ac:dyDescent="0.3">
      <c r="A1168" s="26">
        <v>46148</v>
      </c>
      <c r="B1168" s="38" t="s">
        <v>67</v>
      </c>
      <c r="C1168" s="35">
        <v>413.8399</v>
      </c>
      <c r="D1168" s="39">
        <v>3729752</v>
      </c>
      <c r="E1168" s="1" t="str">
        <f t="shared" si="36"/>
        <v>2026-05</v>
      </c>
      <c r="F1168" s="36">
        <f t="shared" si="37"/>
        <v>7.1736559677559875E-3</v>
      </c>
      <c r="G1168" s="1"/>
      <c r="H1168" s="1"/>
    </row>
    <row r="1169" spans="1:8" x14ac:dyDescent="0.3">
      <c r="A1169" s="26">
        <v>46149</v>
      </c>
      <c r="B1169" s="38" t="s">
        <v>67</v>
      </c>
      <c r="C1169" s="35">
        <v>419.5385</v>
      </c>
      <c r="D1169" s="39">
        <v>5723962</v>
      </c>
      <c r="E1169" s="1" t="str">
        <f t="shared" si="36"/>
        <v>2026-05</v>
      </c>
      <c r="F1169" s="36">
        <f t="shared" si="37"/>
        <v>1.3770059387700373E-2</v>
      </c>
      <c r="G1169" s="1"/>
      <c r="H1169" s="1"/>
    </row>
    <row r="1170" spans="1:8" x14ac:dyDescent="0.3">
      <c r="A1170" s="26">
        <v>46150</v>
      </c>
      <c r="B1170" s="38" t="s">
        <v>67</v>
      </c>
      <c r="C1170" s="35">
        <v>416.78750000000002</v>
      </c>
      <c r="D1170" s="39">
        <v>3393723</v>
      </c>
      <c r="E1170" s="1" t="str">
        <f t="shared" si="36"/>
        <v>2026-05</v>
      </c>
      <c r="F1170" s="36">
        <f t="shared" si="37"/>
        <v>-6.5572051194348058E-3</v>
      </c>
      <c r="G1170" s="1"/>
      <c r="H1170" s="1"/>
    </row>
    <row r="1171" spans="1:8" x14ac:dyDescent="0.3">
      <c r="A1171" s="26">
        <v>46153</v>
      </c>
      <c r="B1171" s="38" t="s">
        <v>67</v>
      </c>
      <c r="C1171" s="35">
        <v>417.9665</v>
      </c>
      <c r="D1171" s="39">
        <v>3968122</v>
      </c>
      <c r="E1171" s="1" t="str">
        <f t="shared" si="36"/>
        <v>2026-05</v>
      </c>
      <c r="F1171" s="36">
        <f t="shared" si="37"/>
        <v>2.8287796539003818E-3</v>
      </c>
      <c r="G1171" s="1"/>
      <c r="H1171" s="1"/>
    </row>
    <row r="1172" spans="1:8" x14ac:dyDescent="0.3">
      <c r="A1172" s="26">
        <v>46154</v>
      </c>
      <c r="B1172" s="38" t="s">
        <v>67</v>
      </c>
      <c r="C1172" s="35">
        <v>416.39449999999999</v>
      </c>
      <c r="D1172" s="39">
        <v>3745000</v>
      </c>
      <c r="E1172" s="1" t="str">
        <f t="shared" si="36"/>
        <v>2026-05</v>
      </c>
      <c r="F1172" s="36">
        <f t="shared" si="37"/>
        <v>-3.7610669754633008E-3</v>
      </c>
      <c r="G1172" s="1"/>
      <c r="H1172" s="1"/>
    </row>
    <row r="1173" spans="1:8" x14ac:dyDescent="0.3">
      <c r="A1173" s="26">
        <v>46155</v>
      </c>
      <c r="B1173" s="38" t="s">
        <v>67</v>
      </c>
      <c r="C1173" s="35">
        <v>416.39449999999999</v>
      </c>
      <c r="D1173" s="39">
        <v>2891212</v>
      </c>
      <c r="E1173" s="1" t="str">
        <f t="shared" si="36"/>
        <v>2026-05</v>
      </c>
      <c r="F1173" s="36">
        <f t="shared" si="37"/>
        <v>0</v>
      </c>
      <c r="G1173" s="1"/>
      <c r="H1173" s="1"/>
    </row>
    <row r="1174" spans="1:8" x14ac:dyDescent="0.3">
      <c r="A1174" s="26">
        <v>46156</v>
      </c>
      <c r="B1174" s="38" t="s">
        <v>67</v>
      </c>
      <c r="C1174" s="35">
        <v>416.19799999999998</v>
      </c>
      <c r="D1174" s="39">
        <v>3553725</v>
      </c>
      <c r="E1174" s="1" t="str">
        <f t="shared" si="36"/>
        <v>2026-05</v>
      </c>
      <c r="F1174" s="36">
        <f t="shared" si="37"/>
        <v>-4.7190825046927731E-4</v>
      </c>
      <c r="G1174" s="1"/>
      <c r="H1174" s="1"/>
    </row>
    <row r="1175" spans="1:8" x14ac:dyDescent="0.3">
      <c r="A1175" s="26">
        <v>46157</v>
      </c>
      <c r="B1175" s="38" t="s">
        <v>67</v>
      </c>
      <c r="C1175" s="35">
        <v>409.12380000000002</v>
      </c>
      <c r="D1175" s="39">
        <v>4441144</v>
      </c>
      <c r="E1175" s="1" t="str">
        <f t="shared" si="36"/>
        <v>2026-05</v>
      </c>
      <c r="F1175" s="36">
        <f t="shared" si="37"/>
        <v>-1.6997198448815087E-2</v>
      </c>
      <c r="G1175" s="1"/>
      <c r="H1175" s="1"/>
    </row>
    <row r="1176" spans="1:8" x14ac:dyDescent="0.3">
      <c r="A1176" s="26">
        <v>46160</v>
      </c>
      <c r="B1176" s="38" t="s">
        <v>67</v>
      </c>
      <c r="C1176" s="35">
        <v>402.8356</v>
      </c>
      <c r="D1176" s="39">
        <v>4000393</v>
      </c>
      <c r="E1176" s="1" t="str">
        <f t="shared" si="36"/>
        <v>2026-05</v>
      </c>
      <c r="F1176" s="36">
        <f t="shared" si="37"/>
        <v>-1.5369919814002597E-2</v>
      </c>
      <c r="G1176" s="1"/>
      <c r="H1176" s="1"/>
    </row>
    <row r="1177" spans="1:8" x14ac:dyDescent="0.3">
      <c r="A1177" s="26">
        <v>46161</v>
      </c>
      <c r="B1177" s="38" t="s">
        <v>67</v>
      </c>
      <c r="C1177" s="35">
        <v>402.8356</v>
      </c>
      <c r="D1177" s="39">
        <v>3476500</v>
      </c>
      <c r="E1177" s="1" t="str">
        <f t="shared" si="36"/>
        <v>2026-05</v>
      </c>
      <c r="F1177" s="36">
        <f t="shared" si="37"/>
        <v>0</v>
      </c>
      <c r="G1177" s="1"/>
      <c r="H1177" s="1"/>
    </row>
    <row r="1178" spans="1:8" x14ac:dyDescent="0.3">
      <c r="A1178" s="26">
        <v>46162</v>
      </c>
      <c r="B1178" s="38" t="s">
        <v>67</v>
      </c>
      <c r="C1178" s="35">
        <v>404.01459999999997</v>
      </c>
      <c r="D1178" s="39">
        <v>2305275</v>
      </c>
      <c r="E1178" s="1" t="str">
        <f t="shared" si="36"/>
        <v>2026-05</v>
      </c>
      <c r="F1178" s="36">
        <f t="shared" si="37"/>
        <v>2.9267522532765433E-3</v>
      </c>
      <c r="G1178" s="1"/>
      <c r="H1178" s="1"/>
    </row>
    <row r="1179" spans="1:8" x14ac:dyDescent="0.3">
      <c r="A1179" s="26">
        <v>46163</v>
      </c>
      <c r="B1179" s="38" t="s">
        <v>67</v>
      </c>
      <c r="C1179" s="35">
        <v>400.28100000000001</v>
      </c>
      <c r="D1179" s="39">
        <v>4058695</v>
      </c>
      <c r="E1179" s="1" t="str">
        <f t="shared" si="36"/>
        <v>2026-05</v>
      </c>
      <c r="F1179" s="36">
        <f t="shared" si="37"/>
        <v>-9.2412501924434842E-3</v>
      </c>
      <c r="G1179" s="1"/>
      <c r="H1179" s="1"/>
    </row>
    <row r="1180" spans="1:8" x14ac:dyDescent="0.3">
      <c r="A1180" s="26">
        <v>46164</v>
      </c>
      <c r="B1180" s="38" t="s">
        <v>67</v>
      </c>
      <c r="C1180" s="35">
        <v>402.0496</v>
      </c>
      <c r="D1180" s="39">
        <v>3134725</v>
      </c>
      <c r="E1180" s="1" t="str">
        <f t="shared" si="36"/>
        <v>2026-05</v>
      </c>
      <c r="F1180" s="36">
        <f t="shared" si="37"/>
        <v>4.4183960767560926E-3</v>
      </c>
      <c r="G1180" s="1"/>
      <c r="H1180" s="1"/>
    </row>
    <row r="1181" spans="1:8" x14ac:dyDescent="0.3">
      <c r="A1181" s="26">
        <v>46168</v>
      </c>
      <c r="B1181" s="38" t="s">
        <v>67</v>
      </c>
      <c r="C1181" s="35">
        <v>398.51249999999999</v>
      </c>
      <c r="D1181" s="39">
        <v>4356490</v>
      </c>
      <c r="E1181" s="1" t="str">
        <f t="shared" si="36"/>
        <v>2026-05</v>
      </c>
      <c r="F1181" s="36">
        <f t="shared" si="37"/>
        <v>-8.7976707351531402E-3</v>
      </c>
      <c r="G1181" s="1"/>
      <c r="H1181" s="1"/>
    </row>
    <row r="1182" spans="1:8" x14ac:dyDescent="0.3">
      <c r="A1182" s="26">
        <v>46169</v>
      </c>
      <c r="B1182" s="38" t="s">
        <v>67</v>
      </c>
      <c r="C1182" s="35">
        <v>395.17189999999999</v>
      </c>
      <c r="D1182" s="39">
        <v>4319453</v>
      </c>
      <c r="E1182" s="1" t="str">
        <f t="shared" si="36"/>
        <v>2026-05</v>
      </c>
      <c r="F1182" s="36">
        <f t="shared" si="37"/>
        <v>-8.3826730654621429E-3</v>
      </c>
      <c r="G1182" s="1"/>
      <c r="H1182" s="1"/>
    </row>
    <row r="1183" spans="1:8" x14ac:dyDescent="0.3">
      <c r="A1183" s="26">
        <v>46170</v>
      </c>
      <c r="B1183" s="38" t="s">
        <v>67</v>
      </c>
      <c r="C1183" s="35">
        <v>389.27679999999998</v>
      </c>
      <c r="D1183" s="39">
        <v>6999876</v>
      </c>
      <c r="E1183" s="1" t="str">
        <f t="shared" si="36"/>
        <v>2026-05</v>
      </c>
      <c r="F1183" s="36">
        <f t="shared" si="37"/>
        <v>-1.4917811716875673E-2</v>
      </c>
      <c r="G1183" s="1"/>
      <c r="H1183" s="1"/>
    </row>
    <row r="1184" spans="1:8" x14ac:dyDescent="0.3">
      <c r="A1184" s="26">
        <v>46171</v>
      </c>
      <c r="B1184" s="38" t="s">
        <v>67</v>
      </c>
      <c r="C1184" s="35">
        <v>392.81380000000001</v>
      </c>
      <c r="D1184" s="39">
        <v>6580590</v>
      </c>
      <c r="E1184" s="1" t="str">
        <f t="shared" si="36"/>
        <v>2026-05</v>
      </c>
      <c r="F1184" s="36">
        <f t="shared" si="37"/>
        <v>9.0860796225207263E-3</v>
      </c>
      <c r="G1184" s="1"/>
      <c r="H1184" s="1"/>
    </row>
    <row r="1185" spans="1:8" x14ac:dyDescent="0.3">
      <c r="A1185" s="26">
        <v>46174</v>
      </c>
      <c r="B1185" s="38" t="s">
        <v>67</v>
      </c>
      <c r="C1185" s="35">
        <v>393.20690000000002</v>
      </c>
      <c r="D1185" s="39">
        <v>3532432</v>
      </c>
      <c r="E1185" s="1" t="str">
        <f t="shared" si="36"/>
        <v>2026-06</v>
      </c>
      <c r="F1185" s="36">
        <f t="shared" si="37"/>
        <v>1.000728589474198E-3</v>
      </c>
      <c r="G1185" s="1"/>
      <c r="H1185" s="1"/>
    </row>
    <row r="1186" spans="1:8" x14ac:dyDescent="0.3">
      <c r="A1186" s="26">
        <v>46175</v>
      </c>
      <c r="B1186" s="38" t="s">
        <v>67</v>
      </c>
      <c r="C1186" s="35">
        <v>403.22859999999997</v>
      </c>
      <c r="D1186" s="39">
        <v>4652632</v>
      </c>
      <c r="E1186" s="1" t="str">
        <f t="shared" si="36"/>
        <v>2026-06</v>
      </c>
      <c r="F1186" s="36">
        <f t="shared" si="37"/>
        <v>2.5487090892860609E-2</v>
      </c>
      <c r="G1186" s="1"/>
      <c r="H1186" s="1"/>
    </row>
    <row r="1187" spans="1:8" x14ac:dyDescent="0.3">
      <c r="A1187" s="26">
        <v>46176</v>
      </c>
      <c r="B1187" s="38" t="s">
        <v>67</v>
      </c>
      <c r="C1187" s="35">
        <v>402.24610000000001</v>
      </c>
      <c r="D1187" s="39">
        <v>3369317</v>
      </c>
      <c r="E1187" s="1" t="str">
        <f t="shared" si="36"/>
        <v>2026-06</v>
      </c>
      <c r="F1187" s="36">
        <f t="shared" si="37"/>
        <v>-2.4365831193520204E-3</v>
      </c>
      <c r="G1187" s="1"/>
      <c r="H1187" s="1"/>
    </row>
    <row r="1188" spans="1:8" x14ac:dyDescent="0.3">
      <c r="A1188" s="26">
        <v>46177</v>
      </c>
      <c r="B1188" s="38" t="s">
        <v>67</v>
      </c>
      <c r="C1188" s="35">
        <v>393.79640000000001</v>
      </c>
      <c r="D1188" s="39">
        <v>3900024</v>
      </c>
      <c r="E1188" s="1" t="str">
        <f t="shared" si="36"/>
        <v>2026-06</v>
      </c>
      <c r="F1188" s="36">
        <f t="shared" si="37"/>
        <v>-2.1006294405340409E-2</v>
      </c>
      <c r="G1188" s="1"/>
      <c r="H1188" s="1"/>
    </row>
    <row r="1189" spans="1:8" x14ac:dyDescent="0.3">
      <c r="A1189" s="26">
        <v>46178</v>
      </c>
      <c r="B1189" s="38" t="s">
        <v>67</v>
      </c>
      <c r="C1189" s="35">
        <v>389.47329999999999</v>
      </c>
      <c r="D1189" s="39">
        <v>5668650</v>
      </c>
      <c r="E1189" s="1" t="str">
        <f t="shared" si="36"/>
        <v>2026-06</v>
      </c>
      <c r="F1189" s="36">
        <f t="shared" si="37"/>
        <v>-1.097800792490744E-2</v>
      </c>
      <c r="G1189" s="1"/>
      <c r="H1189" s="1"/>
    </row>
    <row r="1190" spans="1:8" x14ac:dyDescent="0.3">
      <c r="A1190" s="26">
        <v>46181</v>
      </c>
      <c r="B1190" s="38" t="s">
        <v>67</v>
      </c>
      <c r="C1190" s="35">
        <v>380.041</v>
      </c>
      <c r="D1190" s="39">
        <v>7766145</v>
      </c>
      <c r="E1190" s="1" t="str">
        <f t="shared" si="36"/>
        <v>2026-06</v>
      </c>
      <c r="F1190" s="36">
        <f t="shared" si="37"/>
        <v>-2.4218091458387492E-2</v>
      </c>
      <c r="G1190" s="1"/>
      <c r="H1190" s="1"/>
    </row>
    <row r="1191" spans="1:8" x14ac:dyDescent="0.3">
      <c r="A1191" s="26">
        <v>46182</v>
      </c>
      <c r="B1191" s="38" t="s">
        <v>67</v>
      </c>
      <c r="C1191" s="35">
        <v>377.28989999999999</v>
      </c>
      <c r="D1191" s="39">
        <v>4190114</v>
      </c>
      <c r="E1191" s="1" t="str">
        <f t="shared" si="36"/>
        <v>2026-06</v>
      </c>
      <c r="F1191" s="36">
        <f t="shared" si="37"/>
        <v>-7.2389557968746132E-3</v>
      </c>
      <c r="G1191" s="1"/>
      <c r="H1191" s="1"/>
    </row>
    <row r="1192" spans="1:8" x14ac:dyDescent="0.3">
      <c r="A1192" s="26">
        <v>46183</v>
      </c>
      <c r="B1192" s="38" t="s">
        <v>67</v>
      </c>
      <c r="C1192" s="35">
        <v>376.30739999999997</v>
      </c>
      <c r="D1192" s="39">
        <v>6785945</v>
      </c>
      <c r="E1192" s="1" t="str">
        <f t="shared" si="36"/>
        <v>2026-06</v>
      </c>
      <c r="F1192" s="36">
        <f t="shared" si="37"/>
        <v>-2.6040983339337131E-3</v>
      </c>
      <c r="G1192" s="1"/>
      <c r="H1192" s="1"/>
    </row>
    <row r="1193" spans="1:8" x14ac:dyDescent="0.3">
      <c r="A1193" s="26">
        <v>46184</v>
      </c>
      <c r="B1193" s="38" t="s">
        <v>67</v>
      </c>
      <c r="C1193" s="35">
        <v>367.46469999999999</v>
      </c>
      <c r="D1193" s="39">
        <v>10151172</v>
      </c>
      <c r="E1193" s="1" t="str">
        <f t="shared" si="36"/>
        <v>2026-06</v>
      </c>
      <c r="F1193" s="36">
        <f t="shared" si="37"/>
        <v>-2.3498607787144188E-2</v>
      </c>
      <c r="G1193" s="1"/>
      <c r="H1193" s="1"/>
    </row>
    <row r="1194" spans="1:8" x14ac:dyDescent="0.3">
      <c r="A1194" s="26">
        <v>46185</v>
      </c>
      <c r="B1194" s="38" t="s">
        <v>67</v>
      </c>
      <c r="C1194" s="35">
        <v>373.94940000000003</v>
      </c>
      <c r="D1194" s="39">
        <v>8016463</v>
      </c>
      <c r="E1194" s="1" t="str">
        <f t="shared" si="36"/>
        <v>2026-06</v>
      </c>
      <c r="F1194" s="36">
        <f t="shared" si="37"/>
        <v>1.7647137262436496E-2</v>
      </c>
      <c r="G1194" s="1"/>
      <c r="H1194" s="1"/>
    </row>
    <row r="1195" spans="1:8" x14ac:dyDescent="0.3">
      <c r="A1195" s="26">
        <v>46188</v>
      </c>
      <c r="B1195" s="38" t="s">
        <v>67</v>
      </c>
      <c r="C1195" s="35">
        <v>380.041</v>
      </c>
      <c r="D1195" s="39">
        <v>5487434</v>
      </c>
      <c r="E1195" s="1" t="str">
        <f t="shared" si="36"/>
        <v>2026-06</v>
      </c>
      <c r="F1195" s="36">
        <f t="shared" si="37"/>
        <v>1.6289904463010263E-2</v>
      </c>
      <c r="G1195" s="1"/>
      <c r="H1195" s="1"/>
    </row>
    <row r="1196" spans="1:8" x14ac:dyDescent="0.3">
      <c r="A1196" s="26">
        <v>46189</v>
      </c>
      <c r="B1196" s="38" t="s">
        <v>67</v>
      </c>
      <c r="C1196" s="35">
        <v>379.255</v>
      </c>
      <c r="D1196" s="39">
        <v>5360883</v>
      </c>
      <c r="E1196" s="1" t="str">
        <f t="shared" si="36"/>
        <v>2026-06</v>
      </c>
      <c r="F1196" s="36">
        <f t="shared" si="37"/>
        <v>-2.0681979049629318E-3</v>
      </c>
      <c r="G1196" s="1"/>
      <c r="H1196" s="1"/>
    </row>
    <row r="1197" spans="1:8" x14ac:dyDescent="0.3">
      <c r="A1197" s="26">
        <v>46190</v>
      </c>
      <c r="B1197" s="38" t="s">
        <v>67</v>
      </c>
      <c r="C1197" s="35">
        <v>376.7004</v>
      </c>
      <c r="D1197" s="39">
        <v>4367946</v>
      </c>
      <c r="E1197" s="1" t="str">
        <f t="shared" si="36"/>
        <v>2026-06</v>
      </c>
      <c r="F1197" s="36">
        <f t="shared" si="37"/>
        <v>-6.735837365360986E-3</v>
      </c>
      <c r="G1197" s="1"/>
      <c r="H1197" s="1"/>
    </row>
    <row r="1198" spans="1:8" x14ac:dyDescent="0.3">
      <c r="A1198" s="26">
        <v>46191</v>
      </c>
      <c r="B1198" s="38" t="s">
        <v>67</v>
      </c>
      <c r="C1198" s="35">
        <v>368.25069999999999</v>
      </c>
      <c r="D1198" s="39">
        <v>7948843</v>
      </c>
      <c r="E1198" s="1" t="str">
        <f t="shared" si="36"/>
        <v>2026-06</v>
      </c>
      <c r="F1198" s="36">
        <f t="shared" si="37"/>
        <v>-2.2430823009479184E-2</v>
      </c>
      <c r="G1198" s="1"/>
      <c r="H1198" s="1"/>
    </row>
    <row r="1199" spans="1:8" x14ac:dyDescent="0.3">
      <c r="A1199" s="26">
        <v>46195</v>
      </c>
      <c r="B1199" s="38" t="s">
        <v>67</v>
      </c>
      <c r="C1199" s="35">
        <v>371.0018</v>
      </c>
      <c r="D1199" s="39">
        <v>5585765</v>
      </c>
      <c r="E1199" s="1" t="str">
        <f t="shared" si="36"/>
        <v>2026-06</v>
      </c>
      <c r="F1199" s="36">
        <f t="shared" si="37"/>
        <v>7.4707257854500497E-3</v>
      </c>
      <c r="G1199" s="1"/>
      <c r="H1199" s="1"/>
    </row>
    <row r="1200" spans="1:8" x14ac:dyDescent="0.3">
      <c r="A1200" s="26">
        <v>46196</v>
      </c>
      <c r="B1200" s="38" t="s">
        <v>67</v>
      </c>
      <c r="C1200" s="35">
        <v>364.51710000000003</v>
      </c>
      <c r="D1200" s="39">
        <v>5157918</v>
      </c>
      <c r="E1200" s="1" t="str">
        <f t="shared" si="36"/>
        <v>2026-06</v>
      </c>
      <c r="F1200" s="36">
        <f t="shared" si="37"/>
        <v>-1.7478890937995373E-2</v>
      </c>
      <c r="G1200" s="1"/>
      <c r="H1200" s="1"/>
    </row>
    <row r="1201" spans="1:8" x14ac:dyDescent="0.3">
      <c r="A1201" s="26">
        <v>46197</v>
      </c>
      <c r="B1201" s="38" t="s">
        <v>67</v>
      </c>
      <c r="C1201" s="35">
        <v>364.71359999999999</v>
      </c>
      <c r="D1201" s="39">
        <v>6243182</v>
      </c>
      <c r="E1201" s="1" t="str">
        <f t="shared" si="36"/>
        <v>2026-06</v>
      </c>
      <c r="F1201" s="36">
        <f t="shared" si="37"/>
        <v>5.3906936053205179E-4</v>
      </c>
      <c r="G1201" s="1"/>
      <c r="H1201" s="1"/>
    </row>
    <row r="1202" spans="1:8" x14ac:dyDescent="0.3">
      <c r="A1202" s="26">
        <v>46198</v>
      </c>
      <c r="B1202" s="38" t="s">
        <v>67</v>
      </c>
      <c r="C1202" s="35">
        <v>360.19400000000002</v>
      </c>
      <c r="D1202" s="39">
        <v>6022078</v>
      </c>
      <c r="E1202" s="1" t="str">
        <f t="shared" si="36"/>
        <v>2026-06</v>
      </c>
      <c r="F1202" s="36">
        <f t="shared" si="37"/>
        <v>-1.239218937818598E-2</v>
      </c>
      <c r="G1202" s="1"/>
      <c r="H1202" s="1"/>
    </row>
    <row r="1203" spans="1:8" x14ac:dyDescent="0.3">
      <c r="A1203" s="26">
        <v>46199</v>
      </c>
      <c r="B1203" s="38" t="s">
        <v>67</v>
      </c>
      <c r="C1203" s="35">
        <v>355.87090000000001</v>
      </c>
      <c r="D1203" s="39">
        <v>6263660</v>
      </c>
      <c r="E1203" s="1" t="str">
        <f t="shared" si="36"/>
        <v>2026-06</v>
      </c>
      <c r="F1203" s="36">
        <f t="shared" si="37"/>
        <v>-1.2002143289449596E-2</v>
      </c>
      <c r="G1203" s="1"/>
      <c r="H1203" s="1"/>
    </row>
    <row r="1204" spans="1:8" x14ac:dyDescent="0.3">
      <c r="A1204" s="26">
        <v>46202</v>
      </c>
      <c r="B1204" s="38" t="s">
        <v>67</v>
      </c>
      <c r="C1204" s="35">
        <v>360.58699999999999</v>
      </c>
      <c r="D1204" s="39">
        <v>4906988</v>
      </c>
      <c r="E1204" s="1" t="str">
        <f t="shared" si="36"/>
        <v>2026-06</v>
      </c>
      <c r="F1204" s="36">
        <f t="shared" si="37"/>
        <v>1.3252277722061612E-2</v>
      </c>
      <c r="G1204" s="1"/>
      <c r="H1204" s="1"/>
    </row>
    <row r="1205" spans="1:8" x14ac:dyDescent="0.3">
      <c r="A1205" s="26">
        <v>46203</v>
      </c>
      <c r="B1205" s="38" t="s">
        <v>67</v>
      </c>
      <c r="C1205" s="35">
        <v>356.65690000000001</v>
      </c>
      <c r="D1205" s="39">
        <v>5720632</v>
      </c>
      <c r="E1205" s="1" t="str">
        <f t="shared" si="36"/>
        <v>2026-06</v>
      </c>
      <c r="F1205" s="36">
        <f t="shared" si="37"/>
        <v>-1.0899172737785845E-2</v>
      </c>
      <c r="G1205" s="1"/>
      <c r="H1205" s="1"/>
    </row>
    <row r="1206" spans="1:8" x14ac:dyDescent="0.3">
      <c r="A1206" s="26">
        <v>46205</v>
      </c>
      <c r="B1206" s="38" t="s">
        <v>67</v>
      </c>
      <c r="C1206" s="35">
        <v>361.17649999999998</v>
      </c>
      <c r="D1206" s="39">
        <v>4182160</v>
      </c>
      <c r="E1206" s="1" t="str">
        <f t="shared" si="36"/>
        <v>2026-07</v>
      </c>
      <c r="F1206" s="36">
        <f t="shared" si="37"/>
        <v>1.2672122703920596E-2</v>
      </c>
      <c r="G1206" s="1"/>
      <c r="H1206" s="1"/>
    </row>
    <row r="1207" spans="1:8" x14ac:dyDescent="0.3">
      <c r="A1207" s="26">
        <v>46206</v>
      </c>
      <c r="B1207" s="38" t="s">
        <v>67</v>
      </c>
      <c r="C1207" s="35">
        <v>368.44720000000001</v>
      </c>
      <c r="D1207" s="39">
        <v>3572849</v>
      </c>
      <c r="E1207" s="1" t="str">
        <f t="shared" si="36"/>
        <v>2026-07</v>
      </c>
      <c r="F1207" s="36">
        <f t="shared" si="37"/>
        <v>2.0130600966563605E-2</v>
      </c>
      <c r="G1207" s="1"/>
      <c r="H1207" s="1"/>
    </row>
    <row r="1208" spans="1:8" x14ac:dyDescent="0.3">
      <c r="A1208" s="26">
        <v>46209</v>
      </c>
      <c r="B1208" s="38" t="s">
        <v>67</v>
      </c>
      <c r="C1208" s="35">
        <v>369.8227</v>
      </c>
      <c r="D1208" s="39">
        <v>2808209</v>
      </c>
      <c r="E1208" s="1" t="str">
        <f t="shared" si="36"/>
        <v>2026-07</v>
      </c>
      <c r="F1208" s="36">
        <f t="shared" si="37"/>
        <v>3.733235046975425E-3</v>
      </c>
      <c r="G1208" s="1"/>
      <c r="H1208" s="1"/>
    </row>
    <row r="1209" spans="1:8" x14ac:dyDescent="0.3">
      <c r="A1209" s="26">
        <v>46210</v>
      </c>
      <c r="B1209" s="38" t="s">
        <v>67</v>
      </c>
      <c r="C1209" s="35">
        <v>369.23320000000001</v>
      </c>
      <c r="D1209" s="39">
        <v>2536581</v>
      </c>
      <c r="E1209" s="1" t="str">
        <f t="shared" si="36"/>
        <v>2026-07</v>
      </c>
      <c r="F1209" s="36">
        <f t="shared" si="37"/>
        <v>-1.594007074200654E-3</v>
      </c>
      <c r="G1209" s="1"/>
      <c r="H1209" s="1"/>
    </row>
    <row r="1210" spans="1:8" x14ac:dyDescent="0.3">
      <c r="A1210" s="26">
        <v>46211</v>
      </c>
      <c r="B1210" s="38" t="s">
        <v>67</v>
      </c>
      <c r="C1210" s="35">
        <v>374.14580000000001</v>
      </c>
      <c r="D1210" s="39">
        <v>4988178</v>
      </c>
      <c r="E1210" s="1" t="str">
        <f t="shared" si="36"/>
        <v>2026-07</v>
      </c>
      <c r="F1210" s="36">
        <f t="shared" si="37"/>
        <v>1.3304870742934183E-2</v>
      </c>
      <c r="G1210" s="1"/>
      <c r="H1210" s="1"/>
    </row>
    <row r="1211" spans="1:8" x14ac:dyDescent="0.3">
      <c r="A1211" s="26">
        <v>46212</v>
      </c>
      <c r="B1211" s="38" t="s">
        <v>67</v>
      </c>
      <c r="C1211" s="35">
        <v>373.75279999999998</v>
      </c>
      <c r="D1211" s="39">
        <v>3615539</v>
      </c>
      <c r="E1211" s="1" t="str">
        <f t="shared" si="36"/>
        <v>2026-07</v>
      </c>
      <c r="F1211" s="36">
        <f t="shared" si="37"/>
        <v>-1.0503926544145337E-3</v>
      </c>
      <c r="G1211" s="1"/>
      <c r="H1211" s="1"/>
    </row>
    <row r="1212" spans="1:8" x14ac:dyDescent="0.3">
      <c r="A1212" s="26">
        <v>46213</v>
      </c>
      <c r="B1212" s="38" t="s">
        <v>67</v>
      </c>
      <c r="C1212" s="35">
        <v>378.27249999999998</v>
      </c>
      <c r="D1212" s="39">
        <v>6580844</v>
      </c>
      <c r="E1212" s="1" t="str">
        <f t="shared" si="36"/>
        <v>2026-07</v>
      </c>
      <c r="F1212" s="36">
        <f t="shared" si="37"/>
        <v>1.2092752214832858E-2</v>
      </c>
      <c r="G1212" s="1"/>
      <c r="H1212" s="1"/>
    </row>
    <row r="1213" spans="1:8" x14ac:dyDescent="0.3">
      <c r="A1213" s="26">
        <v>46216</v>
      </c>
      <c r="B1213" s="38" t="s">
        <v>67</v>
      </c>
      <c r="C1213" s="35">
        <v>380.827</v>
      </c>
      <c r="D1213" s="39">
        <v>2965388</v>
      </c>
      <c r="E1213" s="1" t="str">
        <f t="shared" si="36"/>
        <v>2026-07</v>
      </c>
      <c r="F1213" s="36">
        <f t="shared" si="37"/>
        <v>6.7530682246264018E-3</v>
      </c>
      <c r="G1213" s="1"/>
      <c r="H1213" s="1"/>
    </row>
    <row r="1214" spans="1:8" x14ac:dyDescent="0.3">
      <c r="A1214" s="26">
        <v>46217</v>
      </c>
      <c r="B1214" s="38" t="s">
        <v>67</v>
      </c>
      <c r="C1214" s="35">
        <v>382.20260000000002</v>
      </c>
      <c r="D1214" s="39">
        <v>3253948</v>
      </c>
      <c r="E1214" s="1" t="str">
        <f t="shared" si="36"/>
        <v>2026-07</v>
      </c>
      <c r="F1214" s="36">
        <f t="shared" si="37"/>
        <v>3.6121388451975101E-3</v>
      </c>
      <c r="G1214" s="1"/>
      <c r="H1214" s="1"/>
    </row>
    <row r="1215" spans="1:8" x14ac:dyDescent="0.3">
      <c r="A1215" s="26">
        <v>46218</v>
      </c>
      <c r="B1215" s="38" t="s">
        <v>67</v>
      </c>
      <c r="C1215" s="35">
        <v>386.52569999999997</v>
      </c>
      <c r="D1215" s="39">
        <v>5125177</v>
      </c>
      <c r="E1215" s="1" t="str">
        <f t="shared" si="36"/>
        <v>2026-07</v>
      </c>
      <c r="F1215" s="36">
        <f t="shared" si="37"/>
        <v>1.1311016722544309E-2</v>
      </c>
      <c r="G1215" s="1"/>
      <c r="H1215" s="1"/>
    </row>
    <row r="1216" spans="1:8" x14ac:dyDescent="0.3">
      <c r="A1216" s="26">
        <v>46219</v>
      </c>
      <c r="B1216" s="38" t="s">
        <v>67</v>
      </c>
      <c r="C1216" s="35">
        <v>389.27679999999998</v>
      </c>
      <c r="D1216" s="39">
        <v>4204801</v>
      </c>
      <c r="E1216" s="1" t="str">
        <f t="shared" si="36"/>
        <v>2026-07</v>
      </c>
      <c r="F1216" s="36">
        <f t="shared" si="37"/>
        <v>7.1175086158565826E-3</v>
      </c>
      <c r="G1216" s="1"/>
      <c r="H1216" s="1"/>
    </row>
    <row r="1217" spans="1:8" x14ac:dyDescent="0.3">
      <c r="A1217" s="26">
        <v>46220</v>
      </c>
      <c r="B1217" s="38" t="s">
        <v>67</v>
      </c>
      <c r="C1217" s="35">
        <v>384.16759999999999</v>
      </c>
      <c r="D1217" s="39">
        <v>5890514</v>
      </c>
      <c r="E1217" s="1" t="str">
        <f t="shared" si="36"/>
        <v>2026-07</v>
      </c>
      <c r="F1217" s="36">
        <f t="shared" si="37"/>
        <v>-1.3124851005762439E-2</v>
      </c>
      <c r="G1217" s="1"/>
      <c r="H1217" s="1"/>
    </row>
    <row r="1218" spans="1:8" x14ac:dyDescent="0.3">
      <c r="A1218" s="26">
        <v>46223</v>
      </c>
      <c r="B1218" s="38" t="s">
        <v>67</v>
      </c>
      <c r="C1218" s="35">
        <v>390.45580000000001</v>
      </c>
      <c r="D1218" s="39">
        <v>3566607</v>
      </c>
      <c r="E1218" s="1" t="str">
        <f t="shared" ref="E1218:E1281" si="38">TEXT(A1218,"yyyy-mm")</f>
        <v>2026-07</v>
      </c>
      <c r="F1218" s="36">
        <f t="shared" si="37"/>
        <v>1.6368376718911337E-2</v>
      </c>
      <c r="G1218" s="1"/>
      <c r="H1218" s="1"/>
    </row>
    <row r="1219" spans="1:8" x14ac:dyDescent="0.3">
      <c r="A1219" s="26">
        <v>46224</v>
      </c>
      <c r="B1219" s="38" t="s">
        <v>67</v>
      </c>
      <c r="C1219" s="35">
        <v>392.6173</v>
      </c>
      <c r="D1219" s="39">
        <v>4337713</v>
      </c>
      <c r="E1219" s="1" t="str">
        <f t="shared" si="38"/>
        <v>2026-07</v>
      </c>
      <c r="F1219" s="36">
        <f t="shared" ref="F1219:F1281" si="39">IF(B1219=B1218,C1219/C1218-1,0)</f>
        <v>5.5358378592402779E-3</v>
      </c>
      <c r="G1219" s="1"/>
      <c r="H1219" s="1"/>
    </row>
    <row r="1220" spans="1:8" x14ac:dyDescent="0.3">
      <c r="A1220" s="26">
        <v>46225</v>
      </c>
      <c r="B1220" s="38" t="s">
        <v>67</v>
      </c>
      <c r="C1220" s="35">
        <v>393.59989999999999</v>
      </c>
      <c r="D1220" s="39">
        <v>3726608</v>
      </c>
      <c r="E1220" s="1" t="str">
        <f t="shared" si="38"/>
        <v>2026-07</v>
      </c>
      <c r="F1220" s="36">
        <f t="shared" si="39"/>
        <v>2.5026915523080895E-3</v>
      </c>
      <c r="G1220" s="1"/>
      <c r="H1220" s="1"/>
    </row>
    <row r="1221" spans="1:8" x14ac:dyDescent="0.3">
      <c r="A1221" s="26">
        <v>46226</v>
      </c>
      <c r="B1221" s="38" t="s">
        <v>67</v>
      </c>
      <c r="C1221" s="35">
        <v>399.10199999999998</v>
      </c>
      <c r="D1221" s="39">
        <v>6438269</v>
      </c>
      <c r="E1221" s="1" t="str">
        <f t="shared" si="38"/>
        <v>2026-07</v>
      </c>
      <c r="F1221" s="36">
        <f t="shared" si="39"/>
        <v>1.397891615317981E-2</v>
      </c>
      <c r="G1221" s="1"/>
      <c r="H1221" s="1"/>
    </row>
    <row r="1222" spans="1:8" x14ac:dyDescent="0.3">
      <c r="A1222" s="26">
        <v>46227</v>
      </c>
      <c r="B1222" s="38" t="s">
        <v>67</v>
      </c>
      <c r="C1222" s="35">
        <v>392.02780000000001</v>
      </c>
      <c r="D1222" s="39">
        <v>4436239</v>
      </c>
      <c r="E1222" s="1" t="str">
        <f t="shared" si="38"/>
        <v>2026-07</v>
      </c>
      <c r="F1222" s="36">
        <f t="shared" si="39"/>
        <v>-1.7725293283421206E-2</v>
      </c>
      <c r="G1222" s="1"/>
      <c r="H1222" s="1"/>
    </row>
    <row r="1223" spans="1:8" x14ac:dyDescent="0.3">
      <c r="A1223" s="26">
        <v>46230</v>
      </c>
      <c r="B1223" s="38" t="s">
        <v>67</v>
      </c>
      <c r="C1223" s="35">
        <v>393.40339999999998</v>
      </c>
      <c r="D1223" s="39">
        <v>2593252</v>
      </c>
      <c r="E1223" s="1" t="str">
        <f t="shared" si="38"/>
        <v>2026-07</v>
      </c>
      <c r="F1223" s="36">
        <f t="shared" si="39"/>
        <v>3.5089348255403774E-3</v>
      </c>
      <c r="G1223" s="1"/>
      <c r="H1223" s="1"/>
    </row>
    <row r="1224" spans="1:8" x14ac:dyDescent="0.3">
      <c r="A1224" s="26">
        <v>46231</v>
      </c>
      <c r="B1224" s="38" t="s">
        <v>67</v>
      </c>
      <c r="C1224" s="35">
        <v>396.94049999999999</v>
      </c>
      <c r="D1224" s="39">
        <v>2861703</v>
      </c>
      <c r="E1224" s="1" t="str">
        <f t="shared" si="38"/>
        <v>2026-07</v>
      </c>
      <c r="F1224" s="36">
        <f t="shared" si="39"/>
        <v>8.9910254969836068E-3</v>
      </c>
      <c r="G1224" s="1"/>
      <c r="H1224" s="1"/>
    </row>
    <row r="1225" spans="1:8" x14ac:dyDescent="0.3">
      <c r="A1225" s="26">
        <v>46232</v>
      </c>
      <c r="B1225" s="38" t="s">
        <v>67</v>
      </c>
      <c r="C1225" s="35">
        <v>400.67399999999998</v>
      </c>
      <c r="D1225" s="39">
        <v>3950245</v>
      </c>
      <c r="E1225" s="1" t="str">
        <f t="shared" si="38"/>
        <v>2026-07</v>
      </c>
      <c r="F1225" s="36">
        <f t="shared" si="39"/>
        <v>9.405691785040915E-3</v>
      </c>
      <c r="G1225" s="1"/>
      <c r="H1225" s="1"/>
    </row>
    <row r="1226" spans="1:8" x14ac:dyDescent="0.3">
      <c r="A1226" s="26">
        <v>46233</v>
      </c>
      <c r="B1226" s="38" t="s">
        <v>67</v>
      </c>
      <c r="C1226" s="35">
        <v>400.08460000000002</v>
      </c>
      <c r="D1226" s="39">
        <v>3582354</v>
      </c>
      <c r="E1226" s="1" t="str">
        <f t="shared" si="38"/>
        <v>2026-07</v>
      </c>
      <c r="F1226" s="36">
        <f t="shared" si="39"/>
        <v>-1.4710213290604068E-3</v>
      </c>
      <c r="G1226" s="1"/>
      <c r="H1226" s="1"/>
    </row>
    <row r="1227" spans="1:8" x14ac:dyDescent="0.3">
      <c r="A1227" s="26">
        <v>46234</v>
      </c>
      <c r="B1227" s="38" t="s">
        <v>67</v>
      </c>
      <c r="C1227" s="35">
        <v>401.46010000000001</v>
      </c>
      <c r="D1227" s="39">
        <v>3041787</v>
      </c>
      <c r="E1227" s="1" t="str">
        <f t="shared" si="38"/>
        <v>2026-07</v>
      </c>
      <c r="F1227" s="36">
        <f t="shared" si="39"/>
        <v>3.4380228581654126E-3</v>
      </c>
      <c r="G1227" s="1"/>
      <c r="H1227" s="1"/>
    </row>
    <row r="1228" spans="1:8" x14ac:dyDescent="0.3">
      <c r="A1228" s="26">
        <v>46237</v>
      </c>
      <c r="B1228" s="38" t="s">
        <v>67</v>
      </c>
      <c r="C1228" s="35">
        <v>401.85309999999998</v>
      </c>
      <c r="D1228" s="39">
        <v>2469232</v>
      </c>
      <c r="E1228" s="1" t="str">
        <f t="shared" si="38"/>
        <v>2026-08</v>
      </c>
      <c r="F1228" s="36">
        <f t="shared" si="39"/>
        <v>9.78926672912106E-4</v>
      </c>
      <c r="G1228" s="1"/>
      <c r="H1228" s="1"/>
    </row>
    <row r="1229" spans="1:8" x14ac:dyDescent="0.3">
      <c r="A1229" s="26">
        <v>46238</v>
      </c>
      <c r="B1229" s="38" t="s">
        <v>67</v>
      </c>
      <c r="C1229" s="35">
        <v>400.87060000000002</v>
      </c>
      <c r="D1229" s="39">
        <v>3607681</v>
      </c>
      <c r="E1229" s="1" t="str">
        <f t="shared" si="38"/>
        <v>2026-08</v>
      </c>
      <c r="F1229" s="36">
        <f t="shared" si="39"/>
        <v>-2.4449232816667887E-3</v>
      </c>
      <c r="G1229" s="1"/>
      <c r="H1229" s="1"/>
    </row>
    <row r="1230" spans="1:8" x14ac:dyDescent="0.3">
      <c r="A1230" s="26">
        <v>46239</v>
      </c>
      <c r="B1230" s="38" t="s">
        <v>67</v>
      </c>
      <c r="C1230" s="35">
        <v>407.35520000000002</v>
      </c>
      <c r="D1230" s="39">
        <v>4877275</v>
      </c>
      <c r="E1230" s="1" t="str">
        <f t="shared" si="38"/>
        <v>2026-08</v>
      </c>
      <c r="F1230" s="36">
        <f t="shared" si="39"/>
        <v>1.6176292299809436E-2</v>
      </c>
      <c r="G1230" s="1"/>
      <c r="H1230" s="1"/>
    </row>
    <row r="1231" spans="1:8" x14ac:dyDescent="0.3">
      <c r="A1231" s="26">
        <v>46240</v>
      </c>
      <c r="B1231" s="38" t="s">
        <v>67</v>
      </c>
      <c r="C1231" s="35">
        <v>402.8356</v>
      </c>
      <c r="D1231" s="39">
        <v>4335360</v>
      </c>
      <c r="E1231" s="1" t="str">
        <f t="shared" si="38"/>
        <v>2026-08</v>
      </c>
      <c r="F1231" s="36">
        <f t="shared" si="39"/>
        <v>-1.1094985408311997E-2</v>
      </c>
      <c r="G1231" s="1"/>
      <c r="H1231" s="1"/>
    </row>
    <row r="1232" spans="1:8" x14ac:dyDescent="0.3">
      <c r="A1232" s="26">
        <v>46241</v>
      </c>
      <c r="B1232" s="38" t="s">
        <v>67</v>
      </c>
      <c r="C1232" s="35">
        <v>404.40769999999998</v>
      </c>
      <c r="D1232" s="39">
        <v>2834288</v>
      </c>
      <c r="E1232" s="1" t="str">
        <f t="shared" si="38"/>
        <v>2026-08</v>
      </c>
      <c r="F1232" s="36">
        <f t="shared" si="39"/>
        <v>3.9025845779270263E-3</v>
      </c>
      <c r="G1232" s="1"/>
      <c r="H1232" s="1"/>
    </row>
    <row r="1233" spans="1:8" x14ac:dyDescent="0.3">
      <c r="A1233" s="26">
        <v>46244</v>
      </c>
      <c r="B1233" s="38" t="s">
        <v>67</v>
      </c>
      <c r="C1233" s="35">
        <v>409.51679999999999</v>
      </c>
      <c r="D1233" s="39">
        <v>4026940</v>
      </c>
      <c r="E1233" s="1" t="str">
        <f t="shared" si="38"/>
        <v>2026-08</v>
      </c>
      <c r="F1233" s="36">
        <f t="shared" si="39"/>
        <v>1.2633537887631663E-2</v>
      </c>
      <c r="G1233" s="1"/>
      <c r="H1233" s="1"/>
    </row>
    <row r="1234" spans="1:8" x14ac:dyDescent="0.3">
      <c r="A1234" s="26">
        <v>46245</v>
      </c>
      <c r="B1234" s="38" t="s">
        <v>67</v>
      </c>
      <c r="C1234" s="35">
        <v>398.31599999999997</v>
      </c>
      <c r="D1234" s="39">
        <v>4385595</v>
      </c>
      <c r="E1234" s="1" t="str">
        <f t="shared" si="38"/>
        <v>2026-08</v>
      </c>
      <c r="F1234" s="36">
        <f t="shared" si="39"/>
        <v>-2.7351258849453886E-2</v>
      </c>
      <c r="G1234" s="1"/>
      <c r="H1234" s="1"/>
    </row>
    <row r="1235" spans="1:8" x14ac:dyDescent="0.3">
      <c r="A1235" s="26">
        <v>46246</v>
      </c>
      <c r="B1235" s="38" t="s">
        <v>67</v>
      </c>
      <c r="C1235" s="35">
        <v>399.495</v>
      </c>
      <c r="D1235" s="39">
        <v>2638644</v>
      </c>
      <c r="E1235" s="1" t="str">
        <f t="shared" si="38"/>
        <v>2026-08</v>
      </c>
      <c r="F1235" s="36">
        <f t="shared" si="39"/>
        <v>2.9599614376525363E-3</v>
      </c>
      <c r="G1235" s="1"/>
      <c r="H1235" s="1"/>
    </row>
    <row r="1236" spans="1:8" x14ac:dyDescent="0.3">
      <c r="A1236" s="26">
        <v>46247</v>
      </c>
      <c r="B1236" s="38" t="s">
        <v>67</v>
      </c>
      <c r="C1236" s="35">
        <v>401.06709999999998</v>
      </c>
      <c r="D1236" s="39">
        <v>2959034</v>
      </c>
      <c r="E1236" s="1" t="str">
        <f t="shared" si="38"/>
        <v>2026-08</v>
      </c>
      <c r="F1236" s="36">
        <f t="shared" si="39"/>
        <v>3.9352182129939184E-3</v>
      </c>
      <c r="G1236" s="1"/>
      <c r="H1236" s="1"/>
    </row>
    <row r="1237" spans="1:8" x14ac:dyDescent="0.3">
      <c r="A1237" s="26">
        <v>46248</v>
      </c>
      <c r="B1237" s="38" t="s">
        <v>67</v>
      </c>
      <c r="C1237" s="35">
        <v>399.29849999999999</v>
      </c>
      <c r="D1237" s="39">
        <v>2486918</v>
      </c>
      <c r="E1237" s="1" t="str">
        <f t="shared" si="38"/>
        <v>2026-08</v>
      </c>
      <c r="F1237" s="36">
        <f t="shared" si="39"/>
        <v>-4.4097359269807956E-3</v>
      </c>
      <c r="G1237" s="1"/>
      <c r="H1237" s="1"/>
    </row>
    <row r="1238" spans="1:8" x14ac:dyDescent="0.3">
      <c r="A1238" s="26">
        <v>46251</v>
      </c>
      <c r="B1238" s="38" t="s">
        <v>67</v>
      </c>
      <c r="C1238" s="35">
        <v>399.10199999999998</v>
      </c>
      <c r="D1238" s="39">
        <v>2259609</v>
      </c>
      <c r="E1238" s="1" t="str">
        <f t="shared" si="38"/>
        <v>2026-08</v>
      </c>
      <c r="F1238" s="36">
        <f t="shared" si="39"/>
        <v>-4.9211304324958682E-4</v>
      </c>
      <c r="G1238" s="1"/>
      <c r="H1238" s="1"/>
    </row>
    <row r="1239" spans="1:8" x14ac:dyDescent="0.3">
      <c r="A1239" s="26">
        <v>46252</v>
      </c>
      <c r="B1239" s="38" t="s">
        <v>67</v>
      </c>
      <c r="C1239" s="35">
        <v>397.923</v>
      </c>
      <c r="D1239" s="39">
        <v>2969622</v>
      </c>
      <c r="E1239" s="1" t="str">
        <f t="shared" si="38"/>
        <v>2026-08</v>
      </c>
      <c r="F1239" s="36">
        <f t="shared" si="39"/>
        <v>-2.9541320263991588E-3</v>
      </c>
      <c r="G1239" s="1"/>
      <c r="H1239" s="1"/>
    </row>
    <row r="1240" spans="1:8" x14ac:dyDescent="0.3">
      <c r="A1240" s="26">
        <v>46253</v>
      </c>
      <c r="B1240" s="38" t="s">
        <v>67</v>
      </c>
      <c r="C1240" s="35">
        <v>407.35520000000002</v>
      </c>
      <c r="D1240" s="39">
        <v>4798907</v>
      </c>
      <c r="E1240" s="1" t="str">
        <f t="shared" si="38"/>
        <v>2026-08</v>
      </c>
      <c r="F1240" s="36">
        <f t="shared" si="39"/>
        <v>2.3703580843530192E-2</v>
      </c>
      <c r="G1240" s="1"/>
      <c r="H1240" s="1"/>
    </row>
    <row r="1241" spans="1:8" x14ac:dyDescent="0.3">
      <c r="A1241" s="26">
        <v>46254</v>
      </c>
      <c r="B1241" s="38" t="s">
        <v>67</v>
      </c>
      <c r="C1241" s="35">
        <v>410.49930000000001</v>
      </c>
      <c r="D1241" s="39">
        <v>4547450</v>
      </c>
      <c r="E1241" s="1" t="str">
        <f t="shared" si="38"/>
        <v>2026-08</v>
      </c>
      <c r="F1241" s="36">
        <f t="shared" si="39"/>
        <v>7.7183254319570516E-3</v>
      </c>
      <c r="G1241" s="1"/>
      <c r="H1241" s="1"/>
    </row>
    <row r="1242" spans="1:8" x14ac:dyDescent="0.3">
      <c r="A1242" s="26">
        <v>46255</v>
      </c>
      <c r="B1242" s="38" t="s">
        <v>67</v>
      </c>
      <c r="C1242" s="35">
        <v>413.64339999999999</v>
      </c>
      <c r="D1242" s="39">
        <v>5219503</v>
      </c>
      <c r="E1242" s="1" t="str">
        <f t="shared" si="38"/>
        <v>2026-08</v>
      </c>
      <c r="F1242" s="36">
        <f t="shared" si="39"/>
        <v>7.6592091630849346E-3</v>
      </c>
      <c r="G1242" s="1"/>
      <c r="H1242" s="1"/>
    </row>
    <row r="1243" spans="1:8" x14ac:dyDescent="0.3">
      <c r="A1243" s="26">
        <v>46258</v>
      </c>
      <c r="B1243" s="38" t="s">
        <v>67</v>
      </c>
      <c r="C1243" s="35">
        <v>410.49930000000001</v>
      </c>
      <c r="D1243" s="39">
        <v>3530752</v>
      </c>
      <c r="E1243" s="1" t="str">
        <f t="shared" si="38"/>
        <v>2026-08</v>
      </c>
      <c r="F1243" s="36">
        <f t="shared" si="39"/>
        <v>-7.6009915787366156E-3</v>
      </c>
      <c r="G1243" s="1"/>
      <c r="H1243" s="1"/>
    </row>
    <row r="1244" spans="1:8" x14ac:dyDescent="0.3">
      <c r="A1244" s="26">
        <v>46259</v>
      </c>
      <c r="B1244" s="38" t="s">
        <v>67</v>
      </c>
      <c r="C1244" s="35">
        <v>410.49930000000001</v>
      </c>
      <c r="D1244" s="39">
        <v>1823637</v>
      </c>
      <c r="E1244" s="1" t="str">
        <f t="shared" si="38"/>
        <v>2026-08</v>
      </c>
      <c r="F1244" s="36">
        <f t="shared" si="39"/>
        <v>0</v>
      </c>
      <c r="G1244" s="1"/>
      <c r="H1244" s="1"/>
    </row>
    <row r="1245" spans="1:8" x14ac:dyDescent="0.3">
      <c r="A1245" s="26">
        <v>46260</v>
      </c>
      <c r="B1245" s="38" t="s">
        <v>67</v>
      </c>
      <c r="C1245" s="35">
        <v>413.44690000000003</v>
      </c>
      <c r="D1245" s="39">
        <v>3308530</v>
      </c>
      <c r="E1245" s="1" t="str">
        <f t="shared" si="38"/>
        <v>2026-08</v>
      </c>
      <c r="F1245" s="36">
        <f t="shared" si="39"/>
        <v>7.1805238157531814E-3</v>
      </c>
      <c r="G1245" s="1"/>
      <c r="H1245" s="1"/>
    </row>
    <row r="1246" spans="1:8" x14ac:dyDescent="0.3">
      <c r="A1246" s="26">
        <v>46261</v>
      </c>
      <c r="B1246" s="38" t="s">
        <v>67</v>
      </c>
      <c r="C1246" s="35">
        <v>414.82240000000002</v>
      </c>
      <c r="D1246" s="39">
        <v>2212156</v>
      </c>
      <c r="E1246" s="1" t="str">
        <f t="shared" si="38"/>
        <v>2026-08</v>
      </c>
      <c r="F1246" s="36">
        <f t="shared" si="39"/>
        <v>3.3269084857088238E-3</v>
      </c>
      <c r="G1246" s="1"/>
      <c r="H1246" s="1"/>
    </row>
    <row r="1247" spans="1:8" x14ac:dyDescent="0.3">
      <c r="A1247" s="26">
        <v>46262</v>
      </c>
      <c r="B1247" s="38" t="s">
        <v>67</v>
      </c>
      <c r="C1247" s="35">
        <v>416.59100000000001</v>
      </c>
      <c r="D1247" s="39">
        <v>4179918</v>
      </c>
      <c r="E1247" s="1" t="str">
        <f t="shared" si="38"/>
        <v>2026-08</v>
      </c>
      <c r="F1247" s="36">
        <f t="shared" si="39"/>
        <v>4.2635113243643108E-3</v>
      </c>
      <c r="G1247" s="1"/>
      <c r="H1247" s="1"/>
    </row>
    <row r="1248" spans="1:8" x14ac:dyDescent="0.3">
      <c r="A1248" s="26">
        <v>46265</v>
      </c>
      <c r="B1248" s="38" t="s">
        <v>67</v>
      </c>
      <c r="C1248" s="35">
        <v>417.77</v>
      </c>
      <c r="D1248" s="39">
        <v>4023783</v>
      </c>
      <c r="E1248" s="1" t="str">
        <f t="shared" si="38"/>
        <v>2026-08</v>
      </c>
      <c r="F1248" s="36">
        <f t="shared" si="39"/>
        <v>2.830113948693036E-3</v>
      </c>
      <c r="G1248" s="1"/>
      <c r="H1248" s="1"/>
    </row>
    <row r="1249" spans="1:8" x14ac:dyDescent="0.3">
      <c r="A1249" s="26">
        <v>46266</v>
      </c>
      <c r="B1249" s="38" t="s">
        <v>67</v>
      </c>
      <c r="C1249" s="35">
        <v>405.6</v>
      </c>
      <c r="D1249" s="39">
        <v>5303894</v>
      </c>
      <c r="E1249" s="1" t="str">
        <f t="shared" si="38"/>
        <v>2026-09</v>
      </c>
      <c r="F1249" s="36">
        <f t="shared" si="39"/>
        <v>-2.913086147880406E-2</v>
      </c>
      <c r="G1249" s="1"/>
      <c r="H1249" s="1"/>
    </row>
    <row r="1250" spans="1:8" x14ac:dyDescent="0.3">
      <c r="A1250" s="26">
        <v>46267</v>
      </c>
      <c r="B1250" s="38" t="s">
        <v>67</v>
      </c>
      <c r="C1250" s="35">
        <v>404.4</v>
      </c>
      <c r="D1250" s="39">
        <v>3724134</v>
      </c>
      <c r="E1250" s="1" t="str">
        <f t="shared" si="38"/>
        <v>2026-09</v>
      </c>
      <c r="F1250" s="36">
        <f t="shared" si="39"/>
        <v>-2.9585798816569309E-3</v>
      </c>
      <c r="G1250" s="1"/>
      <c r="H1250" s="1"/>
    </row>
    <row r="1251" spans="1:8" x14ac:dyDescent="0.3">
      <c r="A1251" s="26">
        <v>46268</v>
      </c>
      <c r="B1251" s="38" t="s">
        <v>67</v>
      </c>
      <c r="C1251" s="35">
        <v>403.4</v>
      </c>
      <c r="D1251" s="39">
        <v>2389483</v>
      </c>
      <c r="E1251" s="1" t="str">
        <f t="shared" si="38"/>
        <v>2026-09</v>
      </c>
      <c r="F1251" s="36">
        <f t="shared" si="39"/>
        <v>-2.4727992087042461E-3</v>
      </c>
      <c r="G1251" s="1"/>
      <c r="H1251" s="1"/>
    </row>
    <row r="1252" spans="1:8" x14ac:dyDescent="0.3">
      <c r="A1252" s="26">
        <v>46269</v>
      </c>
      <c r="B1252" s="38" t="s">
        <v>67</v>
      </c>
      <c r="C1252" s="35">
        <v>408.8</v>
      </c>
      <c r="D1252" s="39">
        <v>3586406</v>
      </c>
      <c r="E1252" s="1" t="str">
        <f t="shared" si="38"/>
        <v>2026-09</v>
      </c>
      <c r="F1252" s="36">
        <f t="shared" si="39"/>
        <v>1.3386217154189417E-2</v>
      </c>
      <c r="G1252" s="1"/>
      <c r="H1252" s="1"/>
    </row>
    <row r="1253" spans="1:8" x14ac:dyDescent="0.3">
      <c r="A1253" s="26">
        <v>46272</v>
      </c>
      <c r="B1253" s="38" t="s">
        <v>67</v>
      </c>
      <c r="C1253" s="35">
        <v>404</v>
      </c>
      <c r="D1253" s="39">
        <v>1761452</v>
      </c>
      <c r="E1253" s="1" t="str">
        <f t="shared" si="38"/>
        <v>2026-09</v>
      </c>
      <c r="F1253" s="36">
        <f t="shared" si="39"/>
        <v>-1.1741682974559686E-2</v>
      </c>
      <c r="G1253" s="1"/>
      <c r="H1253" s="1"/>
    </row>
    <row r="1254" spans="1:8" x14ac:dyDescent="0.3">
      <c r="A1254" s="26">
        <v>46273</v>
      </c>
      <c r="B1254" s="38" t="s">
        <v>67</v>
      </c>
      <c r="C1254" s="35">
        <v>402</v>
      </c>
      <c r="D1254" s="39">
        <v>1743699</v>
      </c>
      <c r="E1254" s="1" t="str">
        <f t="shared" si="38"/>
        <v>2026-09</v>
      </c>
      <c r="F1254" s="36">
        <f t="shared" si="39"/>
        <v>-4.9504950495049549E-3</v>
      </c>
      <c r="G1254" s="1"/>
      <c r="H1254" s="1"/>
    </row>
    <row r="1255" spans="1:8" x14ac:dyDescent="0.3">
      <c r="A1255" s="26">
        <v>46274</v>
      </c>
      <c r="B1255" s="38" t="s">
        <v>67</v>
      </c>
      <c r="C1255" s="35">
        <v>400.4</v>
      </c>
      <c r="D1255" s="39">
        <v>2210836</v>
      </c>
      <c r="E1255" s="1" t="str">
        <f t="shared" si="38"/>
        <v>2026-09</v>
      </c>
      <c r="F1255" s="36">
        <f t="shared" si="39"/>
        <v>-3.9800995024875663E-3</v>
      </c>
      <c r="G1255" s="1"/>
      <c r="H1255" s="1"/>
    </row>
    <row r="1256" spans="1:8" x14ac:dyDescent="0.3">
      <c r="A1256" s="26">
        <v>46275</v>
      </c>
      <c r="B1256" s="38" t="s">
        <v>67</v>
      </c>
      <c r="C1256" s="35">
        <v>397</v>
      </c>
      <c r="D1256" s="39">
        <v>2784343</v>
      </c>
      <c r="E1256" s="1" t="str">
        <f t="shared" si="38"/>
        <v>2026-09</v>
      </c>
      <c r="F1256" s="36">
        <f t="shared" si="39"/>
        <v>-8.4915084915084815E-3</v>
      </c>
      <c r="G1256" s="1"/>
      <c r="H1256" s="1"/>
    </row>
    <row r="1257" spans="1:8" x14ac:dyDescent="0.3">
      <c r="A1257" s="26">
        <v>46276</v>
      </c>
      <c r="B1257" s="38" t="s">
        <v>67</v>
      </c>
      <c r="C1257" s="35">
        <v>392.6</v>
      </c>
      <c r="D1257" s="39">
        <v>3729107</v>
      </c>
      <c r="E1257" s="1" t="str">
        <f t="shared" si="38"/>
        <v>2026-09</v>
      </c>
      <c r="F1257" s="36">
        <f t="shared" si="39"/>
        <v>-1.108312342569262E-2</v>
      </c>
      <c r="G1257" s="1"/>
      <c r="H1257" s="1"/>
    </row>
    <row r="1258" spans="1:8" x14ac:dyDescent="0.3">
      <c r="A1258" s="26">
        <v>46279</v>
      </c>
      <c r="B1258" s="38" t="s">
        <v>67</v>
      </c>
      <c r="C1258" s="35">
        <v>397.4</v>
      </c>
      <c r="D1258" s="39">
        <v>3229089</v>
      </c>
      <c r="E1258" s="1" t="str">
        <f t="shared" si="38"/>
        <v>2026-09</v>
      </c>
      <c r="F1258" s="36">
        <f t="shared" si="39"/>
        <v>1.2226184411614716E-2</v>
      </c>
      <c r="G1258" s="1"/>
      <c r="H1258" s="1"/>
    </row>
    <row r="1259" spans="1:8" x14ac:dyDescent="0.3">
      <c r="A1259" s="26">
        <v>46280</v>
      </c>
      <c r="B1259" s="38" t="s">
        <v>67</v>
      </c>
      <c r="C1259" s="35">
        <v>393.8</v>
      </c>
      <c r="D1259" s="39">
        <v>2913036</v>
      </c>
      <c r="E1259" s="1" t="str">
        <f t="shared" si="38"/>
        <v>2026-09</v>
      </c>
      <c r="F1259" s="36">
        <f t="shared" si="39"/>
        <v>-9.0588827377955372E-3</v>
      </c>
      <c r="G1259" s="1"/>
      <c r="H1259" s="1"/>
    </row>
    <row r="1260" spans="1:8" x14ac:dyDescent="0.3">
      <c r="A1260" s="26">
        <v>46281</v>
      </c>
      <c r="B1260" s="38" t="s">
        <v>67</v>
      </c>
      <c r="C1260" s="35">
        <v>395.6</v>
      </c>
      <c r="D1260" s="39">
        <v>2108865</v>
      </c>
      <c r="E1260" s="1" t="str">
        <f t="shared" si="38"/>
        <v>2026-09</v>
      </c>
      <c r="F1260" s="36">
        <f t="shared" si="39"/>
        <v>4.5708481462671813E-3</v>
      </c>
      <c r="G1260" s="1"/>
      <c r="H1260" s="1"/>
    </row>
    <row r="1261" spans="1:8" x14ac:dyDescent="0.3">
      <c r="A1261" s="26">
        <v>46282</v>
      </c>
      <c r="B1261" s="38" t="s">
        <v>67</v>
      </c>
      <c r="C1261" s="35">
        <v>388.6</v>
      </c>
      <c r="D1261" s="39">
        <v>6134905</v>
      </c>
      <c r="E1261" s="1" t="str">
        <f t="shared" si="38"/>
        <v>2026-09</v>
      </c>
      <c r="F1261" s="36">
        <f t="shared" si="39"/>
        <v>-1.7694641051567261E-2</v>
      </c>
      <c r="G1261" s="1"/>
      <c r="H1261" s="1"/>
    </row>
    <row r="1262" spans="1:8" x14ac:dyDescent="0.3">
      <c r="A1262" s="26">
        <v>46283</v>
      </c>
      <c r="B1262" s="38" t="s">
        <v>67</v>
      </c>
      <c r="C1262" s="35">
        <v>388</v>
      </c>
      <c r="D1262" s="39">
        <v>4061874</v>
      </c>
      <c r="E1262" s="1" t="str">
        <f t="shared" si="38"/>
        <v>2026-09</v>
      </c>
      <c r="F1262" s="36">
        <f t="shared" si="39"/>
        <v>-1.5440041173443442E-3</v>
      </c>
      <c r="G1262" s="1"/>
      <c r="H1262" s="1"/>
    </row>
    <row r="1263" spans="1:8" x14ac:dyDescent="0.3">
      <c r="A1263" s="26">
        <v>46286</v>
      </c>
      <c r="B1263" s="38" t="s">
        <v>67</v>
      </c>
      <c r="C1263" s="35">
        <v>391.2</v>
      </c>
      <c r="D1263" s="39">
        <v>2604581</v>
      </c>
      <c r="E1263" s="1" t="str">
        <f t="shared" si="38"/>
        <v>2026-09</v>
      </c>
      <c r="F1263" s="36">
        <f t="shared" si="39"/>
        <v>8.2474226804123418E-3</v>
      </c>
      <c r="G1263" s="1"/>
      <c r="H1263" s="1"/>
    </row>
    <row r="1264" spans="1:8" x14ac:dyDescent="0.3">
      <c r="A1264" s="26">
        <v>46287</v>
      </c>
      <c r="B1264" s="38" t="s">
        <v>67</v>
      </c>
      <c r="C1264" s="35">
        <v>397.4</v>
      </c>
      <c r="D1264" s="39">
        <v>3305012</v>
      </c>
      <c r="E1264" s="1" t="str">
        <f t="shared" si="38"/>
        <v>2026-09</v>
      </c>
      <c r="F1264" s="36">
        <f t="shared" si="39"/>
        <v>1.5848670756646088E-2</v>
      </c>
      <c r="G1264" s="1"/>
      <c r="H1264" s="1"/>
    </row>
    <row r="1265" spans="1:8" x14ac:dyDescent="0.3">
      <c r="A1265" s="26">
        <v>46288</v>
      </c>
      <c r="B1265" s="38" t="s">
        <v>67</v>
      </c>
      <c r="C1265" s="35">
        <v>395.8</v>
      </c>
      <c r="D1265" s="39">
        <v>1427287</v>
      </c>
      <c r="E1265" s="1" t="str">
        <f t="shared" si="38"/>
        <v>2026-09</v>
      </c>
      <c r="F1265" s="36">
        <f t="shared" si="39"/>
        <v>-4.0261701056868437E-3</v>
      </c>
      <c r="G1265" s="1"/>
      <c r="H1265" s="1"/>
    </row>
    <row r="1266" spans="1:8" x14ac:dyDescent="0.3">
      <c r="A1266" s="26">
        <v>46289</v>
      </c>
      <c r="B1266" s="38" t="s">
        <v>67</v>
      </c>
      <c r="C1266" s="35">
        <v>393.4</v>
      </c>
      <c r="D1266" s="39">
        <v>1630895</v>
      </c>
      <c r="E1266" s="1" t="str">
        <f t="shared" si="38"/>
        <v>2026-09</v>
      </c>
      <c r="F1266" s="36">
        <f t="shared" si="39"/>
        <v>-6.0636685194543904E-3</v>
      </c>
      <c r="G1266" s="1"/>
      <c r="H1266" s="1"/>
    </row>
    <row r="1267" spans="1:8" x14ac:dyDescent="0.3">
      <c r="A1267" s="26">
        <v>46290</v>
      </c>
      <c r="B1267" s="38" t="s">
        <v>67</v>
      </c>
      <c r="C1267" s="35">
        <v>388.4</v>
      </c>
      <c r="D1267" s="39">
        <v>3312729</v>
      </c>
      <c r="E1267" s="1" t="str">
        <f t="shared" si="38"/>
        <v>2026-09</v>
      </c>
      <c r="F1267" s="36">
        <f t="shared" si="39"/>
        <v>-1.2709710218607007E-2</v>
      </c>
      <c r="G1267" s="1"/>
      <c r="H1267" s="1"/>
    </row>
    <row r="1268" spans="1:8" x14ac:dyDescent="0.3">
      <c r="A1268" s="26">
        <v>46293</v>
      </c>
      <c r="B1268" s="38" t="s">
        <v>67</v>
      </c>
      <c r="C1268" s="35">
        <v>388.6</v>
      </c>
      <c r="D1268" s="39">
        <v>2655471</v>
      </c>
      <c r="E1268" s="1" t="str">
        <f t="shared" si="38"/>
        <v>2026-09</v>
      </c>
      <c r="F1268" s="36">
        <f t="shared" si="39"/>
        <v>5.14933058702427E-4</v>
      </c>
      <c r="G1268" s="1"/>
      <c r="H1268" s="1"/>
    </row>
    <row r="1269" spans="1:8" x14ac:dyDescent="0.3">
      <c r="A1269" s="26">
        <v>46294</v>
      </c>
      <c r="B1269" s="38" t="s">
        <v>67</v>
      </c>
      <c r="C1269" s="35">
        <v>386.8</v>
      </c>
      <c r="D1269" s="39">
        <v>2907533</v>
      </c>
      <c r="E1269" s="1" t="str">
        <f t="shared" si="38"/>
        <v>2026-09</v>
      </c>
      <c r="F1269" s="36">
        <f t="shared" si="39"/>
        <v>-4.6320123520329215E-3</v>
      </c>
      <c r="G1269" s="1"/>
      <c r="H1269" s="1"/>
    </row>
    <row r="1270" spans="1:8" x14ac:dyDescent="0.3">
      <c r="A1270" s="26">
        <v>46295</v>
      </c>
      <c r="B1270" s="38" t="s">
        <v>67</v>
      </c>
      <c r="C1270" s="35">
        <v>387.8</v>
      </c>
      <c r="D1270" s="39">
        <v>2741911</v>
      </c>
      <c r="E1270" s="1" t="str">
        <f t="shared" si="38"/>
        <v>2026-09</v>
      </c>
      <c r="F1270" s="36">
        <f t="shared" si="39"/>
        <v>2.585315408479838E-3</v>
      </c>
      <c r="G1270" s="1"/>
      <c r="H1270" s="1"/>
    </row>
    <row r="1271" spans="1:8" x14ac:dyDescent="0.3">
      <c r="A1271" s="26">
        <v>46297</v>
      </c>
      <c r="B1271" s="38" t="s">
        <v>67</v>
      </c>
      <c r="C1271" s="35">
        <v>375.8</v>
      </c>
      <c r="D1271" s="39">
        <v>8715666</v>
      </c>
      <c r="E1271" s="1" t="str">
        <f t="shared" si="38"/>
        <v>2026-10</v>
      </c>
      <c r="F1271" s="36">
        <f t="shared" si="39"/>
        <v>-3.0943785456420847E-2</v>
      </c>
      <c r="G1271" s="1"/>
      <c r="H1271" s="1"/>
    </row>
    <row r="1272" spans="1:8" x14ac:dyDescent="0.3">
      <c r="A1272" s="26">
        <v>46300</v>
      </c>
      <c r="B1272" s="38" t="s">
        <v>67</v>
      </c>
      <c r="C1272" s="35">
        <v>378</v>
      </c>
      <c r="D1272" s="39">
        <v>2714644</v>
      </c>
      <c r="E1272" s="1" t="str">
        <f t="shared" si="38"/>
        <v>2026-10</v>
      </c>
      <c r="F1272" s="36">
        <f t="shared" si="39"/>
        <v>5.8541777541245565E-3</v>
      </c>
      <c r="G1272" s="1"/>
      <c r="H1272" s="1"/>
    </row>
    <row r="1273" spans="1:8" x14ac:dyDescent="0.3">
      <c r="A1273" s="26">
        <v>46301</v>
      </c>
      <c r="B1273" s="38" t="s">
        <v>67</v>
      </c>
      <c r="C1273" s="35">
        <v>380</v>
      </c>
      <c r="D1273" s="39">
        <v>1841202</v>
      </c>
      <c r="E1273" s="1" t="str">
        <f t="shared" si="38"/>
        <v>2026-10</v>
      </c>
      <c r="F1273" s="36">
        <f t="shared" si="39"/>
        <v>5.2910052910053462E-3</v>
      </c>
      <c r="G1273" s="1"/>
      <c r="H1273" s="1"/>
    </row>
    <row r="1274" spans="1:8" x14ac:dyDescent="0.3">
      <c r="A1274" s="26">
        <v>46302</v>
      </c>
      <c r="B1274" s="38" t="s">
        <v>67</v>
      </c>
      <c r="C1274" s="35">
        <v>379</v>
      </c>
      <c r="D1274" s="39">
        <v>1880639</v>
      </c>
      <c r="E1274" s="1" t="str">
        <f t="shared" si="38"/>
        <v>2026-10</v>
      </c>
      <c r="F1274" s="36">
        <f t="shared" si="39"/>
        <v>-2.6315789473684292E-3</v>
      </c>
      <c r="G1274" s="1"/>
      <c r="H1274" s="1"/>
    </row>
    <row r="1275" spans="1:8" x14ac:dyDescent="0.3">
      <c r="A1275" s="26">
        <v>46303</v>
      </c>
      <c r="B1275" s="38" t="s">
        <v>67</v>
      </c>
      <c r="C1275" s="35">
        <v>375</v>
      </c>
      <c r="D1275" s="39">
        <v>2370397</v>
      </c>
      <c r="E1275" s="1" t="str">
        <f t="shared" si="38"/>
        <v>2026-10</v>
      </c>
      <c r="F1275" s="36">
        <f t="shared" si="39"/>
        <v>-1.0554089709762571E-2</v>
      </c>
      <c r="G1275" s="1"/>
      <c r="H1275" s="1"/>
    </row>
    <row r="1276" spans="1:8" x14ac:dyDescent="0.3">
      <c r="A1276" s="26">
        <v>46304</v>
      </c>
      <c r="B1276" s="38" t="s">
        <v>67</v>
      </c>
      <c r="C1276" s="35">
        <v>377.8</v>
      </c>
      <c r="D1276" s="39">
        <v>2148584</v>
      </c>
      <c r="E1276" s="1" t="str">
        <f t="shared" si="38"/>
        <v>2026-10</v>
      </c>
      <c r="F1276" s="36">
        <f t="shared" si="39"/>
        <v>7.4666666666667325E-3</v>
      </c>
      <c r="G1276" s="1"/>
      <c r="H1276" s="1"/>
    </row>
    <row r="1277" spans="1:8" x14ac:dyDescent="0.3">
      <c r="A1277" s="26">
        <v>46307</v>
      </c>
      <c r="B1277" s="38" t="s">
        <v>67</v>
      </c>
      <c r="C1277" s="35">
        <v>375.4</v>
      </c>
      <c r="D1277" s="39">
        <v>1797194</v>
      </c>
      <c r="E1277" s="1" t="str">
        <f t="shared" si="38"/>
        <v>2026-10</v>
      </c>
      <c r="F1277" s="36">
        <f t="shared" si="39"/>
        <v>-6.3525674960297485E-3</v>
      </c>
      <c r="G1277" s="1"/>
      <c r="H1277" s="1"/>
    </row>
    <row r="1278" spans="1:8" x14ac:dyDescent="0.3">
      <c r="A1278" s="26">
        <v>46308</v>
      </c>
      <c r="B1278" s="38" t="s">
        <v>67</v>
      </c>
      <c r="C1278" s="35">
        <v>379.6</v>
      </c>
      <c r="D1278" s="39">
        <v>2260377</v>
      </c>
      <c r="E1278" s="1" t="str">
        <f t="shared" si="38"/>
        <v>2026-10</v>
      </c>
      <c r="F1278" s="36">
        <f t="shared" si="39"/>
        <v>1.1188066062866486E-2</v>
      </c>
      <c r="G1278" s="1"/>
      <c r="H1278" s="1"/>
    </row>
    <row r="1279" spans="1:8" x14ac:dyDescent="0.3">
      <c r="A1279" s="26">
        <v>46309</v>
      </c>
      <c r="B1279" s="38" t="s">
        <v>67</v>
      </c>
      <c r="C1279" s="35">
        <v>373.6</v>
      </c>
      <c r="D1279" s="39">
        <v>3184126</v>
      </c>
      <c r="E1279" s="1" t="str">
        <f t="shared" si="38"/>
        <v>2026-10</v>
      </c>
      <c r="F1279" s="36">
        <f t="shared" si="39"/>
        <v>-1.5806111696522684E-2</v>
      </c>
      <c r="G1279" s="1"/>
      <c r="H1279" s="1"/>
    </row>
    <row r="1280" spans="1:8" x14ac:dyDescent="0.3">
      <c r="A1280" s="26">
        <v>46310</v>
      </c>
      <c r="B1280" s="38" t="s">
        <v>67</v>
      </c>
      <c r="C1280" s="35">
        <v>371.4</v>
      </c>
      <c r="D1280" s="39">
        <v>2750387</v>
      </c>
      <c r="E1280" s="1" t="str">
        <f t="shared" si="38"/>
        <v>2026-10</v>
      </c>
      <c r="F1280" s="36">
        <f t="shared" si="39"/>
        <v>-5.8886509635975859E-3</v>
      </c>
      <c r="G1280" s="1"/>
      <c r="H1280" s="1"/>
    </row>
    <row r="1281" spans="1:8" x14ac:dyDescent="0.3">
      <c r="A1281" s="26">
        <v>46311</v>
      </c>
      <c r="B1281" s="38" t="s">
        <v>67</v>
      </c>
      <c r="C1281" s="35">
        <v>374.6</v>
      </c>
      <c r="D1281" s="39">
        <v>3203169</v>
      </c>
      <c r="E1281" s="1" t="str">
        <f t="shared" si="38"/>
        <v>2026-10</v>
      </c>
      <c r="F1281" s="36">
        <f t="shared" si="39"/>
        <v>8.6160473882608279E-3</v>
      </c>
      <c r="G1281" s="1"/>
      <c r="H1281" s="1"/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6640625" defaultRowHeight="14.4" x14ac:dyDescent="0.3"/>
  <cols>
    <col min="1" max="1" width="12" customWidth="1"/>
    <col min="2" max="9" width="13" customWidth="1"/>
  </cols>
  <sheetData>
    <row r="1" spans="1:11" ht="26.4" x14ac:dyDescent="0.3">
      <c r="A1" s="20" t="s">
        <v>73</v>
      </c>
      <c r="B1" s="20" t="s">
        <v>88</v>
      </c>
      <c r="C1" s="20" t="s">
        <v>89</v>
      </c>
      <c r="D1" s="20" t="s">
        <v>90</v>
      </c>
      <c r="E1" s="20" t="s">
        <v>91</v>
      </c>
      <c r="F1" s="20" t="s">
        <v>92</v>
      </c>
      <c r="G1" s="20" t="s">
        <v>93</v>
      </c>
      <c r="H1" s="20" t="s">
        <v>94</v>
      </c>
      <c r="I1" s="20" t="s">
        <v>95</v>
      </c>
      <c r="J1" s="1"/>
      <c r="K1" s="19" t="s">
        <v>96</v>
      </c>
    </row>
    <row r="2" spans="1:11" x14ac:dyDescent="0.3">
      <c r="A2" s="26">
        <f>Prices!A2</f>
        <v>45932</v>
      </c>
      <c r="B2" s="40">
        <f>INDEX(Prices!$B2:$G2,1,Dashboard!$C$8)</f>
        <v>668.70889999999997</v>
      </c>
      <c r="C2" s="36">
        <v>0</v>
      </c>
      <c r="D2" s="41">
        <f ca="1">AVERAGE(OFFSET(B2,1-MIN(Dashboard!$C$6,ROW()-1),0,MIN(Dashboard!$C$6,ROW()-1),1))</f>
        <v>668.70889999999997</v>
      </c>
      <c r="E2" s="41">
        <f ca="1">AVERAGE(OFFSET(B2,1-MIN(Dashboard!$C$7,ROW()-1),0,MIN(Dashboard!$C$7,ROW()-1),1))</f>
        <v>668.70889999999997</v>
      </c>
      <c r="F2" s="1">
        <v>0</v>
      </c>
      <c r="G2" s="36">
        <v>0</v>
      </c>
      <c r="H2" s="27">
        <v>100</v>
      </c>
      <c r="I2" s="27">
        <v>100</v>
      </c>
      <c r="J2" s="1"/>
      <c r="K2" s="1"/>
    </row>
    <row r="3" spans="1:11" x14ac:dyDescent="0.3">
      <c r="A3" s="26">
        <f>Prices!A3</f>
        <v>45933</v>
      </c>
      <c r="B3" s="40">
        <f>INDEX(Prices!$B3:$G3,1,Dashboard!$C$8)</f>
        <v>665.74350000000004</v>
      </c>
      <c r="C3" s="36">
        <f t="shared" ref="C3:C66" si="0">B3/B2-1</f>
        <v>-4.4345155268606939E-3</v>
      </c>
      <c r="D3" s="41">
        <f ca="1">AVERAGE(OFFSET(B3,1-MIN(Dashboard!$C$6,ROW()-1),0,MIN(Dashboard!$C$6,ROW()-1),1))</f>
        <v>667.22620000000006</v>
      </c>
      <c r="E3" s="41">
        <f ca="1">AVERAGE(OFFSET(B3,1-MIN(Dashboard!$C$7,ROW()-1),0,MIN(Dashboard!$C$7,ROW()-1),1))</f>
        <v>667.22620000000006</v>
      </c>
      <c r="F3" s="1">
        <f>IF(ROW()-1&gt;Dashboard!$C$7,IF(D2&gt;E2,1,0),0)</f>
        <v>0</v>
      </c>
      <c r="G3" s="36">
        <f t="shared" ref="G3:G66" si="1">F3*C3</f>
        <v>0</v>
      </c>
      <c r="H3" s="27">
        <f t="shared" ref="H3:H66" si="2">H2*(1+C3)</f>
        <v>99.556548447313929</v>
      </c>
      <c r="I3" s="27">
        <f t="shared" ref="I3:I66" si="3">I2*(1+G3)</f>
        <v>100</v>
      </c>
      <c r="J3" s="1"/>
      <c r="K3" s="1"/>
    </row>
    <row r="4" spans="1:11" x14ac:dyDescent="0.3">
      <c r="A4" s="26">
        <f>Prices!A4</f>
        <v>45936</v>
      </c>
      <c r="B4" s="40">
        <f>INDEX(Prices!$B4:$G4,1,Dashboard!$C$8)</f>
        <v>669.69740000000002</v>
      </c>
      <c r="C4" s="36">
        <f t="shared" si="0"/>
        <v>5.9390741329055086E-3</v>
      </c>
      <c r="D4" s="41">
        <f ca="1">AVERAGE(OFFSET(B4,1-MIN(Dashboard!$C$6,ROW()-1),0,MIN(Dashboard!$C$6,ROW()-1),1))</f>
        <v>668.04993333333334</v>
      </c>
      <c r="E4" s="41">
        <f ca="1">AVERAGE(OFFSET(B4,1-MIN(Dashboard!$C$7,ROW()-1),0,MIN(Dashboard!$C$7,ROW()-1),1))</f>
        <v>668.04993333333334</v>
      </c>
      <c r="F4" s="1">
        <f>IF(ROW()-1&gt;Dashboard!$C$7,IF(D3&gt;E3,1,0),0)</f>
        <v>0</v>
      </c>
      <c r="G4" s="36">
        <f t="shared" si="1"/>
        <v>0</v>
      </c>
      <c r="H4" s="27">
        <f t="shared" si="2"/>
        <v>100.14782216895873</v>
      </c>
      <c r="I4" s="27">
        <f t="shared" si="3"/>
        <v>100</v>
      </c>
      <c r="J4" s="1"/>
      <c r="K4" s="1"/>
    </row>
    <row r="5" spans="1:11" x14ac:dyDescent="0.3">
      <c r="A5" s="26">
        <f>Prices!A5</f>
        <v>45938</v>
      </c>
      <c r="B5" s="40">
        <f>INDEX(Prices!$B5:$G5,1,Dashboard!$C$8)</f>
        <v>667.22619999999995</v>
      </c>
      <c r="C5" s="36">
        <f t="shared" si="0"/>
        <v>-3.6900247783552276E-3</v>
      </c>
      <c r="D5" s="41">
        <f ca="1">AVERAGE(OFFSET(B5,1-MIN(Dashboard!$C$6,ROW()-1),0,MIN(Dashboard!$C$6,ROW()-1),1))</f>
        <v>667.84400000000005</v>
      </c>
      <c r="E5" s="41">
        <f ca="1">AVERAGE(OFFSET(B5,1-MIN(Dashboard!$C$7,ROW()-1),0,MIN(Dashboard!$C$7,ROW()-1),1))</f>
        <v>667.84400000000005</v>
      </c>
      <c r="F5" s="1">
        <f>IF(ROW()-1&gt;Dashboard!$C$7,IF(D4&gt;E4,1,0),0)</f>
        <v>0</v>
      </c>
      <c r="G5" s="36">
        <f t="shared" si="1"/>
        <v>0</v>
      </c>
      <c r="H5" s="27">
        <f t="shared" si="2"/>
        <v>99.77827422365695</v>
      </c>
      <c r="I5" s="27">
        <f t="shared" si="3"/>
        <v>100</v>
      </c>
      <c r="J5" s="1"/>
      <c r="K5" s="1"/>
    </row>
    <row r="6" spans="1:11" x14ac:dyDescent="0.3">
      <c r="A6" s="26">
        <f>Prices!A6</f>
        <v>45939</v>
      </c>
      <c r="B6" s="40">
        <f>INDEX(Prices!$B6:$G6,1,Dashboard!$C$8)</f>
        <v>667.72050000000002</v>
      </c>
      <c r="C6" s="36">
        <f t="shared" si="0"/>
        <v>7.4082822287269146E-4</v>
      </c>
      <c r="D6" s="41">
        <f ca="1">AVERAGE(OFFSET(B6,1-MIN(Dashboard!$C$6,ROW()-1),0,MIN(Dashboard!$C$6,ROW()-1),1))</f>
        <v>667.8193</v>
      </c>
      <c r="E6" s="41">
        <f ca="1">AVERAGE(OFFSET(B6,1-MIN(Dashboard!$C$7,ROW()-1),0,MIN(Dashboard!$C$7,ROW()-1),1))</f>
        <v>667.8193</v>
      </c>
      <c r="F6" s="1">
        <f>IF(ROW()-1&gt;Dashboard!$C$7,IF(D5&gt;E5,1,0),0)</f>
        <v>0</v>
      </c>
      <c r="G6" s="36">
        <f t="shared" si="1"/>
        <v>0</v>
      </c>
      <c r="H6" s="27">
        <f t="shared" si="2"/>
        <v>99.852192785231367</v>
      </c>
      <c r="I6" s="27">
        <f t="shared" si="3"/>
        <v>100</v>
      </c>
      <c r="J6" s="1"/>
      <c r="K6" s="1"/>
    </row>
    <row r="7" spans="1:11" x14ac:dyDescent="0.3">
      <c r="A7" s="26">
        <f>Prices!A7</f>
        <v>45940</v>
      </c>
      <c r="B7" s="40">
        <f>INDEX(Prices!$B7:$G7,1,Dashboard!$C$8)</f>
        <v>643.99680000000001</v>
      </c>
      <c r="C7" s="36">
        <f t="shared" si="0"/>
        <v>-3.5529386921623662E-2</v>
      </c>
      <c r="D7" s="41">
        <f ca="1">AVERAGE(OFFSET(B7,1-MIN(Dashboard!$C$6,ROW()-1),0,MIN(Dashboard!$C$6,ROW()-1),1))</f>
        <v>663.84888333333333</v>
      </c>
      <c r="E7" s="41">
        <f ca="1">AVERAGE(OFFSET(B7,1-MIN(Dashboard!$C$7,ROW()-1),0,MIN(Dashboard!$C$7,ROW()-1),1))</f>
        <v>663.84888333333333</v>
      </c>
      <c r="F7" s="1">
        <f>IF(ROW()-1&gt;Dashboard!$C$7,IF(D6&gt;E6,1,0),0)</f>
        <v>0</v>
      </c>
      <c r="G7" s="36">
        <f t="shared" si="1"/>
        <v>0</v>
      </c>
      <c r="H7" s="27">
        <f t="shared" si="2"/>
        <v>96.304505592792324</v>
      </c>
      <c r="I7" s="27">
        <f t="shared" si="3"/>
        <v>100</v>
      </c>
      <c r="J7" s="1"/>
      <c r="K7" s="1"/>
    </row>
    <row r="8" spans="1:11" x14ac:dyDescent="0.3">
      <c r="A8" s="26">
        <f>Prices!A8</f>
        <v>45943</v>
      </c>
      <c r="B8" s="40">
        <f>INDEX(Prices!$B8:$G8,1,Dashboard!$C$8)</f>
        <v>631.64080000000001</v>
      </c>
      <c r="C8" s="36">
        <f t="shared" si="0"/>
        <v>-1.9186430740028459E-2</v>
      </c>
      <c r="D8" s="41">
        <f ca="1">AVERAGE(OFFSET(B8,1-MIN(Dashboard!$C$6,ROW()-1),0,MIN(Dashboard!$C$6,ROW()-1),1))</f>
        <v>659.24772857142852</v>
      </c>
      <c r="E8" s="41">
        <f ca="1">AVERAGE(OFFSET(B8,1-MIN(Dashboard!$C$7,ROW()-1),0,MIN(Dashboard!$C$7,ROW()-1),1))</f>
        <v>659.24772857142852</v>
      </c>
      <c r="F8" s="1">
        <f>IF(ROW()-1&gt;Dashboard!$C$7,IF(D7&gt;E7,1,0),0)</f>
        <v>0</v>
      </c>
      <c r="G8" s="36">
        <f t="shared" si="1"/>
        <v>0</v>
      </c>
      <c r="H8" s="27">
        <f t="shared" si="2"/>
        <v>94.456765866283533</v>
      </c>
      <c r="I8" s="27">
        <f t="shared" si="3"/>
        <v>100</v>
      </c>
      <c r="J8" s="1"/>
      <c r="K8" s="1"/>
    </row>
    <row r="9" spans="1:11" x14ac:dyDescent="0.3">
      <c r="A9" s="26">
        <f>Prices!A9</f>
        <v>45944</v>
      </c>
      <c r="B9" s="40">
        <f>INDEX(Prices!$B9:$G9,1,Dashboard!$C$8)</f>
        <v>613.84810000000004</v>
      </c>
      <c r="C9" s="36">
        <f t="shared" si="0"/>
        <v>-2.8169016314335549E-2</v>
      </c>
      <c r="D9" s="41">
        <f ca="1">AVERAGE(OFFSET(B9,1-MIN(Dashboard!$C$6,ROW()-1),0,MIN(Dashboard!$C$6,ROW()-1),1))</f>
        <v>653.57277499999998</v>
      </c>
      <c r="E9" s="41">
        <f ca="1">AVERAGE(OFFSET(B9,1-MIN(Dashboard!$C$7,ROW()-1),0,MIN(Dashboard!$C$7,ROW()-1),1))</f>
        <v>653.57277499999998</v>
      </c>
      <c r="F9" s="1">
        <f>IF(ROW()-1&gt;Dashboard!$C$7,IF(D8&gt;E8,1,0),0)</f>
        <v>0</v>
      </c>
      <c r="G9" s="36">
        <f t="shared" si="1"/>
        <v>0</v>
      </c>
      <c r="H9" s="27">
        <f t="shared" si="2"/>
        <v>91.796011687596817</v>
      </c>
      <c r="I9" s="27">
        <f t="shared" si="3"/>
        <v>100</v>
      </c>
      <c r="J9" s="1"/>
      <c r="K9" s="1"/>
    </row>
    <row r="10" spans="1:11" x14ac:dyDescent="0.3">
      <c r="A10" s="26">
        <f>Prices!A10</f>
        <v>45945</v>
      </c>
      <c r="B10" s="40">
        <f>INDEX(Prices!$B10:$G10,1,Dashboard!$C$8)</f>
        <v>619.779</v>
      </c>
      <c r="C10" s="36">
        <f t="shared" si="0"/>
        <v>9.6618365357812319E-3</v>
      </c>
      <c r="D10" s="41">
        <f ca="1">AVERAGE(OFFSET(B10,1-MIN(Dashboard!$C$6,ROW()-1),0,MIN(Dashboard!$C$6,ROW()-1),1))</f>
        <v>649.81791111111102</v>
      </c>
      <c r="E10" s="41">
        <f ca="1">AVERAGE(OFFSET(B10,1-MIN(Dashboard!$C$7,ROW()-1),0,MIN(Dashboard!$C$7,ROW()-1),1))</f>
        <v>649.81791111111102</v>
      </c>
      <c r="F10" s="1">
        <f>IF(ROW()-1&gt;Dashboard!$C$7,IF(D9&gt;E9,1,0),0)</f>
        <v>0</v>
      </c>
      <c r="G10" s="36">
        <f t="shared" si="1"/>
        <v>0</v>
      </c>
      <c r="H10" s="27">
        <f t="shared" si="2"/>
        <v>92.682929747159037</v>
      </c>
      <c r="I10" s="27">
        <f t="shared" si="3"/>
        <v>100</v>
      </c>
      <c r="J10" s="1"/>
      <c r="K10" s="1"/>
    </row>
    <row r="11" spans="1:11" x14ac:dyDescent="0.3">
      <c r="A11" s="26">
        <f>Prices!A11</f>
        <v>45946</v>
      </c>
      <c r="B11" s="40">
        <f>INDEX(Prices!$B11:$G11,1,Dashboard!$C$8)</f>
        <v>612.8596</v>
      </c>
      <c r="C11" s="36">
        <f t="shared" si="0"/>
        <v>-1.1164302114140656E-2</v>
      </c>
      <c r="D11" s="41">
        <f ca="1">AVERAGE(OFFSET(B11,1-MIN(Dashboard!$C$6,ROW()-1),0,MIN(Dashboard!$C$6,ROW()-1),1))</f>
        <v>646.12207999999987</v>
      </c>
      <c r="E11" s="41">
        <f ca="1">AVERAGE(OFFSET(B11,1-MIN(Dashboard!$C$7,ROW()-1),0,MIN(Dashboard!$C$7,ROW()-1),1))</f>
        <v>646.12207999999987</v>
      </c>
      <c r="F11" s="1">
        <f>IF(ROW()-1&gt;Dashboard!$C$7,IF(D10&gt;E10,1,0),0)</f>
        <v>0</v>
      </c>
      <c r="G11" s="36">
        <f t="shared" si="1"/>
        <v>0</v>
      </c>
      <c r="H11" s="27">
        <f t="shared" si="2"/>
        <v>91.648189518638077</v>
      </c>
      <c r="I11" s="27">
        <f t="shared" si="3"/>
        <v>100</v>
      </c>
      <c r="J11" s="1"/>
      <c r="K11" s="1"/>
    </row>
    <row r="12" spans="1:11" x14ac:dyDescent="0.3">
      <c r="A12" s="26">
        <f>Prices!A12</f>
        <v>45947</v>
      </c>
      <c r="B12" s="40">
        <f>INDEX(Prices!$B12:$G12,1,Dashboard!$C$8)</f>
        <v>600.99779999999998</v>
      </c>
      <c r="C12" s="36">
        <f t="shared" si="0"/>
        <v>-1.9354840815090424E-2</v>
      </c>
      <c r="D12" s="41">
        <f ca="1">AVERAGE(OFFSET(B12,1-MIN(Dashboard!$C$6,ROW()-1),0,MIN(Dashboard!$C$6,ROW()-1),1))</f>
        <v>642.01987272727263</v>
      </c>
      <c r="E12" s="41">
        <f ca="1">AVERAGE(OFFSET(B12,1-MIN(Dashboard!$C$7,ROW()-1),0,MIN(Dashboard!$C$7,ROW()-1),1))</f>
        <v>642.01987272727263</v>
      </c>
      <c r="F12" s="1">
        <f>IF(ROW()-1&gt;Dashboard!$C$7,IF(D11&gt;E11,1,0),0)</f>
        <v>0</v>
      </c>
      <c r="G12" s="36">
        <f t="shared" si="1"/>
        <v>0</v>
      </c>
      <c r="H12" s="27">
        <f t="shared" si="2"/>
        <v>89.874353399513595</v>
      </c>
      <c r="I12" s="27">
        <f t="shared" si="3"/>
        <v>100</v>
      </c>
      <c r="J12" s="1"/>
      <c r="K12" s="1"/>
    </row>
    <row r="13" spans="1:11" x14ac:dyDescent="0.3">
      <c r="A13" s="26">
        <f>Prices!A13</f>
        <v>45950</v>
      </c>
      <c r="B13" s="40">
        <f>INDEX(Prices!$B13:$G13,1,Dashboard!$C$8)</f>
        <v>620.27329999999995</v>
      </c>
      <c r="C13" s="36">
        <f t="shared" si="0"/>
        <v>3.2072496771202719E-2</v>
      </c>
      <c r="D13" s="41">
        <f ca="1">AVERAGE(OFFSET(B13,1-MIN(Dashboard!$C$6,ROW()-1),0,MIN(Dashboard!$C$6,ROW()-1),1))</f>
        <v>640.20765833333326</v>
      </c>
      <c r="E13" s="41">
        <f ca="1">AVERAGE(OFFSET(B13,1-MIN(Dashboard!$C$7,ROW()-1),0,MIN(Dashboard!$C$7,ROW()-1),1))</f>
        <v>640.20765833333326</v>
      </c>
      <c r="F13" s="1">
        <f>IF(ROW()-1&gt;Dashboard!$C$7,IF(D12&gt;E12,1,0),0)</f>
        <v>0</v>
      </c>
      <c r="G13" s="36">
        <f t="shared" si="1"/>
        <v>0</v>
      </c>
      <c r="H13" s="27">
        <f t="shared" si="2"/>
        <v>92.756848308733424</v>
      </c>
      <c r="I13" s="27">
        <f t="shared" si="3"/>
        <v>100</v>
      </c>
      <c r="J13" s="1"/>
      <c r="K13" s="1"/>
    </row>
    <row r="14" spans="1:11" x14ac:dyDescent="0.3">
      <c r="A14" s="26">
        <f>Prices!A14</f>
        <v>45951</v>
      </c>
      <c r="B14" s="40">
        <f>INDEX(Prices!$B14:$G14,1,Dashboard!$C$8)</f>
        <v>623.23869999999999</v>
      </c>
      <c r="C14" s="36">
        <f t="shared" si="0"/>
        <v>4.7807958201651068E-3</v>
      </c>
      <c r="D14" s="41">
        <f ca="1">AVERAGE(OFFSET(B14,1-MIN(Dashboard!$C$6,ROW()-1),0,MIN(Dashboard!$C$6,ROW()-1),1))</f>
        <v>638.9023538461538</v>
      </c>
      <c r="E14" s="41">
        <f ca="1">AVERAGE(OFFSET(B14,1-MIN(Dashboard!$C$7,ROW()-1),0,MIN(Dashboard!$C$7,ROW()-1),1))</f>
        <v>638.9023538461538</v>
      </c>
      <c r="F14" s="1">
        <f>IF(ROW()-1&gt;Dashboard!$C$7,IF(D13&gt;E13,1,0),0)</f>
        <v>0</v>
      </c>
      <c r="G14" s="36">
        <f t="shared" si="1"/>
        <v>0</v>
      </c>
      <c r="H14" s="27">
        <f t="shared" si="2"/>
        <v>93.200299861419509</v>
      </c>
      <c r="I14" s="27">
        <f t="shared" si="3"/>
        <v>100</v>
      </c>
      <c r="J14" s="1"/>
      <c r="K14" s="1"/>
    </row>
    <row r="15" spans="1:11" x14ac:dyDescent="0.3">
      <c r="A15" s="26">
        <f>Prices!A15</f>
        <v>45952</v>
      </c>
      <c r="B15" s="40">
        <f>INDEX(Prices!$B15:$G15,1,Dashboard!$C$8)</f>
        <v>616.3193</v>
      </c>
      <c r="C15" s="36">
        <f t="shared" si="0"/>
        <v>-1.1102327246366395E-2</v>
      </c>
      <c r="D15" s="41">
        <f ca="1">AVERAGE(OFFSET(B15,1-MIN(Dashboard!$C$6,ROW()-1),0,MIN(Dashboard!$C$6,ROW()-1),1))</f>
        <v>637.28927857142844</v>
      </c>
      <c r="E15" s="41">
        <f ca="1">AVERAGE(OFFSET(B15,1-MIN(Dashboard!$C$7,ROW()-1),0,MIN(Dashboard!$C$7,ROW()-1),1))</f>
        <v>637.28927857142844</v>
      </c>
      <c r="F15" s="1">
        <f>IF(ROW()-1&gt;Dashboard!$C$7,IF(D14&gt;E14,1,0),0)</f>
        <v>0</v>
      </c>
      <c r="G15" s="36">
        <f t="shared" si="1"/>
        <v>0</v>
      </c>
      <c r="H15" s="27">
        <f t="shared" si="2"/>
        <v>92.16555963289855</v>
      </c>
      <c r="I15" s="27">
        <f t="shared" si="3"/>
        <v>100</v>
      </c>
      <c r="J15" s="1"/>
      <c r="K15" s="1"/>
    </row>
    <row r="16" spans="1:11" x14ac:dyDescent="0.3">
      <c r="A16" s="26">
        <f>Prices!A16</f>
        <v>45953</v>
      </c>
      <c r="B16" s="40">
        <f>INDEX(Prices!$B16:$G16,1,Dashboard!$C$8)</f>
        <v>625.70989999999995</v>
      </c>
      <c r="C16" s="36">
        <f t="shared" si="0"/>
        <v>1.5236582725869363E-2</v>
      </c>
      <c r="D16" s="41">
        <f ca="1">AVERAGE(OFFSET(B16,1-MIN(Dashboard!$C$6,ROW()-1),0,MIN(Dashboard!$C$6,ROW()-1),1))</f>
        <v>636.51731999999981</v>
      </c>
      <c r="E16" s="41">
        <f ca="1">AVERAGE(OFFSET(B16,1-MIN(Dashboard!$C$7,ROW()-1),0,MIN(Dashboard!$C$7,ROW()-1),1))</f>
        <v>636.51731999999981</v>
      </c>
      <c r="F16" s="1">
        <f>IF(ROW()-1&gt;Dashboard!$C$7,IF(D15&gt;E15,1,0),0)</f>
        <v>0</v>
      </c>
      <c r="G16" s="36">
        <f t="shared" si="1"/>
        <v>0</v>
      </c>
      <c r="H16" s="27">
        <f t="shared" si="2"/>
        <v>93.569847806721256</v>
      </c>
      <c r="I16" s="27">
        <f t="shared" si="3"/>
        <v>100</v>
      </c>
      <c r="J16" s="1"/>
      <c r="K16" s="1"/>
    </row>
    <row r="17" spans="1:11" x14ac:dyDescent="0.3">
      <c r="A17" s="26">
        <f>Prices!A17</f>
        <v>45954</v>
      </c>
      <c r="B17" s="40">
        <f>INDEX(Prices!$B17:$G17,1,Dashboard!$C$8)</f>
        <v>630.15809999999999</v>
      </c>
      <c r="C17" s="36">
        <f t="shared" si="0"/>
        <v>7.1090452620297118E-3</v>
      </c>
      <c r="D17" s="41">
        <f ca="1">AVERAGE(OFFSET(B17,1-MIN(Dashboard!$C$6,ROW()-1),0,MIN(Dashboard!$C$6,ROW()-1),1))</f>
        <v>636.11986874999991</v>
      </c>
      <c r="E17" s="41">
        <f ca="1">AVERAGE(OFFSET(B17,1-MIN(Dashboard!$C$7,ROW()-1),0,MIN(Dashboard!$C$7,ROW()-1),1))</f>
        <v>636.11986874999991</v>
      </c>
      <c r="F17" s="1">
        <f>IF(ROW()-1&gt;Dashboard!$C$7,IF(D16&gt;E16,1,0),0)</f>
        <v>0</v>
      </c>
      <c r="G17" s="36">
        <f t="shared" si="1"/>
        <v>0</v>
      </c>
      <c r="H17" s="27">
        <f t="shared" si="2"/>
        <v>94.235040089940469</v>
      </c>
      <c r="I17" s="27">
        <f t="shared" si="3"/>
        <v>100</v>
      </c>
      <c r="J17" s="1"/>
      <c r="K17" s="1"/>
    </row>
    <row r="18" spans="1:11" x14ac:dyDescent="0.3">
      <c r="A18" s="26">
        <f>Prices!A18</f>
        <v>45957</v>
      </c>
      <c r="B18" s="40">
        <f>INDEX(Prices!$B18:$G18,1,Dashboard!$C$8)</f>
        <v>648.44500000000005</v>
      </c>
      <c r="C18" s="36">
        <f t="shared" si="0"/>
        <v>2.9019542873447213E-2</v>
      </c>
      <c r="D18" s="41">
        <f ca="1">AVERAGE(OFFSET(B18,1-MIN(Dashboard!$C$6,ROW()-1),0,MIN(Dashboard!$C$6,ROW()-1),1))</f>
        <v>636.84487647058813</v>
      </c>
      <c r="E18" s="41">
        <f ca="1">AVERAGE(OFFSET(B18,1-MIN(Dashboard!$C$7,ROW()-1),0,MIN(Dashboard!$C$7,ROW()-1),1))</f>
        <v>636.84487647058813</v>
      </c>
      <c r="F18" s="1">
        <f>IF(ROW()-1&gt;Dashboard!$C$7,IF(D17&gt;E17,1,0),0)</f>
        <v>0</v>
      </c>
      <c r="G18" s="36">
        <f t="shared" si="1"/>
        <v>0</v>
      </c>
      <c r="H18" s="27">
        <f t="shared" si="2"/>
        <v>96.969697876011509</v>
      </c>
      <c r="I18" s="27">
        <f t="shared" si="3"/>
        <v>100</v>
      </c>
      <c r="J18" s="1"/>
      <c r="K18" s="1"/>
    </row>
    <row r="19" spans="1:11" x14ac:dyDescent="0.3">
      <c r="A19" s="26">
        <f>Prices!A19</f>
        <v>45958</v>
      </c>
      <c r="B19" s="40">
        <f>INDEX(Prices!$B19:$G19,1,Dashboard!$C$8)</f>
        <v>637.57169999999996</v>
      </c>
      <c r="C19" s="36">
        <f t="shared" si="0"/>
        <v>-1.6768268704362099E-2</v>
      </c>
      <c r="D19" s="41">
        <f ca="1">AVERAGE(OFFSET(B19,1-MIN(Dashboard!$C$6,ROW()-1),0,MIN(Dashboard!$C$6,ROW()-1),1))</f>
        <v>636.88525555555543</v>
      </c>
      <c r="E19" s="41">
        <f ca="1">AVERAGE(OFFSET(B19,1-MIN(Dashboard!$C$7,ROW()-1),0,MIN(Dashboard!$C$7,ROW()-1),1))</f>
        <v>636.88525555555543</v>
      </c>
      <c r="F19" s="1">
        <f>IF(ROW()-1&gt;Dashboard!$C$7,IF(D18&gt;E18,1,0),0)</f>
        <v>0</v>
      </c>
      <c r="G19" s="36">
        <f t="shared" si="1"/>
        <v>0</v>
      </c>
      <c r="H19" s="27">
        <f t="shared" si="2"/>
        <v>95.343683925845738</v>
      </c>
      <c r="I19" s="27">
        <f t="shared" si="3"/>
        <v>100</v>
      </c>
      <c r="J19" s="1"/>
      <c r="K19" s="1"/>
    </row>
    <row r="20" spans="1:11" x14ac:dyDescent="0.3">
      <c r="A20" s="26">
        <f>Prices!A20</f>
        <v>45960</v>
      </c>
      <c r="B20" s="40">
        <f>INDEX(Prices!$B20:$G20,1,Dashboard!$C$8)</f>
        <v>643.50260000000003</v>
      </c>
      <c r="C20" s="36">
        <f t="shared" si="0"/>
        <v>9.3023263109075494E-3</v>
      </c>
      <c r="D20" s="41">
        <f ca="1">AVERAGE(OFFSET(B20,1-MIN(Dashboard!$C$6,ROW()-1),0,MIN(Dashboard!$C$6,ROW()-1),1))</f>
        <v>637.2335368421052</v>
      </c>
      <c r="E20" s="41">
        <f ca="1">AVERAGE(OFFSET(B20,1-MIN(Dashboard!$C$7,ROW()-1),0,MIN(Dashboard!$C$7,ROW()-1),1))</f>
        <v>637.2335368421052</v>
      </c>
      <c r="F20" s="1">
        <f>IF(ROW()-1&gt;Dashboard!$C$7,IF(D19&gt;E19,1,0),0)</f>
        <v>0</v>
      </c>
      <c r="G20" s="36">
        <f t="shared" si="1"/>
        <v>0</v>
      </c>
      <c r="H20" s="27">
        <f t="shared" si="2"/>
        <v>96.230601985407986</v>
      </c>
      <c r="I20" s="27">
        <f t="shared" si="3"/>
        <v>100</v>
      </c>
      <c r="J20" s="1"/>
      <c r="K20" s="1"/>
    </row>
    <row r="21" spans="1:11" x14ac:dyDescent="0.3">
      <c r="A21" s="26">
        <f>Prices!A21</f>
        <v>45961</v>
      </c>
      <c r="B21" s="40">
        <f>INDEX(Prices!$B21:$G21,1,Dashboard!$C$8)</f>
        <v>621.75599999999997</v>
      </c>
      <c r="C21" s="36">
        <f t="shared" si="0"/>
        <v>-3.3794113652376945E-2</v>
      </c>
      <c r="D21" s="41">
        <f ca="1">AVERAGE(OFFSET(B21,1-MIN(Dashboard!$C$6,ROW()-1),0,MIN(Dashboard!$C$6,ROW()-1),1))</f>
        <v>636.45965999999987</v>
      </c>
      <c r="E21" s="41">
        <f ca="1">AVERAGE(OFFSET(B21,1-MIN(Dashboard!$C$7,ROW()-1),0,MIN(Dashboard!$C$7,ROW()-1),1))</f>
        <v>636.45965999999987</v>
      </c>
      <c r="F21" s="1">
        <f>IF(ROW()-1&gt;Dashboard!$C$7,IF(D20&gt;E20,1,0),0)</f>
        <v>0</v>
      </c>
      <c r="G21" s="36">
        <f t="shared" si="1"/>
        <v>0</v>
      </c>
      <c r="H21" s="27">
        <f t="shared" si="2"/>
        <v>92.97857408507646</v>
      </c>
      <c r="I21" s="27">
        <f t="shared" si="3"/>
        <v>100</v>
      </c>
      <c r="J21" s="1"/>
      <c r="K21" s="1"/>
    </row>
    <row r="22" spans="1:11" x14ac:dyDescent="0.3">
      <c r="A22" s="26">
        <f>Prices!A22</f>
        <v>45964</v>
      </c>
      <c r="B22" s="40">
        <f>INDEX(Prices!$B22:$G22,1,Dashboard!$C$8)</f>
        <v>620.76750000000004</v>
      </c>
      <c r="C22" s="36">
        <f t="shared" si="0"/>
        <v>-1.5898519676528222E-3</v>
      </c>
      <c r="D22" s="41">
        <f ca="1">AVERAGE(OFFSET(B22,1-MIN(Dashboard!$C$6,ROW()-1),0,MIN(Dashboard!$C$6,ROW()-1),1))</f>
        <v>634.06258999999989</v>
      </c>
      <c r="E22" s="41">
        <f ca="1">AVERAGE(OFFSET(B22,1-MIN(Dashboard!$C$7,ROW()-1),0,MIN(Dashboard!$C$7,ROW()-1),1))</f>
        <v>635.7124142857142</v>
      </c>
      <c r="F22" s="1">
        <f>IF(ROW()-1&gt;Dashboard!$C$7,IF(D21&gt;E21,1,0),0)</f>
        <v>0</v>
      </c>
      <c r="G22" s="36">
        <f t="shared" si="1"/>
        <v>0</v>
      </c>
      <c r="H22" s="27">
        <f t="shared" si="2"/>
        <v>92.830751916117748</v>
      </c>
      <c r="I22" s="27">
        <f t="shared" si="3"/>
        <v>100</v>
      </c>
      <c r="J22" s="1"/>
      <c r="K22" s="1"/>
    </row>
    <row r="23" spans="1:11" x14ac:dyDescent="0.3">
      <c r="A23" s="26">
        <f>Prices!A23</f>
        <v>45965</v>
      </c>
      <c r="B23" s="40">
        <f>INDEX(Prices!$B23:$G23,1,Dashboard!$C$8)</f>
        <v>621.75599999999997</v>
      </c>
      <c r="C23" s="36">
        <f t="shared" si="0"/>
        <v>1.5923836218874055E-3</v>
      </c>
      <c r="D23" s="41">
        <f ca="1">AVERAGE(OFFSET(B23,1-MIN(Dashboard!$C$6,ROW()-1),0,MIN(Dashboard!$C$6,ROW()-1),1))</f>
        <v>631.86321499999997</v>
      </c>
      <c r="E23" s="41">
        <f ca="1">AVERAGE(OFFSET(B23,1-MIN(Dashboard!$C$7,ROW()-1),0,MIN(Dashboard!$C$7,ROW()-1),1))</f>
        <v>635.07803181818167</v>
      </c>
      <c r="F23" s="1">
        <f>IF(ROW()-1&gt;Dashboard!$C$7,IF(D22&gt;E22,1,0),0)</f>
        <v>0</v>
      </c>
      <c r="G23" s="36">
        <f t="shared" si="1"/>
        <v>0</v>
      </c>
      <c r="H23" s="27">
        <f t="shared" si="2"/>
        <v>92.978574085076474</v>
      </c>
      <c r="I23" s="27">
        <f t="shared" si="3"/>
        <v>100</v>
      </c>
      <c r="J23" s="1"/>
      <c r="K23" s="1"/>
    </row>
    <row r="24" spans="1:11" x14ac:dyDescent="0.3">
      <c r="A24" s="26">
        <f>Prices!A24</f>
        <v>45966</v>
      </c>
      <c r="B24" s="40">
        <f>INDEX(Prices!$B24:$G24,1,Dashboard!$C$8)</f>
        <v>621.75599999999997</v>
      </c>
      <c r="C24" s="36">
        <f t="shared" si="0"/>
        <v>0</v>
      </c>
      <c r="D24" s="41">
        <f ca="1">AVERAGE(OFFSET(B24,1-MIN(Dashboard!$C$6,ROW()-1),0,MIN(Dashboard!$C$6,ROW()-1),1))</f>
        <v>629.46614499999987</v>
      </c>
      <c r="E24" s="41">
        <f ca="1">AVERAGE(OFFSET(B24,1-MIN(Dashboard!$C$7,ROW()-1),0,MIN(Dashboard!$C$7,ROW()-1),1))</f>
        <v>634.49881304347809</v>
      </c>
      <c r="F24" s="1">
        <f>IF(ROW()-1&gt;Dashboard!$C$7,IF(D23&gt;E23,1,0),0)</f>
        <v>0</v>
      </c>
      <c r="G24" s="36">
        <f t="shared" si="1"/>
        <v>0</v>
      </c>
      <c r="H24" s="27">
        <f t="shared" si="2"/>
        <v>92.978574085076474</v>
      </c>
      <c r="I24" s="27">
        <f t="shared" si="3"/>
        <v>100</v>
      </c>
      <c r="J24" s="1"/>
      <c r="K24" s="1"/>
    </row>
    <row r="25" spans="1:11" x14ac:dyDescent="0.3">
      <c r="A25" s="26">
        <f>Prices!A25</f>
        <v>45967</v>
      </c>
      <c r="B25" s="40">
        <f>INDEX(Prices!$B25:$G25,1,Dashboard!$C$8)</f>
        <v>636.58320000000003</v>
      </c>
      <c r="C25" s="36">
        <f t="shared" si="0"/>
        <v>2.384729701040289E-2</v>
      </c>
      <c r="D25" s="41">
        <f ca="1">AVERAGE(OFFSET(B25,1-MIN(Dashboard!$C$6,ROW()-1),0,MIN(Dashboard!$C$6,ROW()-1),1))</f>
        <v>627.93399499999975</v>
      </c>
      <c r="E25" s="41">
        <f ca="1">AVERAGE(OFFSET(B25,1-MIN(Dashboard!$C$7,ROW()-1),0,MIN(Dashboard!$C$7,ROW()-1),1))</f>
        <v>634.58566249999978</v>
      </c>
      <c r="F25" s="1">
        <f>IF(ROW()-1&gt;Dashboard!$C$7,IF(D24&gt;E24,1,0),0)</f>
        <v>0</v>
      </c>
      <c r="G25" s="36">
        <f t="shared" si="1"/>
        <v>0</v>
      </c>
      <c r="H25" s="27">
        <f t="shared" si="2"/>
        <v>95.195861756887041</v>
      </c>
      <c r="I25" s="27">
        <f t="shared" si="3"/>
        <v>100</v>
      </c>
      <c r="J25" s="1"/>
      <c r="K25" s="1"/>
    </row>
    <row r="26" spans="1:11" x14ac:dyDescent="0.3">
      <c r="A26" s="26">
        <f>Prices!A26</f>
        <v>45968</v>
      </c>
      <c r="B26" s="40">
        <f>INDEX(Prices!$B26:$G26,1,Dashboard!$C$8)</f>
        <v>626.69839999999999</v>
      </c>
      <c r="C26" s="36">
        <f t="shared" si="0"/>
        <v>-1.5527899573849924E-2</v>
      </c>
      <c r="D26" s="41">
        <f ca="1">AVERAGE(OFFSET(B26,1-MIN(Dashboard!$C$6,ROW()-1),0,MIN(Dashboard!$C$6,ROW()-1),1))</f>
        <v>625.88288999999975</v>
      </c>
      <c r="E26" s="41">
        <f ca="1">AVERAGE(OFFSET(B26,1-MIN(Dashboard!$C$7,ROW()-1),0,MIN(Dashboard!$C$7,ROW()-1),1))</f>
        <v>634.27017199999977</v>
      </c>
      <c r="F26" s="1">
        <f>IF(ROW()-1&gt;Dashboard!$C$7,IF(D25&gt;E25,1,0),0)</f>
        <v>0</v>
      </c>
      <c r="G26" s="36">
        <f t="shared" si="1"/>
        <v>0</v>
      </c>
      <c r="H26" s="27">
        <f t="shared" si="2"/>
        <v>93.717669975679996</v>
      </c>
      <c r="I26" s="27">
        <f t="shared" si="3"/>
        <v>100</v>
      </c>
      <c r="J26" s="1"/>
      <c r="K26" s="1"/>
    </row>
    <row r="27" spans="1:11" x14ac:dyDescent="0.3">
      <c r="A27" s="26">
        <f>Prices!A27</f>
        <v>45971</v>
      </c>
      <c r="B27" s="40">
        <f>INDEX(Prices!$B27:$G27,1,Dashboard!$C$8)</f>
        <v>642.01990000000001</v>
      </c>
      <c r="C27" s="36">
        <f t="shared" si="0"/>
        <v>2.4447964124370003E-2</v>
      </c>
      <c r="D27" s="41">
        <f ca="1">AVERAGE(OFFSET(B27,1-MIN(Dashboard!$C$6,ROW()-1),0,MIN(Dashboard!$C$6,ROW()-1),1))</f>
        <v>625.78404499999988</v>
      </c>
      <c r="E27" s="41">
        <f ca="1">AVERAGE(OFFSET(B27,1-MIN(Dashboard!$C$7,ROW()-1),0,MIN(Dashboard!$C$7,ROW()-1),1))</f>
        <v>634.56823846153827</v>
      </c>
      <c r="F27" s="1">
        <f>IF(ROW()-1&gt;Dashboard!$C$7,IF(D26&gt;E26,1,0),0)</f>
        <v>0</v>
      </c>
      <c r="G27" s="36">
        <f t="shared" si="1"/>
        <v>0</v>
      </c>
      <c r="H27" s="27">
        <f t="shared" si="2"/>
        <v>96.008876209064965</v>
      </c>
      <c r="I27" s="27">
        <f t="shared" si="3"/>
        <v>100</v>
      </c>
      <c r="J27" s="1"/>
      <c r="K27" s="1"/>
    </row>
    <row r="28" spans="1:11" x14ac:dyDescent="0.3">
      <c r="A28" s="26">
        <f>Prices!A28</f>
        <v>45972</v>
      </c>
      <c r="B28" s="40">
        <f>INDEX(Prices!$B28:$G28,1,Dashboard!$C$8)</f>
        <v>642.51409999999998</v>
      </c>
      <c r="C28" s="36">
        <f t="shared" si="0"/>
        <v>7.6975807136192564E-4</v>
      </c>
      <c r="D28" s="41">
        <f ca="1">AVERAGE(OFFSET(B28,1-MIN(Dashboard!$C$6,ROW()-1),0,MIN(Dashboard!$C$6,ROW()-1),1))</f>
        <v>626.3277099999998</v>
      </c>
      <c r="E28" s="41">
        <f ca="1">AVERAGE(OFFSET(B28,1-MIN(Dashboard!$C$7,ROW()-1),0,MIN(Dashboard!$C$7,ROW()-1),1))</f>
        <v>634.86252962962953</v>
      </c>
      <c r="F28" s="1">
        <f>IF(ROW()-1&gt;Dashboard!$C$7,IF(D27&gt;E27,1,0),0)</f>
        <v>0</v>
      </c>
      <c r="G28" s="36">
        <f t="shared" si="1"/>
        <v>0</v>
      </c>
      <c r="H28" s="27">
        <f t="shared" si="2"/>
        <v>96.082779816449275</v>
      </c>
      <c r="I28" s="27">
        <f t="shared" si="3"/>
        <v>100</v>
      </c>
      <c r="J28" s="1"/>
      <c r="K28" s="1"/>
    </row>
    <row r="29" spans="1:11" x14ac:dyDescent="0.3">
      <c r="A29" s="26">
        <f>Prices!A29</f>
        <v>45973</v>
      </c>
      <c r="B29" s="40">
        <f>INDEX(Prices!$B29:$G29,1,Dashboard!$C$8)</f>
        <v>649.43349999999998</v>
      </c>
      <c r="C29" s="36">
        <f t="shared" si="0"/>
        <v>1.0769257826404033E-2</v>
      </c>
      <c r="D29" s="41">
        <f ca="1">AVERAGE(OFFSET(B29,1-MIN(Dashboard!$C$6,ROW()-1),0,MIN(Dashboard!$C$6,ROW()-1),1))</f>
        <v>628.10697999999979</v>
      </c>
      <c r="E29" s="41">
        <f ca="1">AVERAGE(OFFSET(B29,1-MIN(Dashboard!$C$7,ROW()-1),0,MIN(Dashboard!$C$7,ROW()-1),1))</f>
        <v>635.38292142857131</v>
      </c>
      <c r="F29" s="1">
        <f>IF(ROW()-1&gt;Dashboard!$C$7,IF(D28&gt;E28,1,0),0)</f>
        <v>0</v>
      </c>
      <c r="G29" s="36">
        <f t="shared" si="1"/>
        <v>0</v>
      </c>
      <c r="H29" s="27">
        <f t="shared" si="2"/>
        <v>97.11752004497022</v>
      </c>
      <c r="I29" s="27">
        <f t="shared" si="3"/>
        <v>100</v>
      </c>
      <c r="J29" s="1"/>
      <c r="K29" s="1"/>
    </row>
    <row r="30" spans="1:11" x14ac:dyDescent="0.3">
      <c r="A30" s="26">
        <f>Prices!A30</f>
        <v>45974</v>
      </c>
      <c r="B30" s="40">
        <f>INDEX(Prices!$B30:$G30,1,Dashboard!$C$8)</f>
        <v>648.44500000000005</v>
      </c>
      <c r="C30" s="36">
        <f t="shared" si="0"/>
        <v>-1.522095795797318E-3</v>
      </c>
      <c r="D30" s="41">
        <f ca="1">AVERAGE(OFFSET(B30,1-MIN(Dashboard!$C$6,ROW()-1),0,MIN(Dashboard!$C$6,ROW()-1),1))</f>
        <v>629.54027999999994</v>
      </c>
      <c r="E30" s="41">
        <f ca="1">AVERAGE(OFFSET(B30,1-MIN(Dashboard!$C$7,ROW()-1),0,MIN(Dashboard!$C$7,ROW()-1),1))</f>
        <v>635.83333793103429</v>
      </c>
      <c r="F30" s="1">
        <f>IF(ROW()-1&gt;Dashboard!$C$7,IF(D29&gt;E29,1,0),0)</f>
        <v>0</v>
      </c>
      <c r="G30" s="36">
        <f t="shared" si="1"/>
        <v>0</v>
      </c>
      <c r="H30" s="27">
        <f t="shared" si="2"/>
        <v>96.969697876011509</v>
      </c>
      <c r="I30" s="27">
        <f t="shared" si="3"/>
        <v>100</v>
      </c>
      <c r="J30" s="1"/>
      <c r="K30" s="1"/>
    </row>
    <row r="31" spans="1:11" x14ac:dyDescent="0.3">
      <c r="A31" s="26">
        <f>Prices!A31</f>
        <v>45975</v>
      </c>
      <c r="B31" s="40">
        <f>INDEX(Prices!$B31:$G31,1,Dashboard!$C$8)</f>
        <v>633.61770000000001</v>
      </c>
      <c r="C31" s="36">
        <f t="shared" si="0"/>
        <v>-2.2865933116918202E-2</v>
      </c>
      <c r="D31" s="41">
        <f ca="1">AVERAGE(OFFSET(B31,1-MIN(Dashboard!$C$6,ROW()-1),0,MIN(Dashboard!$C$6,ROW()-1),1))</f>
        <v>630.57818499999996</v>
      </c>
      <c r="E31" s="41">
        <f ca="1">AVERAGE(OFFSET(B31,1-MIN(Dashboard!$C$7,ROW()-1),0,MIN(Dashboard!$C$7,ROW()-1),1))</f>
        <v>635.75948333333315</v>
      </c>
      <c r="F31" s="1">
        <f>IF(ROW()-1&gt;Dashboard!$C$7,IF(D30&gt;E30,1,0),0)</f>
        <v>0</v>
      </c>
      <c r="G31" s="36">
        <f t="shared" si="1"/>
        <v>0</v>
      </c>
      <c r="H31" s="27">
        <f t="shared" si="2"/>
        <v>94.752395250010863</v>
      </c>
      <c r="I31" s="27">
        <f t="shared" si="3"/>
        <v>100</v>
      </c>
      <c r="J31" s="1"/>
      <c r="K31" s="1"/>
    </row>
    <row r="32" spans="1:11" x14ac:dyDescent="0.3">
      <c r="A32" s="26">
        <f>Prices!A32</f>
        <v>45978</v>
      </c>
      <c r="B32" s="40">
        <f>INDEX(Prices!$B32:$G32,1,Dashboard!$C$8)</f>
        <v>629.16959999999995</v>
      </c>
      <c r="C32" s="36">
        <f t="shared" si="0"/>
        <v>-7.0201637359563751E-3</v>
      </c>
      <c r="D32" s="41">
        <f ca="1">AVERAGE(OFFSET(B32,1-MIN(Dashboard!$C$6,ROW()-1),0,MIN(Dashboard!$C$6,ROW()-1),1))</f>
        <v>631.98677499999997</v>
      </c>
      <c r="E32" s="41">
        <f ca="1">AVERAGE(OFFSET(B32,1-MIN(Dashboard!$C$7,ROW()-1),0,MIN(Dashboard!$C$7,ROW()-1),1))</f>
        <v>635.5469064516127</v>
      </c>
      <c r="F32" s="1">
        <f>IF(ROW()-1&gt;Dashboard!$C$7,IF(D31&gt;E31,1,0),0)</f>
        <v>0</v>
      </c>
      <c r="G32" s="36">
        <f t="shared" si="1"/>
        <v>0</v>
      </c>
      <c r="H32" s="27">
        <f t="shared" si="2"/>
        <v>94.087217920981729</v>
      </c>
      <c r="I32" s="27">
        <f t="shared" si="3"/>
        <v>100</v>
      </c>
      <c r="J32" s="1"/>
      <c r="K32" s="1"/>
    </row>
    <row r="33" spans="1:11" x14ac:dyDescent="0.3">
      <c r="A33" s="26">
        <f>Prices!A33</f>
        <v>45979</v>
      </c>
      <c r="B33" s="40">
        <f>INDEX(Prices!$B33:$G33,1,Dashboard!$C$8)</f>
        <v>616.3193</v>
      </c>
      <c r="C33" s="36">
        <f t="shared" si="0"/>
        <v>-2.0424222657928759E-2</v>
      </c>
      <c r="D33" s="41">
        <f ca="1">AVERAGE(OFFSET(B33,1-MIN(Dashboard!$C$6,ROW()-1),0,MIN(Dashboard!$C$6,ROW()-1),1))</f>
        <v>631.78907499999991</v>
      </c>
      <c r="E33" s="41">
        <f ca="1">AVERAGE(OFFSET(B33,1-MIN(Dashboard!$C$7,ROW()-1),0,MIN(Dashboard!$C$7,ROW()-1),1))</f>
        <v>634.94604374999983</v>
      </c>
      <c r="F33" s="1">
        <f>IF(ROW()-1&gt;Dashboard!$C$7,IF(D32&gt;E32,1,0),0)</f>
        <v>0</v>
      </c>
      <c r="G33" s="36">
        <f t="shared" si="1"/>
        <v>0</v>
      </c>
      <c r="H33" s="27">
        <f t="shared" si="2"/>
        <v>92.165559632898535</v>
      </c>
      <c r="I33" s="27">
        <f t="shared" si="3"/>
        <v>100</v>
      </c>
      <c r="J33" s="1"/>
      <c r="K33" s="1"/>
    </row>
    <row r="34" spans="1:11" x14ac:dyDescent="0.3">
      <c r="A34" s="26">
        <f>Prices!A34</f>
        <v>45980</v>
      </c>
      <c r="B34" s="40">
        <f>INDEX(Prices!$B34:$G34,1,Dashboard!$C$8)</f>
        <v>615.33079999999995</v>
      </c>
      <c r="C34" s="36">
        <f t="shared" si="0"/>
        <v>-1.6038764322324761E-3</v>
      </c>
      <c r="D34" s="41">
        <f ca="1">AVERAGE(OFFSET(B34,1-MIN(Dashboard!$C$6,ROW()-1),0,MIN(Dashboard!$C$6,ROW()-1),1))</f>
        <v>631.3936799999999</v>
      </c>
      <c r="E34" s="41">
        <f ca="1">AVERAGE(OFFSET(B34,1-MIN(Dashboard!$C$7,ROW()-1),0,MIN(Dashboard!$C$7,ROW()-1),1))</f>
        <v>634.3516424242423</v>
      </c>
      <c r="F34" s="1">
        <f>IF(ROW()-1&gt;Dashboard!$C$7,IF(D33&gt;E33,1,0),0)</f>
        <v>0</v>
      </c>
      <c r="G34" s="36">
        <f t="shared" si="1"/>
        <v>0</v>
      </c>
      <c r="H34" s="27">
        <f t="shared" si="2"/>
        <v>92.01773746393981</v>
      </c>
      <c r="I34" s="27">
        <f t="shared" si="3"/>
        <v>100</v>
      </c>
      <c r="J34" s="1"/>
      <c r="K34" s="1"/>
    </row>
    <row r="35" spans="1:11" x14ac:dyDescent="0.3">
      <c r="A35" s="26">
        <f>Prices!A35</f>
        <v>45981</v>
      </c>
      <c r="B35" s="40">
        <f>INDEX(Prices!$B35:$G35,1,Dashboard!$C$8)</f>
        <v>613.84810000000004</v>
      </c>
      <c r="C35" s="36">
        <f t="shared" si="0"/>
        <v>-2.4095982193641508E-3</v>
      </c>
      <c r="D35" s="41">
        <f ca="1">AVERAGE(OFFSET(B35,1-MIN(Dashboard!$C$6,ROW()-1),0,MIN(Dashboard!$C$6,ROW()-1),1))</f>
        <v>631.27011999999991</v>
      </c>
      <c r="E35" s="41">
        <f ca="1">AVERAGE(OFFSET(B35,1-MIN(Dashboard!$C$7,ROW()-1),0,MIN(Dashboard!$C$7,ROW()-1),1))</f>
        <v>633.74859705882329</v>
      </c>
      <c r="F35" s="1">
        <f>IF(ROW()-1&gt;Dashboard!$C$7,IF(D34&gt;E34,1,0),0)</f>
        <v>0</v>
      </c>
      <c r="G35" s="36">
        <f t="shared" si="1"/>
        <v>0</v>
      </c>
      <c r="H35" s="27">
        <f t="shared" si="2"/>
        <v>91.796011687596788</v>
      </c>
      <c r="I35" s="27">
        <f t="shared" si="3"/>
        <v>100</v>
      </c>
      <c r="J35" s="1"/>
      <c r="K35" s="1"/>
    </row>
    <row r="36" spans="1:11" x14ac:dyDescent="0.3">
      <c r="A36" s="26">
        <f>Prices!A36</f>
        <v>45982</v>
      </c>
      <c r="B36" s="40">
        <f>INDEX(Prices!$B36:$G36,1,Dashboard!$C$8)</f>
        <v>602.97479999999996</v>
      </c>
      <c r="C36" s="36">
        <f t="shared" si="0"/>
        <v>-1.7713339831140762E-2</v>
      </c>
      <c r="D36" s="41">
        <f ca="1">AVERAGE(OFFSET(B36,1-MIN(Dashboard!$C$6,ROW()-1),0,MIN(Dashboard!$C$6,ROW()-1),1))</f>
        <v>630.13336499999991</v>
      </c>
      <c r="E36" s="41">
        <f ca="1">AVERAGE(OFFSET(B36,1-MIN(Dashboard!$C$7,ROW()-1),0,MIN(Dashboard!$C$7,ROW()-1),1))</f>
        <v>632.86934571428549</v>
      </c>
      <c r="F36" s="1">
        <f>IF(ROW()-1&gt;Dashboard!$C$7,IF(D35&gt;E35,1,0),0)</f>
        <v>0</v>
      </c>
      <c r="G36" s="36">
        <f t="shared" si="1"/>
        <v>0</v>
      </c>
      <c r="H36" s="27">
        <f t="shared" si="2"/>
        <v>90.169997737431018</v>
      </c>
      <c r="I36" s="27">
        <f t="shared" si="3"/>
        <v>100</v>
      </c>
      <c r="J36" s="1"/>
      <c r="K36" s="1"/>
    </row>
    <row r="37" spans="1:11" x14ac:dyDescent="0.3">
      <c r="A37" s="26">
        <f>Prices!A37</f>
        <v>45985</v>
      </c>
      <c r="B37" s="40">
        <f>INDEX(Prices!$B37:$G37,1,Dashboard!$C$8)</f>
        <v>617.30780000000004</v>
      </c>
      <c r="C37" s="36">
        <f t="shared" si="0"/>
        <v>2.3770479296979063E-2</v>
      </c>
      <c r="D37" s="41">
        <f ca="1">AVERAGE(OFFSET(B37,1-MIN(Dashboard!$C$6,ROW()-1),0,MIN(Dashboard!$C$6,ROW()-1),1))</f>
        <v>629.49084999999991</v>
      </c>
      <c r="E37" s="41">
        <f ca="1">AVERAGE(OFFSET(B37,1-MIN(Dashboard!$C$7,ROW()-1),0,MIN(Dashboard!$C$7,ROW()-1),1))</f>
        <v>632.43708055555533</v>
      </c>
      <c r="F37" s="1">
        <f>IF(ROW()-1&gt;Dashboard!$C$7,IF(D36&gt;E36,1,0),0)</f>
        <v>0</v>
      </c>
      <c r="G37" s="36">
        <f t="shared" si="1"/>
        <v>0</v>
      </c>
      <c r="H37" s="27">
        <f t="shared" si="2"/>
        <v>92.313381801857275</v>
      </c>
      <c r="I37" s="27">
        <f t="shared" si="3"/>
        <v>100</v>
      </c>
      <c r="J37" s="1"/>
      <c r="K37" s="1"/>
    </row>
    <row r="38" spans="1:11" x14ac:dyDescent="0.3">
      <c r="A38" s="26">
        <f>Prices!A38</f>
        <v>45986</v>
      </c>
      <c r="B38" s="40">
        <f>INDEX(Prices!$B38:$G38,1,Dashboard!$C$8)</f>
        <v>617.80200000000002</v>
      </c>
      <c r="C38" s="36">
        <f t="shared" si="0"/>
        <v>8.0057306905878534E-4</v>
      </c>
      <c r="D38" s="41">
        <f ca="1">AVERAGE(OFFSET(B38,1-MIN(Dashboard!$C$6,ROW()-1),0,MIN(Dashboard!$C$6,ROW()-1),1))</f>
        <v>627.95869999999991</v>
      </c>
      <c r="E38" s="41">
        <f ca="1">AVERAGE(OFFSET(B38,1-MIN(Dashboard!$C$7,ROW()-1),0,MIN(Dashboard!$C$7,ROW()-1),1))</f>
        <v>632.04153783783761</v>
      </c>
      <c r="F38" s="1">
        <f>IF(ROW()-1&gt;Dashboard!$C$7,IF(D37&gt;E37,1,0),0)</f>
        <v>0</v>
      </c>
      <c r="G38" s="36">
        <f t="shared" si="1"/>
        <v>0</v>
      </c>
      <c r="H38" s="27">
        <f t="shared" si="2"/>
        <v>92.387285409241585</v>
      </c>
      <c r="I38" s="27">
        <f t="shared" si="3"/>
        <v>100</v>
      </c>
      <c r="J38" s="1"/>
      <c r="K38" s="1"/>
    </row>
    <row r="39" spans="1:11" x14ac:dyDescent="0.3">
      <c r="A39" s="26">
        <f>Prices!A39</f>
        <v>45987</v>
      </c>
      <c r="B39" s="40">
        <f>INDEX(Prices!$B39:$G39,1,Dashboard!$C$8)</f>
        <v>612.36540000000002</v>
      </c>
      <c r="C39" s="36">
        <f t="shared" si="0"/>
        <v>-8.7999067662455355E-3</v>
      </c>
      <c r="D39" s="41">
        <f ca="1">AVERAGE(OFFSET(B39,1-MIN(Dashboard!$C$6,ROW()-1),0,MIN(Dashboard!$C$6,ROW()-1),1))</f>
        <v>626.69838499999992</v>
      </c>
      <c r="E39" s="41">
        <f ca="1">AVERAGE(OFFSET(B39,1-MIN(Dashboard!$C$7,ROW()-1),0,MIN(Dashboard!$C$7,ROW()-1),1))</f>
        <v>631.52374473684188</v>
      </c>
      <c r="F39" s="1">
        <f>IF(ROW()-1&gt;Dashboard!$C$7,IF(D38&gt;E38,1,0),0)</f>
        <v>0</v>
      </c>
      <c r="G39" s="36">
        <f t="shared" si="1"/>
        <v>0</v>
      </c>
      <c r="H39" s="27">
        <f t="shared" si="2"/>
        <v>91.574285911253739</v>
      </c>
      <c r="I39" s="27">
        <f t="shared" si="3"/>
        <v>100</v>
      </c>
      <c r="J39" s="1"/>
      <c r="K39" s="1"/>
    </row>
    <row r="40" spans="1:11" x14ac:dyDescent="0.3">
      <c r="A40" s="26">
        <f>Prices!A40</f>
        <v>45988</v>
      </c>
      <c r="B40" s="40">
        <f>INDEX(Prices!$B40:$G40,1,Dashboard!$C$8)</f>
        <v>604.45749999999998</v>
      </c>
      <c r="C40" s="36">
        <f t="shared" si="0"/>
        <v>-1.291369499321815E-2</v>
      </c>
      <c r="D40" s="41">
        <f ca="1">AVERAGE(OFFSET(B40,1-MIN(Dashboard!$C$6,ROW()-1),0,MIN(Dashboard!$C$6,ROW()-1),1))</f>
        <v>624.74612999999999</v>
      </c>
      <c r="E40" s="41">
        <f ca="1">AVERAGE(OFFSET(B40,1-MIN(Dashboard!$C$7,ROW()-1),0,MIN(Dashboard!$C$7,ROW()-1),1))</f>
        <v>630.82973846153823</v>
      </c>
      <c r="F40" s="1">
        <f>IF(ROW()-1&gt;Dashboard!$C$7,IF(D39&gt;E39,1,0),0)</f>
        <v>0</v>
      </c>
      <c r="G40" s="36">
        <f t="shared" si="1"/>
        <v>0</v>
      </c>
      <c r="H40" s="27">
        <f t="shared" si="2"/>
        <v>90.391723513774053</v>
      </c>
      <c r="I40" s="27">
        <f t="shared" si="3"/>
        <v>100</v>
      </c>
      <c r="J40" s="1"/>
      <c r="K40" s="1"/>
    </row>
    <row r="41" spans="1:11" x14ac:dyDescent="0.3">
      <c r="A41" s="26">
        <f>Prices!A41</f>
        <v>45989</v>
      </c>
      <c r="B41" s="40">
        <f>INDEX(Prices!$B41:$G41,1,Dashboard!$C$8)</f>
        <v>604.45749999999998</v>
      </c>
      <c r="C41" s="36">
        <f t="shared" si="0"/>
        <v>0</v>
      </c>
      <c r="D41" s="41">
        <f ca="1">AVERAGE(OFFSET(B41,1-MIN(Dashboard!$C$6,ROW()-1),0,MIN(Dashboard!$C$6,ROW()-1),1))</f>
        <v>623.88120500000002</v>
      </c>
      <c r="E41" s="41">
        <f ca="1">AVERAGE(OFFSET(B41,1-MIN(Dashboard!$C$7,ROW()-1),0,MIN(Dashboard!$C$7,ROW()-1),1))</f>
        <v>630.17043249999983</v>
      </c>
      <c r="F41" s="1">
        <f>IF(ROW()-1&gt;Dashboard!$C$7,IF(D40&gt;E40,1,0),0)</f>
        <v>0</v>
      </c>
      <c r="G41" s="36">
        <f t="shared" si="1"/>
        <v>0</v>
      </c>
      <c r="H41" s="27">
        <f t="shared" si="2"/>
        <v>90.391723513774053</v>
      </c>
      <c r="I41" s="27">
        <f t="shared" si="3"/>
        <v>100</v>
      </c>
      <c r="J41" s="1"/>
      <c r="K41" s="1"/>
    </row>
    <row r="42" spans="1:11" x14ac:dyDescent="0.3">
      <c r="A42" s="26">
        <f>Prices!A42</f>
        <v>45992</v>
      </c>
      <c r="B42" s="40">
        <f>INDEX(Prices!$B42:$G42,1,Dashboard!$C$8)</f>
        <v>612.36540000000002</v>
      </c>
      <c r="C42" s="36">
        <f t="shared" si="0"/>
        <v>1.308264021870853E-2</v>
      </c>
      <c r="D42" s="41">
        <f ca="1">AVERAGE(OFFSET(B42,1-MIN(Dashboard!$C$6,ROW()-1),0,MIN(Dashboard!$C$6,ROW()-1),1))</f>
        <v>623.4611000000001</v>
      </c>
      <c r="E42" s="41">
        <f ca="1">AVERAGE(OFFSET(B42,1-MIN(Dashboard!$C$7,ROW()-1),0,MIN(Dashboard!$C$7,ROW()-1),1))</f>
        <v>629.73616341463389</v>
      </c>
      <c r="F42" s="1">
        <f>IF(ROW()-1&gt;Dashboard!$C$7,IF(D41&gt;E41,1,0),0)</f>
        <v>0</v>
      </c>
      <c r="G42" s="36">
        <f t="shared" si="1"/>
        <v>0</v>
      </c>
      <c r="H42" s="27">
        <f t="shared" si="2"/>
        <v>91.574285911253739</v>
      </c>
      <c r="I42" s="27">
        <f t="shared" si="3"/>
        <v>100</v>
      </c>
      <c r="J42" s="1"/>
      <c r="K42" s="1"/>
    </row>
    <row r="43" spans="1:11" x14ac:dyDescent="0.3">
      <c r="A43" s="26">
        <f>Prices!A43</f>
        <v>45993</v>
      </c>
      <c r="B43" s="40">
        <f>INDEX(Prices!$B43:$G43,1,Dashboard!$C$8)</f>
        <v>609.89419999999996</v>
      </c>
      <c r="C43" s="36">
        <f t="shared" si="0"/>
        <v>-4.035499066407211E-3</v>
      </c>
      <c r="D43" s="41">
        <f ca="1">AVERAGE(OFFSET(B43,1-MIN(Dashboard!$C$6,ROW()-1),0,MIN(Dashboard!$C$6,ROW()-1),1))</f>
        <v>622.86801000000014</v>
      </c>
      <c r="E43" s="41">
        <f ca="1">AVERAGE(OFFSET(B43,1-MIN(Dashboard!$C$7,ROW()-1),0,MIN(Dashboard!$C$7,ROW()-1),1))</f>
        <v>629.26373571428542</v>
      </c>
      <c r="F43" s="1">
        <f>IF(ROW()-1&gt;Dashboard!$C$7,IF(D42&gt;E42,1,0),0)</f>
        <v>0</v>
      </c>
      <c r="G43" s="36">
        <f t="shared" si="1"/>
        <v>0</v>
      </c>
      <c r="H43" s="27">
        <f t="shared" si="2"/>
        <v>91.204737965951963</v>
      </c>
      <c r="I43" s="27">
        <f t="shared" si="3"/>
        <v>100</v>
      </c>
      <c r="J43" s="1"/>
      <c r="K43" s="1"/>
    </row>
    <row r="44" spans="1:11" x14ac:dyDescent="0.3">
      <c r="A44" s="26">
        <f>Prices!A44</f>
        <v>45994</v>
      </c>
      <c r="B44" s="40">
        <f>INDEX(Prices!$B44:$G44,1,Dashboard!$C$8)</f>
        <v>603.9633</v>
      </c>
      <c r="C44" s="36">
        <f t="shared" si="0"/>
        <v>-9.7244735234405244E-3</v>
      </c>
      <c r="D44" s="41">
        <f ca="1">AVERAGE(OFFSET(B44,1-MIN(Dashboard!$C$6,ROW()-1),0,MIN(Dashboard!$C$6,ROW()-1),1))</f>
        <v>621.97837500000014</v>
      </c>
      <c r="E44" s="41">
        <f ca="1">AVERAGE(OFFSET(B44,1-MIN(Dashboard!$C$7,ROW()-1),0,MIN(Dashboard!$C$7,ROW()-1),1))</f>
        <v>628.6753534883718</v>
      </c>
      <c r="F44" s="1">
        <f>IF(ROW()-1&gt;Dashboard!$C$7,IF(D43&gt;E43,1,0),0)</f>
        <v>0</v>
      </c>
      <c r="G44" s="36">
        <f t="shared" si="1"/>
        <v>0</v>
      </c>
      <c r="H44" s="27">
        <f t="shared" si="2"/>
        <v>90.31781990638973</v>
      </c>
      <c r="I44" s="27">
        <f t="shared" si="3"/>
        <v>100</v>
      </c>
      <c r="J44" s="1"/>
      <c r="K44" s="1"/>
    </row>
    <row r="45" spans="1:11" x14ac:dyDescent="0.3">
      <c r="A45" s="26">
        <f>Prices!A45</f>
        <v>45995</v>
      </c>
      <c r="B45" s="40">
        <f>INDEX(Prices!$B45:$G45,1,Dashboard!$C$8)</f>
        <v>604.95169999999996</v>
      </c>
      <c r="C45" s="36">
        <f t="shared" si="0"/>
        <v>1.6365232788151385E-3</v>
      </c>
      <c r="D45" s="41">
        <f ca="1">AVERAGE(OFFSET(B45,1-MIN(Dashboard!$C$6,ROW()-1),0,MIN(Dashboard!$C$6,ROW()-1),1))</f>
        <v>620.3968000000001</v>
      </c>
      <c r="E45" s="41">
        <f ca="1">AVERAGE(OFFSET(B45,1-MIN(Dashboard!$C$7,ROW()-1),0,MIN(Dashboard!$C$7,ROW()-1),1))</f>
        <v>628.1361795454543</v>
      </c>
      <c r="F45" s="1">
        <f>IF(ROW()-1&gt;Dashboard!$C$7,IF(D44&gt;E44,1,0),0)</f>
        <v>0</v>
      </c>
      <c r="G45" s="36">
        <f t="shared" si="1"/>
        <v>0</v>
      </c>
      <c r="H45" s="27">
        <f t="shared" si="2"/>
        <v>90.465627121158363</v>
      </c>
      <c r="I45" s="27">
        <f t="shared" si="3"/>
        <v>100</v>
      </c>
      <c r="J45" s="1"/>
      <c r="K45" s="1"/>
    </row>
    <row r="46" spans="1:11" x14ac:dyDescent="0.3">
      <c r="A46" s="26">
        <f>Prices!A46</f>
        <v>45996</v>
      </c>
      <c r="B46" s="40">
        <f>INDEX(Prices!$B46:$G46,1,Dashboard!$C$8)</f>
        <v>602.97479999999996</v>
      </c>
      <c r="C46" s="36">
        <f t="shared" si="0"/>
        <v>-3.2678641947778697E-3</v>
      </c>
      <c r="D46" s="41">
        <f ca="1">AVERAGE(OFFSET(B46,1-MIN(Dashboard!$C$6,ROW()-1),0,MIN(Dashboard!$C$6,ROW()-1),1))</f>
        <v>619.21062000000006</v>
      </c>
      <c r="E46" s="41">
        <f ca="1">AVERAGE(OFFSET(B46,1-MIN(Dashboard!$C$7,ROW()-1),0,MIN(Dashboard!$C$7,ROW()-1),1))</f>
        <v>627.5770377777776</v>
      </c>
      <c r="F46" s="1">
        <f>IF(ROW()-1&gt;Dashboard!$C$7,IF(D45&gt;E45,1,0),0)</f>
        <v>0</v>
      </c>
      <c r="G46" s="36">
        <f t="shared" si="1"/>
        <v>0</v>
      </c>
      <c r="H46" s="27">
        <f t="shared" si="2"/>
        <v>90.169997737431004</v>
      </c>
      <c r="I46" s="27">
        <f t="shared" si="3"/>
        <v>100</v>
      </c>
      <c r="J46" s="1"/>
      <c r="K46" s="1"/>
    </row>
    <row r="47" spans="1:11" x14ac:dyDescent="0.3">
      <c r="A47" s="26">
        <f>Prices!A47</f>
        <v>45999</v>
      </c>
      <c r="B47" s="40">
        <f>INDEX(Prices!$B47:$G47,1,Dashboard!$C$8)</f>
        <v>598.03229999999996</v>
      </c>
      <c r="C47" s="36">
        <f t="shared" si="0"/>
        <v>-8.196859968277237E-3</v>
      </c>
      <c r="D47" s="41">
        <f ca="1">AVERAGE(OFFSET(B47,1-MIN(Dashboard!$C$6,ROW()-1),0,MIN(Dashboard!$C$6,ROW()-1),1))</f>
        <v>617.01124000000004</v>
      </c>
      <c r="E47" s="41">
        <f ca="1">AVERAGE(OFFSET(B47,1-MIN(Dashboard!$C$7,ROW()-1),0,MIN(Dashboard!$C$7,ROW()-1),1))</f>
        <v>626.93476086956503</v>
      </c>
      <c r="F47" s="1">
        <f>IF(ROW()-1&gt;Dashboard!$C$7,IF(D46&gt;E46,1,0),0)</f>
        <v>0</v>
      </c>
      <c r="G47" s="36">
        <f t="shared" si="1"/>
        <v>0</v>
      </c>
      <c r="H47" s="27">
        <f t="shared" si="2"/>
        <v>89.430886892637403</v>
      </c>
      <c r="I47" s="27">
        <f t="shared" si="3"/>
        <v>100</v>
      </c>
      <c r="J47" s="1"/>
      <c r="K47" s="1"/>
    </row>
    <row r="48" spans="1:11" x14ac:dyDescent="0.3">
      <c r="A48" s="26">
        <f>Prices!A48</f>
        <v>46000</v>
      </c>
      <c r="B48" s="40">
        <f>INDEX(Prices!$B48:$G48,1,Dashboard!$C$8)</f>
        <v>595.56119999999999</v>
      </c>
      <c r="C48" s="36">
        <f t="shared" si="0"/>
        <v>-4.1320510614559769E-3</v>
      </c>
      <c r="D48" s="41">
        <f ca="1">AVERAGE(OFFSET(B48,1-MIN(Dashboard!$C$6,ROW()-1),0,MIN(Dashboard!$C$6,ROW()-1),1))</f>
        <v>614.66359499999999</v>
      </c>
      <c r="E48" s="41">
        <f ca="1">AVERAGE(OFFSET(B48,1-MIN(Dashboard!$C$7,ROW()-1),0,MIN(Dashboard!$C$7,ROW()-1),1))</f>
        <v>626.26723829787215</v>
      </c>
      <c r="F48" s="1">
        <f>IF(ROW()-1&gt;Dashboard!$C$7,IF(D47&gt;E47,1,0),0)</f>
        <v>0</v>
      </c>
      <c r="G48" s="36">
        <f t="shared" si="1"/>
        <v>0</v>
      </c>
      <c r="H48" s="27">
        <f t="shared" si="2"/>
        <v>89.061353901525734</v>
      </c>
      <c r="I48" s="27">
        <f t="shared" si="3"/>
        <v>100</v>
      </c>
      <c r="J48" s="1"/>
      <c r="K48" s="1"/>
    </row>
    <row r="49" spans="1:11" x14ac:dyDescent="0.3">
      <c r="A49" s="26">
        <f>Prices!A49</f>
        <v>46001</v>
      </c>
      <c r="B49" s="40">
        <f>INDEX(Prices!$B49:$G49,1,Dashboard!$C$8)</f>
        <v>596.05539999999996</v>
      </c>
      <c r="C49" s="36">
        <f t="shared" si="0"/>
        <v>8.2980556826073304E-4</v>
      </c>
      <c r="D49" s="41">
        <f ca="1">AVERAGE(OFFSET(B49,1-MIN(Dashboard!$C$6,ROW()-1),0,MIN(Dashboard!$C$6,ROW()-1),1))</f>
        <v>611.99468999999988</v>
      </c>
      <c r="E49" s="41">
        <f ca="1">AVERAGE(OFFSET(B49,1-MIN(Dashboard!$C$7,ROW()-1),0,MIN(Dashboard!$C$7,ROW()-1),1))</f>
        <v>625.63782499999979</v>
      </c>
      <c r="F49" s="1">
        <f>IF(ROW()-1&gt;Dashboard!$C$7,IF(D48&gt;E48,1,0),0)</f>
        <v>0</v>
      </c>
      <c r="G49" s="36">
        <f t="shared" si="1"/>
        <v>0</v>
      </c>
      <c r="H49" s="27">
        <f t="shared" si="2"/>
        <v>89.135257508910058</v>
      </c>
      <c r="I49" s="27">
        <f t="shared" si="3"/>
        <v>100</v>
      </c>
      <c r="J49" s="1"/>
      <c r="K49" s="1"/>
    </row>
    <row r="50" spans="1:11" x14ac:dyDescent="0.3">
      <c r="A50" s="26">
        <f>Prices!A50</f>
        <v>46002</v>
      </c>
      <c r="B50" s="40">
        <f>INDEX(Prices!$B50:$G50,1,Dashboard!$C$8)</f>
        <v>594.57270000000005</v>
      </c>
      <c r="C50" s="36">
        <f t="shared" si="0"/>
        <v>-2.4875204553131969E-3</v>
      </c>
      <c r="D50" s="41">
        <f ca="1">AVERAGE(OFFSET(B50,1-MIN(Dashboard!$C$6,ROW()-1),0,MIN(Dashboard!$C$6,ROW()-1),1))</f>
        <v>609.30107499999997</v>
      </c>
      <c r="E50" s="41">
        <f ca="1">AVERAGE(OFFSET(B50,1-MIN(Dashboard!$C$7,ROW()-1),0,MIN(Dashboard!$C$7,ROW()-1),1))</f>
        <v>625.00384285714267</v>
      </c>
      <c r="F50" s="1">
        <f>IF(ROW()-1&gt;Dashboard!$C$7,IF(D49&gt;E49,1,0),0)</f>
        <v>0</v>
      </c>
      <c r="G50" s="36">
        <f t="shared" si="1"/>
        <v>0</v>
      </c>
      <c r="H50" s="27">
        <f t="shared" si="2"/>
        <v>88.913531732567037</v>
      </c>
      <c r="I50" s="27">
        <f t="shared" si="3"/>
        <v>100</v>
      </c>
      <c r="J50" s="1"/>
      <c r="K50" s="1"/>
    </row>
    <row r="51" spans="1:11" x14ac:dyDescent="0.3">
      <c r="A51" s="26">
        <f>Prices!A51</f>
        <v>46003</v>
      </c>
      <c r="B51" s="40">
        <f>INDEX(Prices!$B51:$G51,1,Dashboard!$C$8)</f>
        <v>608.90570000000002</v>
      </c>
      <c r="C51" s="36">
        <f t="shared" si="0"/>
        <v>2.4106387662938378E-2</v>
      </c>
      <c r="D51" s="41">
        <f ca="1">AVERAGE(OFFSET(B51,1-MIN(Dashboard!$C$6,ROW()-1),0,MIN(Dashboard!$C$6,ROW()-1),1))</f>
        <v>608.06547499999999</v>
      </c>
      <c r="E51" s="41">
        <f ca="1">AVERAGE(OFFSET(B51,1-MIN(Dashboard!$C$7,ROW()-1),0,MIN(Dashboard!$C$7,ROW()-1),1))</f>
        <v>624.68187999999975</v>
      </c>
      <c r="F51" s="1">
        <f>IF(ROW()-1&gt;Dashboard!$C$7,IF(D50&gt;E50,1,0),0)</f>
        <v>0</v>
      </c>
      <c r="G51" s="36">
        <f t="shared" si="1"/>
        <v>0</v>
      </c>
      <c r="H51" s="27">
        <f t="shared" si="2"/>
        <v>91.056915796993266</v>
      </c>
      <c r="I51" s="27">
        <f t="shared" si="3"/>
        <v>100</v>
      </c>
      <c r="J51" s="1"/>
      <c r="K51" s="1"/>
    </row>
    <row r="52" spans="1:11" x14ac:dyDescent="0.3">
      <c r="A52" s="26">
        <f>Prices!A52</f>
        <v>46006</v>
      </c>
      <c r="B52" s="40">
        <f>INDEX(Prices!$B52:$G52,1,Dashboard!$C$8)</f>
        <v>596.05539999999996</v>
      </c>
      <c r="C52" s="36">
        <f t="shared" si="0"/>
        <v>-2.1103924630694104E-2</v>
      </c>
      <c r="D52" s="41">
        <f ca="1">AVERAGE(OFFSET(B52,1-MIN(Dashboard!$C$6,ROW()-1),0,MIN(Dashboard!$C$6,ROW()-1),1))</f>
        <v>606.40976499999988</v>
      </c>
      <c r="E52" s="41">
        <f ca="1">AVERAGE(OFFSET(B52,1-MIN(Dashboard!$C$7,ROW()-1),0,MIN(Dashboard!$C$7,ROW()-1),1))</f>
        <v>623.22880999999984</v>
      </c>
      <c r="F52" s="1">
        <f ca="1">IF(ROW()-1&gt;Dashboard!$C$7,IF(D51&gt;E51,1,0),0)</f>
        <v>0</v>
      </c>
      <c r="G52" s="36">
        <f t="shared" ca="1" si="1"/>
        <v>0</v>
      </c>
      <c r="H52" s="27">
        <f t="shared" si="2"/>
        <v>89.135257508910058</v>
      </c>
      <c r="I52" s="27">
        <f t="shared" ca="1" si="3"/>
        <v>100</v>
      </c>
      <c r="J52" s="1"/>
      <c r="K52" s="1"/>
    </row>
    <row r="53" spans="1:11" x14ac:dyDescent="0.3">
      <c r="A53" s="26">
        <f>Prices!A53</f>
        <v>46007</v>
      </c>
      <c r="B53" s="40">
        <f>INDEX(Prices!$B53:$G53,1,Dashboard!$C$8)</f>
        <v>589.63019999999995</v>
      </c>
      <c r="C53" s="36">
        <f t="shared" si="0"/>
        <v>-1.0779534922425005E-2</v>
      </c>
      <c r="D53" s="41">
        <f ca="1">AVERAGE(OFFSET(B53,1-MIN(Dashboard!$C$6,ROW()-1),0,MIN(Dashboard!$C$6,ROW()-1),1))</f>
        <v>605.07530999999994</v>
      </c>
      <c r="E53" s="41">
        <f ca="1">AVERAGE(OFFSET(B53,1-MIN(Dashboard!$C$7,ROW()-1),0,MIN(Dashboard!$C$7,ROW()-1),1))</f>
        <v>621.70654399999989</v>
      </c>
      <c r="F53" s="1">
        <f ca="1">IF(ROW()-1&gt;Dashboard!$C$7,IF(D52&gt;E52,1,0),0)</f>
        <v>0</v>
      </c>
      <c r="G53" s="36">
        <f t="shared" ca="1" si="1"/>
        <v>0</v>
      </c>
      <c r="H53" s="27">
        <f t="shared" si="2"/>
        <v>88.174420887773422</v>
      </c>
      <c r="I53" s="27">
        <f t="shared" ca="1" si="3"/>
        <v>100</v>
      </c>
      <c r="J53" s="1"/>
      <c r="K53" s="1"/>
    </row>
    <row r="54" spans="1:11" x14ac:dyDescent="0.3">
      <c r="A54" s="26">
        <f>Prices!A54</f>
        <v>46008</v>
      </c>
      <c r="B54" s="40">
        <f>INDEX(Prices!$B54:$G54,1,Dashboard!$C$8)</f>
        <v>598.03229999999996</v>
      </c>
      <c r="C54" s="36">
        <f t="shared" si="0"/>
        <v>1.4249778929233958E-2</v>
      </c>
      <c r="D54" s="41">
        <f ca="1">AVERAGE(OFFSET(B54,1-MIN(Dashboard!$C$6,ROW()-1),0,MIN(Dashboard!$C$6,ROW()-1),1))</f>
        <v>604.21038499999997</v>
      </c>
      <c r="E54" s="41">
        <f ca="1">AVERAGE(OFFSET(B54,1-MIN(Dashboard!$C$7,ROW()-1),0,MIN(Dashboard!$C$7,ROW()-1),1))</f>
        <v>620.27324199999975</v>
      </c>
      <c r="F54" s="1">
        <f ca="1">IF(ROW()-1&gt;Dashboard!$C$7,IF(D53&gt;E53,1,0),0)</f>
        <v>0</v>
      </c>
      <c r="G54" s="36">
        <f t="shared" ca="1" si="1"/>
        <v>0</v>
      </c>
      <c r="H54" s="27">
        <f t="shared" si="2"/>
        <v>89.430886892637417</v>
      </c>
      <c r="I54" s="27">
        <f t="shared" ca="1" si="3"/>
        <v>100</v>
      </c>
      <c r="J54" s="1"/>
      <c r="K54" s="1"/>
    </row>
    <row r="55" spans="1:11" x14ac:dyDescent="0.3">
      <c r="A55" s="26">
        <f>Prices!A55</f>
        <v>46009</v>
      </c>
      <c r="B55" s="40">
        <f>INDEX(Prices!$B55:$G55,1,Dashboard!$C$8)</f>
        <v>598.03229999999996</v>
      </c>
      <c r="C55" s="36">
        <f t="shared" si="0"/>
        <v>0</v>
      </c>
      <c r="D55" s="41">
        <f ca="1">AVERAGE(OFFSET(B55,1-MIN(Dashboard!$C$6,ROW()-1),0,MIN(Dashboard!$C$6,ROW()-1),1))</f>
        <v>603.41959500000007</v>
      </c>
      <c r="E55" s="41">
        <f ca="1">AVERAGE(OFFSET(B55,1-MIN(Dashboard!$C$7,ROW()-1),0,MIN(Dashboard!$C$7,ROW()-1),1))</f>
        <v>618.88936399999977</v>
      </c>
      <c r="F55" s="1">
        <f ca="1">IF(ROW()-1&gt;Dashboard!$C$7,IF(D54&gt;E54,1,0),0)</f>
        <v>0</v>
      </c>
      <c r="G55" s="36">
        <f t="shared" ca="1" si="1"/>
        <v>0</v>
      </c>
      <c r="H55" s="27">
        <f t="shared" si="2"/>
        <v>89.430886892637417</v>
      </c>
      <c r="I55" s="27">
        <f t="shared" ca="1" si="3"/>
        <v>100</v>
      </c>
      <c r="J55" s="1"/>
      <c r="K55" s="1"/>
    </row>
    <row r="56" spans="1:11" x14ac:dyDescent="0.3">
      <c r="A56" s="26">
        <f>Prices!A56</f>
        <v>46010</v>
      </c>
      <c r="B56" s="40">
        <f>INDEX(Prices!$B56:$G56,1,Dashboard!$C$8)</f>
        <v>606.92870000000005</v>
      </c>
      <c r="C56" s="36">
        <f t="shared" si="0"/>
        <v>1.4876119567454937E-2</v>
      </c>
      <c r="D56" s="41">
        <f ca="1">AVERAGE(OFFSET(B56,1-MIN(Dashboard!$C$6,ROW()-1),0,MIN(Dashboard!$C$6,ROW()-1),1))</f>
        <v>603.61729000000003</v>
      </c>
      <c r="E56" s="41">
        <f ca="1">AVERAGE(OFFSET(B56,1-MIN(Dashboard!$C$7,ROW()-1),0,MIN(Dashboard!$C$7,ROW()-1),1))</f>
        <v>617.67352799999981</v>
      </c>
      <c r="F56" s="1">
        <f ca="1">IF(ROW()-1&gt;Dashboard!$C$7,IF(D55&gt;E55,1,0),0)</f>
        <v>0</v>
      </c>
      <c r="G56" s="36">
        <f t="shared" ca="1" si="1"/>
        <v>0</v>
      </c>
      <c r="H56" s="27">
        <f t="shared" si="2"/>
        <v>90.761271459075829</v>
      </c>
      <c r="I56" s="27">
        <f t="shared" ca="1" si="3"/>
        <v>100</v>
      </c>
      <c r="J56" s="1"/>
      <c r="K56" s="1"/>
    </row>
    <row r="57" spans="1:11" x14ac:dyDescent="0.3">
      <c r="A57" s="26">
        <f>Prices!A57</f>
        <v>46013</v>
      </c>
      <c r="B57" s="40">
        <f>INDEX(Prices!$B57:$G57,1,Dashboard!$C$8)</f>
        <v>607.423</v>
      </c>
      <c r="C57" s="36">
        <f t="shared" si="0"/>
        <v>8.1442844933832248E-4</v>
      </c>
      <c r="D57" s="41">
        <f ca="1">AVERAGE(OFFSET(B57,1-MIN(Dashboard!$C$6,ROW()-1),0,MIN(Dashboard!$C$6,ROW()-1),1))</f>
        <v>603.12305000000003</v>
      </c>
      <c r="E57" s="41">
        <f ca="1">AVERAGE(OFFSET(B57,1-MIN(Dashboard!$C$7,ROW()-1),0,MIN(Dashboard!$C$7,ROW()-1),1))</f>
        <v>616.94205199999988</v>
      </c>
      <c r="F57" s="1">
        <f ca="1">IF(ROW()-1&gt;Dashboard!$C$7,IF(D56&gt;E56,1,0),0)</f>
        <v>0</v>
      </c>
      <c r="G57" s="36">
        <f t="shared" ca="1" si="1"/>
        <v>0</v>
      </c>
      <c r="H57" s="27">
        <f t="shared" si="2"/>
        <v>90.835190020650217</v>
      </c>
      <c r="I57" s="27">
        <f t="shared" ca="1" si="3"/>
        <v>100</v>
      </c>
      <c r="J57" s="1"/>
      <c r="K57" s="1"/>
    </row>
    <row r="58" spans="1:11" x14ac:dyDescent="0.3">
      <c r="A58" s="26">
        <f>Prices!A58</f>
        <v>46014</v>
      </c>
      <c r="B58" s="40">
        <f>INDEX(Prices!$B58:$G58,1,Dashboard!$C$8)</f>
        <v>595.06690000000003</v>
      </c>
      <c r="C58" s="36">
        <f t="shared" si="0"/>
        <v>-2.034183756624286E-2</v>
      </c>
      <c r="D58" s="41">
        <f ca="1">AVERAGE(OFFSET(B58,1-MIN(Dashboard!$C$6,ROW()-1),0,MIN(Dashboard!$C$6,ROW()-1),1))</f>
        <v>601.98629500000004</v>
      </c>
      <c r="E58" s="41">
        <f ca="1">AVERAGE(OFFSET(B58,1-MIN(Dashboard!$C$7,ROW()-1),0,MIN(Dashboard!$C$7,ROW()-1),1))</f>
        <v>616.21057399999984</v>
      </c>
      <c r="F58" s="1">
        <f ca="1">IF(ROW()-1&gt;Dashboard!$C$7,IF(D57&gt;E57,1,0),0)</f>
        <v>0</v>
      </c>
      <c r="G58" s="36">
        <f t="shared" ca="1" si="1"/>
        <v>0</v>
      </c>
      <c r="H58" s="27">
        <f t="shared" si="2"/>
        <v>88.987435339951347</v>
      </c>
      <c r="I58" s="27">
        <f t="shared" ca="1" si="3"/>
        <v>100</v>
      </c>
      <c r="J58" s="1"/>
      <c r="K58" s="1"/>
    </row>
    <row r="59" spans="1:11" x14ac:dyDescent="0.3">
      <c r="A59" s="26">
        <f>Prices!A59</f>
        <v>46015</v>
      </c>
      <c r="B59" s="40">
        <f>INDEX(Prices!$B59:$G59,1,Dashboard!$C$8)</f>
        <v>595.56119999999999</v>
      </c>
      <c r="C59" s="36">
        <f t="shared" si="0"/>
        <v>8.3066290529676401E-4</v>
      </c>
      <c r="D59" s="41">
        <f ca="1">AVERAGE(OFFSET(B59,1-MIN(Dashboard!$C$6,ROW()-1),0,MIN(Dashboard!$C$6,ROW()-1),1))</f>
        <v>601.14608500000008</v>
      </c>
      <c r="E59" s="41">
        <f ca="1">AVERAGE(OFFSET(B59,1-MIN(Dashboard!$C$7,ROW()-1),0,MIN(Dashboard!$C$7,ROW()-1),1))</f>
        <v>615.84483599999987</v>
      </c>
      <c r="F59" s="1">
        <f ca="1">IF(ROW()-1&gt;Dashboard!$C$7,IF(D58&gt;E58,1,0),0)</f>
        <v>0</v>
      </c>
      <c r="G59" s="36">
        <f t="shared" ca="1" si="1"/>
        <v>0</v>
      </c>
      <c r="H59" s="27">
        <f t="shared" si="2"/>
        <v>89.061353901525734</v>
      </c>
      <c r="I59" s="27">
        <f t="shared" ca="1" si="3"/>
        <v>100</v>
      </c>
      <c r="J59" s="1"/>
      <c r="K59" s="1"/>
    </row>
    <row r="60" spans="1:11" x14ac:dyDescent="0.3">
      <c r="A60" s="26">
        <f>Prices!A60</f>
        <v>46020</v>
      </c>
      <c r="B60" s="40">
        <f>INDEX(Prices!$B60:$G60,1,Dashboard!$C$8)</f>
        <v>589.63019999999995</v>
      </c>
      <c r="C60" s="36">
        <f t="shared" si="0"/>
        <v>-9.9586742722662658E-3</v>
      </c>
      <c r="D60" s="41">
        <f ca="1">AVERAGE(OFFSET(B60,1-MIN(Dashboard!$C$6,ROW()-1),0,MIN(Dashboard!$C$6,ROW()-1),1))</f>
        <v>600.40472000000011</v>
      </c>
      <c r="E60" s="41">
        <f ca="1">AVERAGE(OFFSET(B60,1-MIN(Dashboard!$C$7,ROW()-1),0,MIN(Dashboard!$C$7,ROW()-1),1))</f>
        <v>615.24185999999986</v>
      </c>
      <c r="F60" s="1">
        <f ca="1">IF(ROW()-1&gt;Dashboard!$C$7,IF(D59&gt;E59,1,0),0)</f>
        <v>0</v>
      </c>
      <c r="G60" s="36">
        <f t="shared" ca="1" si="1"/>
        <v>0</v>
      </c>
      <c r="H60" s="27">
        <f t="shared" si="2"/>
        <v>88.174420887773408</v>
      </c>
      <c r="I60" s="27">
        <f t="shared" ca="1" si="3"/>
        <v>100</v>
      </c>
      <c r="J60" s="1"/>
      <c r="K60" s="1"/>
    </row>
    <row r="61" spans="1:11" x14ac:dyDescent="0.3">
      <c r="A61" s="26">
        <f>Prices!A61</f>
        <v>46021</v>
      </c>
      <c r="B61" s="40">
        <f>INDEX(Prices!$B61:$G61,1,Dashboard!$C$8)</f>
        <v>593.09</v>
      </c>
      <c r="C61" s="36">
        <f t="shared" si="0"/>
        <v>5.8677455801960932E-3</v>
      </c>
      <c r="D61" s="41">
        <f ca="1">AVERAGE(OFFSET(B61,1-MIN(Dashboard!$C$6,ROW()-1),0,MIN(Dashboard!$C$6,ROW()-1),1))</f>
        <v>599.83634499999994</v>
      </c>
      <c r="E61" s="41">
        <f ca="1">AVERAGE(OFFSET(B61,1-MIN(Dashboard!$C$7,ROW()-1),0,MIN(Dashboard!$C$7,ROW()-1),1))</f>
        <v>614.84646799999985</v>
      </c>
      <c r="F61" s="1">
        <f ca="1">IF(ROW()-1&gt;Dashboard!$C$7,IF(D60&gt;E60,1,0),0)</f>
        <v>0</v>
      </c>
      <c r="G61" s="36">
        <f t="shared" ca="1" si="1"/>
        <v>0</v>
      </c>
      <c r="H61" s="27">
        <f t="shared" si="2"/>
        <v>88.691805956223988</v>
      </c>
      <c r="I61" s="27">
        <f t="shared" ca="1" si="3"/>
        <v>100</v>
      </c>
      <c r="J61" s="1"/>
      <c r="K61" s="1"/>
    </row>
    <row r="62" spans="1:11" x14ac:dyDescent="0.3">
      <c r="A62" s="26">
        <f>Prices!A62</f>
        <v>46022</v>
      </c>
      <c r="B62" s="40">
        <f>INDEX(Prices!$B62:$G62,1,Dashboard!$C$8)</f>
        <v>592.10140000000001</v>
      </c>
      <c r="C62" s="36">
        <f t="shared" si="0"/>
        <v>-1.666863376553307E-3</v>
      </c>
      <c r="D62" s="41">
        <f ca="1">AVERAGE(OFFSET(B62,1-MIN(Dashboard!$C$6,ROW()-1),0,MIN(Dashboard!$C$6,ROW()-1),1))</f>
        <v>598.82314499999995</v>
      </c>
      <c r="E62" s="41">
        <f ca="1">AVERAGE(OFFSET(B62,1-MIN(Dashboard!$C$7,ROW()-1),0,MIN(Dashboard!$C$7,ROW()-1),1))</f>
        <v>614.66853999999989</v>
      </c>
      <c r="F62" s="1">
        <f ca="1">IF(ROW()-1&gt;Dashboard!$C$7,IF(D61&gt;E61,1,0),0)</f>
        <v>0</v>
      </c>
      <c r="G62" s="36">
        <f t="shared" ca="1" si="1"/>
        <v>0</v>
      </c>
      <c r="H62" s="27">
        <f t="shared" si="2"/>
        <v>88.543968833075184</v>
      </c>
      <c r="I62" s="27">
        <f t="shared" ca="1" si="3"/>
        <v>100</v>
      </c>
      <c r="J62" s="1"/>
      <c r="K62" s="1"/>
    </row>
    <row r="63" spans="1:11" x14ac:dyDescent="0.3">
      <c r="A63" s="26">
        <f>Prices!A63</f>
        <v>46024</v>
      </c>
      <c r="B63" s="40">
        <f>INDEX(Prices!$B63:$G63,1,Dashboard!$C$8)</f>
        <v>615.82510000000002</v>
      </c>
      <c r="C63" s="36">
        <f t="shared" si="0"/>
        <v>4.0066954747953742E-2</v>
      </c>
      <c r="D63" s="41">
        <f ca="1">AVERAGE(OFFSET(B63,1-MIN(Dashboard!$C$6,ROW()-1),0,MIN(Dashboard!$C$6,ROW()-1),1))</f>
        <v>599.11968999999999</v>
      </c>
      <c r="E63" s="41">
        <f ca="1">AVERAGE(OFFSET(B63,1-MIN(Dashboard!$C$7,ROW()-1),0,MIN(Dashboard!$C$7,ROW()-1),1))</f>
        <v>614.57957599999997</v>
      </c>
      <c r="F63" s="1">
        <f ca="1">IF(ROW()-1&gt;Dashboard!$C$7,IF(D62&gt;E62,1,0),0)</f>
        <v>0</v>
      </c>
      <c r="G63" s="36">
        <f t="shared" ca="1" si="1"/>
        <v>0</v>
      </c>
      <c r="H63" s="27">
        <f t="shared" si="2"/>
        <v>92.09165602551424</v>
      </c>
      <c r="I63" s="27">
        <f t="shared" ca="1" si="3"/>
        <v>100</v>
      </c>
      <c r="J63" s="1"/>
      <c r="K63" s="1"/>
    </row>
    <row r="64" spans="1:11" x14ac:dyDescent="0.3">
      <c r="A64" s="26">
        <f>Prices!A64</f>
        <v>46027</v>
      </c>
      <c r="B64" s="40">
        <f>INDEX(Prices!$B64:$G64,1,Dashboard!$C$8)</f>
        <v>617.30780000000004</v>
      </c>
      <c r="C64" s="36">
        <f t="shared" si="0"/>
        <v>2.4076641241157493E-3</v>
      </c>
      <c r="D64" s="41">
        <f ca="1">AVERAGE(OFFSET(B64,1-MIN(Dashboard!$C$6,ROW()-1),0,MIN(Dashboard!$C$6,ROW()-1),1))</f>
        <v>599.78691499999991</v>
      </c>
      <c r="E64" s="41">
        <f ca="1">AVERAGE(OFFSET(B64,1-MIN(Dashboard!$C$7,ROW()-1),0,MIN(Dashboard!$C$7,ROW()-1),1))</f>
        <v>614.46095799999989</v>
      </c>
      <c r="F64" s="1">
        <f ca="1">IF(ROW()-1&gt;Dashboard!$C$7,IF(D63&gt;E63,1,0),0)</f>
        <v>0</v>
      </c>
      <c r="G64" s="36">
        <f t="shared" ca="1" si="1"/>
        <v>0</v>
      </c>
      <c r="H64" s="27">
        <f t="shared" si="2"/>
        <v>92.313381801857275</v>
      </c>
      <c r="I64" s="27">
        <f t="shared" ca="1" si="3"/>
        <v>100</v>
      </c>
      <c r="J64" s="1"/>
      <c r="K64" s="1"/>
    </row>
    <row r="65" spans="1:11" x14ac:dyDescent="0.3">
      <c r="A65" s="26">
        <f>Prices!A65</f>
        <v>46028</v>
      </c>
      <c r="B65" s="40">
        <f>INDEX(Prices!$B65:$G65,1,Dashboard!$C$8)</f>
        <v>625.21559999999999</v>
      </c>
      <c r="C65" s="36">
        <f t="shared" si="0"/>
        <v>1.2810141067389536E-2</v>
      </c>
      <c r="D65" s="41">
        <f ca="1">AVERAGE(OFFSET(B65,1-MIN(Dashboard!$C$6,ROW()-1),0,MIN(Dashboard!$C$6,ROW()-1),1))</f>
        <v>600.8001099999999</v>
      </c>
      <c r="E65" s="41">
        <f ca="1">AVERAGE(OFFSET(B65,1-MIN(Dashboard!$C$7,ROW()-1),0,MIN(Dashboard!$C$7,ROW()-1),1))</f>
        <v>614.63888399999996</v>
      </c>
      <c r="F65" s="1">
        <f ca="1">IF(ROW()-1&gt;Dashboard!$C$7,IF(D64&gt;E64,1,0),0)</f>
        <v>0</v>
      </c>
      <c r="G65" s="36">
        <f t="shared" ca="1" si="1"/>
        <v>0</v>
      </c>
      <c r="H65" s="27">
        <f t="shared" si="2"/>
        <v>93.495929245146854</v>
      </c>
      <c r="I65" s="27">
        <f t="shared" ca="1" si="3"/>
        <v>100</v>
      </c>
      <c r="J65" s="1"/>
      <c r="K65" s="1"/>
    </row>
    <row r="66" spans="1:11" x14ac:dyDescent="0.3">
      <c r="A66" s="26">
        <f>Prices!A66</f>
        <v>46029</v>
      </c>
      <c r="B66" s="40">
        <f>INDEX(Prices!$B66:$G66,1,Dashboard!$C$8)</f>
        <v>617.30780000000004</v>
      </c>
      <c r="C66" s="36">
        <f t="shared" si="0"/>
        <v>-1.2648116905592199E-2</v>
      </c>
      <c r="D66" s="41">
        <f ca="1">AVERAGE(OFFSET(B66,1-MIN(Dashboard!$C$6,ROW()-1),0,MIN(Dashboard!$C$6,ROW()-1),1))</f>
        <v>601.51675999999998</v>
      </c>
      <c r="E66" s="41">
        <f ca="1">AVERAGE(OFFSET(B66,1-MIN(Dashboard!$C$7,ROW()-1),0,MIN(Dashboard!$C$7,ROW()-1),1))</f>
        <v>614.47084199999995</v>
      </c>
      <c r="F66" s="1">
        <f ca="1">IF(ROW()-1&gt;Dashboard!$C$7,IF(D65&gt;E65,1,0),0)</f>
        <v>0</v>
      </c>
      <c r="G66" s="36">
        <f t="shared" ca="1" si="1"/>
        <v>0</v>
      </c>
      <c r="H66" s="27">
        <f t="shared" si="2"/>
        <v>92.313381801857261</v>
      </c>
      <c r="I66" s="27">
        <f t="shared" ca="1" si="3"/>
        <v>100</v>
      </c>
      <c r="J66" s="1"/>
      <c r="K66" s="1"/>
    </row>
    <row r="67" spans="1:11" x14ac:dyDescent="0.3">
      <c r="A67" s="26">
        <f>Prices!A67</f>
        <v>46030</v>
      </c>
      <c r="B67" s="40">
        <f>INDEX(Prices!$B67:$G67,1,Dashboard!$C$8)</f>
        <v>608.90570000000002</v>
      </c>
      <c r="C67" s="36">
        <f t="shared" ref="C67:C130" si="4">B67/B66-1</f>
        <v>-1.3610876130189853E-2</v>
      </c>
      <c r="D67" s="41">
        <f ca="1">AVERAGE(OFFSET(B67,1-MIN(Dashboard!$C$6,ROW()-1),0,MIN(Dashboard!$C$6,ROW()-1),1))</f>
        <v>602.06043</v>
      </c>
      <c r="E67" s="41">
        <f ca="1">AVERAGE(OFFSET(B67,1-MIN(Dashboard!$C$7,ROW()-1),0,MIN(Dashboard!$C$7,ROW()-1),1))</f>
        <v>614.045794</v>
      </c>
      <c r="F67" s="1">
        <f ca="1">IF(ROW()-1&gt;Dashboard!$C$7,IF(D66&gt;E66,1,0),0)</f>
        <v>0</v>
      </c>
      <c r="G67" s="36">
        <f t="shared" ref="G67:G130" ca="1" si="5">F67*C67</f>
        <v>0</v>
      </c>
      <c r="H67" s="27">
        <f t="shared" ref="H67:H130" si="6">H66*(1+C67)</f>
        <v>91.056915796993266</v>
      </c>
      <c r="I67" s="27">
        <f t="shared" ref="I67:I130" ca="1" si="7">I66*(1+G67)</f>
        <v>100</v>
      </c>
      <c r="J67" s="1"/>
      <c r="K67" s="1"/>
    </row>
    <row r="68" spans="1:11" x14ac:dyDescent="0.3">
      <c r="A68" s="26">
        <f>Prices!A68</f>
        <v>46031</v>
      </c>
      <c r="B68" s="40">
        <f>INDEX(Prices!$B68:$G68,1,Dashboard!$C$8)</f>
        <v>603.9633</v>
      </c>
      <c r="C68" s="36">
        <f t="shared" si="4"/>
        <v>-8.1168561897186908E-3</v>
      </c>
      <c r="D68" s="41">
        <f ca="1">AVERAGE(OFFSET(B68,1-MIN(Dashboard!$C$6,ROW()-1),0,MIN(Dashboard!$C$6,ROW()-1),1))</f>
        <v>602.48053499999992</v>
      </c>
      <c r="E68" s="41">
        <f ca="1">AVERAGE(OFFSET(B68,1-MIN(Dashboard!$C$7,ROW()-1),0,MIN(Dashboard!$C$7,ROW()-1),1))</f>
        <v>613.15615999999989</v>
      </c>
      <c r="F68" s="1">
        <f ca="1">IF(ROW()-1&gt;Dashboard!$C$7,IF(D67&gt;E67,1,0),0)</f>
        <v>0</v>
      </c>
      <c r="G68" s="36">
        <f t="shared" ca="1" si="5"/>
        <v>0</v>
      </c>
      <c r="H68" s="27">
        <f t="shared" si="6"/>
        <v>90.317819906389744</v>
      </c>
      <c r="I68" s="27">
        <f t="shared" ca="1" si="7"/>
        <v>100</v>
      </c>
      <c r="J68" s="1"/>
      <c r="K68" s="1"/>
    </row>
    <row r="69" spans="1:11" x14ac:dyDescent="0.3">
      <c r="A69" s="26">
        <f>Prices!A69</f>
        <v>46034</v>
      </c>
      <c r="B69" s="40">
        <f>INDEX(Prices!$B69:$G69,1,Dashboard!$C$8)</f>
        <v>615.82510000000002</v>
      </c>
      <c r="C69" s="36">
        <f t="shared" si="4"/>
        <v>1.9639935075525417E-2</v>
      </c>
      <c r="D69" s="41">
        <f ca="1">AVERAGE(OFFSET(B69,1-MIN(Dashboard!$C$6,ROW()-1),0,MIN(Dashboard!$C$6,ROW()-1),1))</f>
        <v>603.46901999999989</v>
      </c>
      <c r="E69" s="41">
        <f ca="1">AVERAGE(OFFSET(B69,1-MIN(Dashboard!$C$7,ROW()-1),0,MIN(Dashboard!$C$7,ROW()-1),1))</f>
        <v>612.72122799999988</v>
      </c>
      <c r="F69" s="1">
        <f ca="1">IF(ROW()-1&gt;Dashboard!$C$7,IF(D68&gt;E68,1,0),0)</f>
        <v>0</v>
      </c>
      <c r="G69" s="36">
        <f t="shared" ca="1" si="5"/>
        <v>0</v>
      </c>
      <c r="H69" s="27">
        <f t="shared" si="6"/>
        <v>92.09165602551424</v>
      </c>
      <c r="I69" s="27">
        <f t="shared" ca="1" si="7"/>
        <v>100</v>
      </c>
      <c r="J69" s="1"/>
      <c r="K69" s="1"/>
    </row>
    <row r="70" spans="1:11" x14ac:dyDescent="0.3">
      <c r="A70" s="26">
        <f>Prices!A70</f>
        <v>46035</v>
      </c>
      <c r="B70" s="40">
        <f>INDEX(Prices!$B70:$G70,1,Dashboard!$C$8)</f>
        <v>620.27329999999995</v>
      </c>
      <c r="C70" s="36">
        <f t="shared" si="4"/>
        <v>7.2231547561147913E-3</v>
      </c>
      <c r="D70" s="41">
        <f ca="1">AVERAGE(OFFSET(B70,1-MIN(Dashboard!$C$6,ROW()-1),0,MIN(Dashboard!$C$6,ROW()-1),1))</f>
        <v>604.75405000000001</v>
      </c>
      <c r="E70" s="41">
        <f ca="1">AVERAGE(OFFSET(B70,1-MIN(Dashboard!$C$7,ROW()-1),0,MIN(Dashboard!$C$7,ROW()-1),1))</f>
        <v>612.25664199999983</v>
      </c>
      <c r="F70" s="1">
        <f ca="1">IF(ROW()-1&gt;Dashboard!$C$7,IF(D69&gt;E69,1,0),0)</f>
        <v>0</v>
      </c>
      <c r="G70" s="36">
        <f t="shared" ca="1" si="5"/>
        <v>0</v>
      </c>
      <c r="H70" s="27">
        <f t="shared" si="6"/>
        <v>92.756848308733424</v>
      </c>
      <c r="I70" s="27">
        <f t="shared" ca="1" si="7"/>
        <v>100</v>
      </c>
      <c r="J70" s="1"/>
      <c r="K70" s="1"/>
    </row>
    <row r="71" spans="1:11" x14ac:dyDescent="0.3">
      <c r="A71" s="26">
        <f>Prices!A71</f>
        <v>46036</v>
      </c>
      <c r="B71" s="40">
        <f>INDEX(Prices!$B71:$G71,1,Dashboard!$C$8)</f>
        <v>625.70989999999995</v>
      </c>
      <c r="C71" s="36">
        <f t="shared" si="4"/>
        <v>8.7648460767213443E-3</v>
      </c>
      <c r="D71" s="41">
        <f ca="1">AVERAGE(OFFSET(B71,1-MIN(Dashboard!$C$6,ROW()-1),0,MIN(Dashboard!$C$6,ROW()-1),1))</f>
        <v>605.59425999999996</v>
      </c>
      <c r="E71" s="41">
        <f ca="1">AVERAGE(OFFSET(B71,1-MIN(Dashboard!$C$7,ROW()-1),0,MIN(Dashboard!$C$7,ROW()-1),1))</f>
        <v>612.33572000000004</v>
      </c>
      <c r="F71" s="1">
        <f ca="1">IF(ROW()-1&gt;Dashboard!$C$7,IF(D70&gt;E70,1,0),0)</f>
        <v>0</v>
      </c>
      <c r="G71" s="36">
        <f t="shared" ca="1" si="5"/>
        <v>0</v>
      </c>
      <c r="H71" s="27">
        <f t="shared" si="6"/>
        <v>93.56984780672127</v>
      </c>
      <c r="I71" s="27">
        <f t="shared" ca="1" si="7"/>
        <v>100</v>
      </c>
      <c r="J71" s="1"/>
      <c r="K71" s="1"/>
    </row>
    <row r="72" spans="1:11" x14ac:dyDescent="0.3">
      <c r="A72" s="26">
        <f>Prices!A72</f>
        <v>46037</v>
      </c>
      <c r="B72" s="40">
        <f>INDEX(Prices!$B72:$G72,1,Dashboard!$C$8)</f>
        <v>614.83659999999998</v>
      </c>
      <c r="C72" s="36">
        <f t="shared" si="4"/>
        <v>-1.7377541892816373E-2</v>
      </c>
      <c r="D72" s="41">
        <f ca="1">AVERAGE(OFFSET(B72,1-MIN(Dashboard!$C$6,ROW()-1),0,MIN(Dashboard!$C$6,ROW()-1),1))</f>
        <v>606.53332</v>
      </c>
      <c r="E72" s="41">
        <f ca="1">AVERAGE(OFFSET(B72,1-MIN(Dashboard!$C$7,ROW()-1),0,MIN(Dashboard!$C$7,ROW()-1),1))</f>
        <v>612.21710199999995</v>
      </c>
      <c r="F72" s="1">
        <f ca="1">IF(ROW()-1&gt;Dashboard!$C$7,IF(D71&gt;E71,1,0),0)</f>
        <v>0</v>
      </c>
      <c r="G72" s="36">
        <f t="shared" ca="1" si="5"/>
        <v>0</v>
      </c>
      <c r="H72" s="27">
        <f t="shared" si="6"/>
        <v>91.943833856555514</v>
      </c>
      <c r="I72" s="27">
        <f t="shared" ca="1" si="7"/>
        <v>100</v>
      </c>
      <c r="J72" s="1"/>
      <c r="K72" s="1"/>
    </row>
    <row r="73" spans="1:11" x14ac:dyDescent="0.3">
      <c r="A73" s="26">
        <f>Prices!A73</f>
        <v>46038</v>
      </c>
      <c r="B73" s="40">
        <f>INDEX(Prices!$B73:$G73,1,Dashboard!$C$8)</f>
        <v>610.38840000000005</v>
      </c>
      <c r="C73" s="36">
        <f t="shared" si="4"/>
        <v>-7.234767741542969E-3</v>
      </c>
      <c r="D73" s="41">
        <f ca="1">AVERAGE(OFFSET(B73,1-MIN(Dashboard!$C$6,ROW()-1),0,MIN(Dashboard!$C$6,ROW()-1),1))</f>
        <v>607.57123000000001</v>
      </c>
      <c r="E73" s="41">
        <f ca="1">AVERAGE(OFFSET(B73,1-MIN(Dashboard!$C$7,ROW()-1),0,MIN(Dashboard!$C$7,ROW()-1),1))</f>
        <v>611.98974999999996</v>
      </c>
      <c r="F73" s="1">
        <f ca="1">IF(ROW()-1&gt;Dashboard!$C$7,IF(D72&gt;E72,1,0),0)</f>
        <v>0</v>
      </c>
      <c r="G73" s="36">
        <f t="shared" ca="1" si="5"/>
        <v>0</v>
      </c>
      <c r="H73" s="27">
        <f t="shared" si="6"/>
        <v>91.278641573336316</v>
      </c>
      <c r="I73" s="27">
        <f t="shared" ca="1" si="7"/>
        <v>100</v>
      </c>
      <c r="J73" s="1"/>
      <c r="K73" s="1"/>
    </row>
    <row r="74" spans="1:11" x14ac:dyDescent="0.3">
      <c r="A74" s="26">
        <f>Prices!A74</f>
        <v>46041</v>
      </c>
      <c r="B74" s="40">
        <f>INDEX(Prices!$B74:$G74,1,Dashboard!$C$8)</f>
        <v>602.97479999999996</v>
      </c>
      <c r="C74" s="36">
        <f t="shared" si="4"/>
        <v>-1.2145709191066056E-2</v>
      </c>
      <c r="D74" s="41">
        <f ca="1">AVERAGE(OFFSET(B74,1-MIN(Dashboard!$C$6,ROW()-1),0,MIN(Dashboard!$C$6,ROW()-1),1))</f>
        <v>607.81835500000011</v>
      </c>
      <c r="E74" s="41">
        <f ca="1">AVERAGE(OFFSET(B74,1-MIN(Dashboard!$C$7,ROW()-1),0,MIN(Dashboard!$C$7,ROW()-1),1))</f>
        <v>611.61412599999994</v>
      </c>
      <c r="F74" s="1">
        <f ca="1">IF(ROW()-1&gt;Dashboard!$C$7,IF(D73&gt;E73,1,0),0)</f>
        <v>0</v>
      </c>
      <c r="G74" s="36">
        <f t="shared" ca="1" si="5"/>
        <v>0</v>
      </c>
      <c r="H74" s="27">
        <f t="shared" si="6"/>
        <v>90.169997737431018</v>
      </c>
      <c r="I74" s="27">
        <f t="shared" ca="1" si="7"/>
        <v>100</v>
      </c>
      <c r="J74" s="1"/>
      <c r="K74" s="1"/>
    </row>
    <row r="75" spans="1:11" x14ac:dyDescent="0.3">
      <c r="A75" s="26">
        <f>Prices!A75</f>
        <v>46042</v>
      </c>
      <c r="B75" s="40">
        <f>INDEX(Prices!$B75:$G75,1,Dashboard!$C$8)</f>
        <v>594.07839999999999</v>
      </c>
      <c r="C75" s="36">
        <f t="shared" si="4"/>
        <v>-1.4754182098488999E-2</v>
      </c>
      <c r="D75" s="41">
        <f ca="1">AVERAGE(OFFSET(B75,1-MIN(Dashboard!$C$6,ROW()-1),0,MIN(Dashboard!$C$6,ROW()-1),1))</f>
        <v>607.62066000000016</v>
      </c>
      <c r="E75" s="41">
        <f ca="1">AVERAGE(OFFSET(B75,1-MIN(Dashboard!$C$7,ROW()-1),0,MIN(Dashboard!$C$7,ROW()-1),1))</f>
        <v>610.76402999999982</v>
      </c>
      <c r="F75" s="1">
        <f ca="1">IF(ROW()-1&gt;Dashboard!$C$7,IF(D74&gt;E74,1,0),0)</f>
        <v>0</v>
      </c>
      <c r="G75" s="36">
        <f t="shared" ca="1" si="5"/>
        <v>0</v>
      </c>
      <c r="H75" s="27">
        <f t="shared" si="6"/>
        <v>88.839613170992621</v>
      </c>
      <c r="I75" s="27">
        <f t="shared" ca="1" si="7"/>
        <v>100</v>
      </c>
      <c r="J75" s="1"/>
      <c r="K75" s="1"/>
    </row>
    <row r="76" spans="1:11" x14ac:dyDescent="0.3">
      <c r="A76" s="26">
        <f>Prices!A76</f>
        <v>46043</v>
      </c>
      <c r="B76" s="40">
        <f>INDEX(Prices!$B76:$G76,1,Dashboard!$C$8)</f>
        <v>595.56119999999999</v>
      </c>
      <c r="C76" s="36">
        <f t="shared" si="4"/>
        <v>2.4959668622861475E-3</v>
      </c>
      <c r="D76" s="41">
        <f ca="1">AVERAGE(OFFSET(B76,1-MIN(Dashboard!$C$6,ROW()-1),0,MIN(Dashboard!$C$6,ROW()-1),1))</f>
        <v>607.0522850000001</v>
      </c>
      <c r="E76" s="41">
        <f ca="1">AVERAGE(OFFSET(B76,1-MIN(Dashboard!$C$7,ROW()-1),0,MIN(Dashboard!$C$7,ROW()-1),1))</f>
        <v>610.14128599999981</v>
      </c>
      <c r="F76" s="1">
        <f ca="1">IF(ROW()-1&gt;Dashboard!$C$7,IF(D75&gt;E75,1,0),0)</f>
        <v>0</v>
      </c>
      <c r="G76" s="36">
        <f t="shared" ca="1" si="5"/>
        <v>0</v>
      </c>
      <c r="H76" s="27">
        <f t="shared" si="6"/>
        <v>89.061353901525734</v>
      </c>
      <c r="I76" s="27">
        <f t="shared" ca="1" si="7"/>
        <v>100</v>
      </c>
      <c r="J76" s="1"/>
      <c r="K76" s="1"/>
    </row>
    <row r="77" spans="1:11" x14ac:dyDescent="0.3">
      <c r="A77" s="26">
        <f>Prices!A77</f>
        <v>46044</v>
      </c>
      <c r="B77" s="40">
        <f>INDEX(Prices!$B77:$G77,1,Dashboard!$C$8)</f>
        <v>590.61869999999999</v>
      </c>
      <c r="C77" s="36">
        <f t="shared" si="4"/>
        <v>-8.2988952268885363E-3</v>
      </c>
      <c r="D77" s="41">
        <f ca="1">AVERAGE(OFFSET(B77,1-MIN(Dashboard!$C$6,ROW()-1),0,MIN(Dashboard!$C$6,ROW()-1),1))</f>
        <v>606.21207000000015</v>
      </c>
      <c r="E77" s="41">
        <f ca="1">AVERAGE(OFFSET(B77,1-MIN(Dashboard!$C$7,ROW()-1),0,MIN(Dashboard!$C$7,ROW()-1),1))</f>
        <v>609.11326199999985</v>
      </c>
      <c r="F77" s="1">
        <f ca="1">IF(ROW()-1&gt;Dashboard!$C$7,IF(D76&gt;E76,1,0),0)</f>
        <v>0</v>
      </c>
      <c r="G77" s="36">
        <f t="shared" ca="1" si="5"/>
        <v>0</v>
      </c>
      <c r="H77" s="27">
        <f t="shared" si="6"/>
        <v>88.322243056732134</v>
      </c>
      <c r="I77" s="27">
        <f t="shared" ca="1" si="7"/>
        <v>100</v>
      </c>
      <c r="J77" s="1"/>
      <c r="K77" s="1"/>
    </row>
    <row r="78" spans="1:11" x14ac:dyDescent="0.3">
      <c r="A78" s="26">
        <f>Prices!A78</f>
        <v>46045</v>
      </c>
      <c r="B78" s="40">
        <f>INDEX(Prices!$B78:$G78,1,Dashboard!$C$8)</f>
        <v>588.14750000000004</v>
      </c>
      <c r="C78" s="36">
        <f t="shared" si="4"/>
        <v>-4.1840869583031903E-3</v>
      </c>
      <c r="D78" s="41">
        <f ca="1">AVERAGE(OFFSET(B78,1-MIN(Dashboard!$C$6,ROW()-1),0,MIN(Dashboard!$C$6,ROW()-1),1))</f>
        <v>605.86609999999996</v>
      </c>
      <c r="E78" s="41">
        <f ca="1">AVERAGE(OFFSET(B78,1-MIN(Dashboard!$C$7,ROW()-1),0,MIN(Dashboard!$C$7,ROW()-1),1))</f>
        <v>608.02592999999979</v>
      </c>
      <c r="F78" s="1">
        <f ca="1">IF(ROW()-1&gt;Dashboard!$C$7,IF(D77&gt;E77,1,0),0)</f>
        <v>0</v>
      </c>
      <c r="G78" s="36">
        <f t="shared" ca="1" si="5"/>
        <v>0</v>
      </c>
      <c r="H78" s="27">
        <f t="shared" si="6"/>
        <v>87.952695111430373</v>
      </c>
      <c r="I78" s="27">
        <f t="shared" ca="1" si="7"/>
        <v>100</v>
      </c>
      <c r="J78" s="1"/>
      <c r="K78" s="1"/>
    </row>
    <row r="79" spans="1:11" x14ac:dyDescent="0.3">
      <c r="A79" s="26">
        <f>Prices!A79</f>
        <v>46048</v>
      </c>
      <c r="B79" s="40">
        <f>INDEX(Prices!$B79:$G79,1,Dashboard!$C$8)</f>
        <v>592.59569999999997</v>
      </c>
      <c r="C79" s="36">
        <f t="shared" si="4"/>
        <v>7.5630687880163805E-3</v>
      </c>
      <c r="D79" s="41">
        <f ca="1">AVERAGE(OFFSET(B79,1-MIN(Dashboard!$C$6,ROW()-1),0,MIN(Dashboard!$C$6,ROW()-1),1))</f>
        <v>605.71782499999995</v>
      </c>
      <c r="E79" s="41">
        <f ca="1">AVERAGE(OFFSET(B79,1-MIN(Dashboard!$C$7,ROW()-1),0,MIN(Dashboard!$C$7,ROW()-1),1))</f>
        <v>606.8891739999998</v>
      </c>
      <c r="F79" s="1">
        <f ca="1">IF(ROW()-1&gt;Dashboard!$C$7,IF(D78&gt;E78,1,0),0)</f>
        <v>0</v>
      </c>
      <c r="G79" s="36">
        <f t="shared" ca="1" si="5"/>
        <v>0</v>
      </c>
      <c r="H79" s="27">
        <f t="shared" si="6"/>
        <v>88.617887394649557</v>
      </c>
      <c r="I79" s="27">
        <f t="shared" ca="1" si="7"/>
        <v>100</v>
      </c>
      <c r="J79" s="1"/>
      <c r="K79" s="1"/>
    </row>
    <row r="80" spans="1:11" x14ac:dyDescent="0.3">
      <c r="A80" s="26">
        <f>Prices!A80</f>
        <v>46049</v>
      </c>
      <c r="B80" s="40">
        <f>INDEX(Prices!$B80:$G80,1,Dashboard!$C$8)</f>
        <v>600.00930000000005</v>
      </c>
      <c r="C80" s="36">
        <f t="shared" si="4"/>
        <v>1.2510384398672025E-2</v>
      </c>
      <c r="D80" s="41">
        <f ca="1">AVERAGE(OFFSET(B80,1-MIN(Dashboard!$C$6,ROW()-1),0,MIN(Dashboard!$C$6,ROW()-1),1))</f>
        <v>606.23677999999995</v>
      </c>
      <c r="E80" s="41">
        <f ca="1">AVERAGE(OFFSET(B80,1-MIN(Dashboard!$C$7,ROW()-1),0,MIN(Dashboard!$C$7,ROW()-1),1))</f>
        <v>605.92045999999982</v>
      </c>
      <c r="F80" s="1">
        <f ca="1">IF(ROW()-1&gt;Dashboard!$C$7,IF(D79&gt;E79,1,0),0)</f>
        <v>0</v>
      </c>
      <c r="G80" s="36">
        <f t="shared" ca="1" si="5"/>
        <v>0</v>
      </c>
      <c r="H80" s="27">
        <f t="shared" si="6"/>
        <v>89.726531230554855</v>
      </c>
      <c r="I80" s="27">
        <f t="shared" ca="1" si="7"/>
        <v>100</v>
      </c>
      <c r="J80" s="1"/>
      <c r="K80" s="1"/>
    </row>
    <row r="81" spans="1:11" x14ac:dyDescent="0.3">
      <c r="A81" s="26">
        <f>Prices!A81</f>
        <v>46050</v>
      </c>
      <c r="B81" s="40">
        <f>INDEX(Prices!$B81:$G81,1,Dashboard!$C$8)</f>
        <v>613.84810000000004</v>
      </c>
      <c r="C81" s="36">
        <f t="shared" si="4"/>
        <v>2.3064309169874564E-2</v>
      </c>
      <c r="D81" s="41">
        <f ca="1">AVERAGE(OFFSET(B81,1-MIN(Dashboard!$C$6,ROW()-1),0,MIN(Dashboard!$C$6,ROW()-1),1))</f>
        <v>607.27468499999998</v>
      </c>
      <c r="E81" s="41">
        <f ca="1">AVERAGE(OFFSET(B81,1-MIN(Dashboard!$C$7,ROW()-1),0,MIN(Dashboard!$C$7,ROW()-1),1))</f>
        <v>605.52506799999981</v>
      </c>
      <c r="F81" s="1">
        <f ca="1">IF(ROW()-1&gt;Dashboard!$C$7,IF(D80&gt;E80,1,0),0)</f>
        <v>1</v>
      </c>
      <c r="G81" s="36">
        <f t="shared" ca="1" si="5"/>
        <v>2.3064309169874564E-2</v>
      </c>
      <c r="H81" s="27">
        <f t="shared" si="6"/>
        <v>91.796011687596774</v>
      </c>
      <c r="I81" s="27">
        <f t="shared" ca="1" si="7"/>
        <v>102.30643091698745</v>
      </c>
      <c r="J81" s="1"/>
      <c r="K81" s="1"/>
    </row>
    <row r="82" spans="1:11" x14ac:dyDescent="0.3">
      <c r="A82" s="26">
        <f>Prices!A82</f>
        <v>46051</v>
      </c>
      <c r="B82" s="40">
        <f>INDEX(Prices!$B82:$G82,1,Dashboard!$C$8)</f>
        <v>614.83659999999998</v>
      </c>
      <c r="C82" s="36">
        <f t="shared" si="4"/>
        <v>1.610333240422035E-3</v>
      </c>
      <c r="D82" s="41">
        <f ca="1">AVERAGE(OFFSET(B82,1-MIN(Dashboard!$C$6,ROW()-1),0,MIN(Dashboard!$C$6,ROW()-1),1))</f>
        <v>608.41144499999984</v>
      </c>
      <c r="E82" s="41">
        <f ca="1">AVERAGE(OFFSET(B82,1-MIN(Dashboard!$C$7,ROW()-1),0,MIN(Dashboard!$C$7,ROW()-1),1))</f>
        <v>605.23840799999994</v>
      </c>
      <c r="F82" s="1">
        <f ca="1">IF(ROW()-1&gt;Dashboard!$C$7,IF(D81&gt;E81,1,0),0)</f>
        <v>1</v>
      </c>
      <c r="G82" s="36">
        <f t="shared" ca="1" si="5"/>
        <v>1.610333240422035E-3</v>
      </c>
      <c r="H82" s="27">
        <f t="shared" si="6"/>
        <v>91.943833856555486</v>
      </c>
      <c r="I82" s="27">
        <f t="shared" ca="1" si="7"/>
        <v>102.47117836340202</v>
      </c>
      <c r="J82" s="1"/>
      <c r="K82" s="1"/>
    </row>
    <row r="83" spans="1:11" x14ac:dyDescent="0.3">
      <c r="A83" s="26">
        <f>Prices!A83</f>
        <v>46052</v>
      </c>
      <c r="B83" s="40">
        <f>INDEX(Prices!$B83:$G83,1,Dashboard!$C$8)</f>
        <v>599.02089999999998</v>
      </c>
      <c r="C83" s="36">
        <f t="shared" si="4"/>
        <v>-2.5723419848460494E-2</v>
      </c>
      <c r="D83" s="41">
        <f ca="1">AVERAGE(OFFSET(B83,1-MIN(Dashboard!$C$6,ROW()-1),0,MIN(Dashboard!$C$6,ROW()-1),1))</f>
        <v>607.57123499999989</v>
      </c>
      <c r="E83" s="41">
        <f ca="1">AVERAGE(OFFSET(B83,1-MIN(Dashboard!$C$7,ROW()-1),0,MIN(Dashboard!$C$7,ROW()-1),1))</f>
        <v>604.89243999999985</v>
      </c>
      <c r="F83" s="1">
        <f ca="1">IF(ROW()-1&gt;Dashboard!$C$7,IF(D82&gt;E82,1,0),0)</f>
        <v>1</v>
      </c>
      <c r="G83" s="36">
        <f t="shared" ca="1" si="5"/>
        <v>-2.5723419848460494E-2</v>
      </c>
      <c r="H83" s="27">
        <f t="shared" si="6"/>
        <v>89.578724015786207</v>
      </c>
      <c r="I83" s="27">
        <f t="shared" ca="1" si="7"/>
        <v>99.835269219993748</v>
      </c>
      <c r="J83" s="1"/>
      <c r="K83" s="1"/>
    </row>
    <row r="84" spans="1:11" x14ac:dyDescent="0.3">
      <c r="A84" s="26">
        <f>Prices!A84</f>
        <v>46055</v>
      </c>
      <c r="B84" s="40">
        <f>INDEX(Prices!$B84:$G84,1,Dashboard!$C$8)</f>
        <v>591.60720000000003</v>
      </c>
      <c r="C84" s="36">
        <f t="shared" si="4"/>
        <v>-1.2376362828074861E-2</v>
      </c>
      <c r="D84" s="41">
        <f ca="1">AVERAGE(OFFSET(B84,1-MIN(Dashboard!$C$6,ROW()-1),0,MIN(Dashboard!$C$6,ROW()-1),1))</f>
        <v>606.286205</v>
      </c>
      <c r="E84" s="41">
        <f ca="1">AVERAGE(OFFSET(B84,1-MIN(Dashboard!$C$7,ROW()-1),0,MIN(Dashboard!$C$7,ROW()-1),1))</f>
        <v>604.41796799999986</v>
      </c>
      <c r="F84" s="1">
        <f ca="1">IF(ROW()-1&gt;Dashboard!$C$7,IF(D83&gt;E83,1,0),0)</f>
        <v>1</v>
      </c>
      <c r="G84" s="36">
        <f t="shared" ca="1" si="5"/>
        <v>-1.2376362828074861E-2</v>
      </c>
      <c r="H84" s="27">
        <f t="shared" si="6"/>
        <v>88.47006522569086</v>
      </c>
      <c r="I84" s="27">
        <f t="shared" ca="1" si="7"/>
        <v>98.599671705088568</v>
      </c>
      <c r="J84" s="1"/>
      <c r="K84" s="1"/>
    </row>
    <row r="85" spans="1:11" x14ac:dyDescent="0.3">
      <c r="A85" s="26">
        <f>Prices!A85</f>
        <v>46056</v>
      </c>
      <c r="B85" s="40">
        <f>INDEX(Prices!$B85:$G85,1,Dashboard!$C$8)</f>
        <v>574.30880000000002</v>
      </c>
      <c r="C85" s="36">
        <f t="shared" si="4"/>
        <v>-2.9239671187233696E-2</v>
      </c>
      <c r="D85" s="41">
        <f ca="1">AVERAGE(OFFSET(B85,1-MIN(Dashboard!$C$6,ROW()-1),0,MIN(Dashboard!$C$6,ROW()-1),1))</f>
        <v>603.74086499999999</v>
      </c>
      <c r="E85" s="41">
        <f ca="1">AVERAGE(OFFSET(B85,1-MIN(Dashboard!$C$7,ROW()-1),0,MIN(Dashboard!$C$7,ROW()-1),1))</f>
        <v>603.62718199999983</v>
      </c>
      <c r="F85" s="1">
        <f ca="1">IF(ROW()-1&gt;Dashboard!$C$7,IF(D84&gt;E84,1,0),0)</f>
        <v>1</v>
      </c>
      <c r="G85" s="36">
        <f t="shared" ca="1" si="5"/>
        <v>-2.9239671187233696E-2</v>
      </c>
      <c r="H85" s="27">
        <f t="shared" si="6"/>
        <v>85.883229608578546</v>
      </c>
      <c r="I85" s="27">
        <f t="shared" ca="1" si="7"/>
        <v>95.716649725262585</v>
      </c>
      <c r="J85" s="1"/>
      <c r="K85" s="1"/>
    </row>
    <row r="86" spans="1:11" x14ac:dyDescent="0.3">
      <c r="A86" s="26">
        <f>Prices!A86</f>
        <v>46057</v>
      </c>
      <c r="B86" s="40">
        <f>INDEX(Prices!$B86:$G86,1,Dashboard!$C$8)</f>
        <v>551.57370000000003</v>
      </c>
      <c r="C86" s="36">
        <f t="shared" si="4"/>
        <v>-3.9586891233427068E-2</v>
      </c>
      <c r="D86" s="41">
        <f ca="1">AVERAGE(OFFSET(B86,1-MIN(Dashboard!$C$6,ROW()-1),0,MIN(Dashboard!$C$6,ROW()-1),1))</f>
        <v>600.45416</v>
      </c>
      <c r="E86" s="41">
        <f ca="1">AVERAGE(OFFSET(B86,1-MIN(Dashboard!$C$7,ROW()-1),0,MIN(Dashboard!$C$7,ROW()-1),1))</f>
        <v>602.59915999999987</v>
      </c>
      <c r="F86" s="1">
        <f ca="1">IF(ROW()-1&gt;Dashboard!$C$7,IF(D85&gt;E85,1,0),0)</f>
        <v>1</v>
      </c>
      <c r="G86" s="36">
        <f t="shared" ca="1" si="5"/>
        <v>-3.9586891233427068E-2</v>
      </c>
      <c r="H86" s="27">
        <f t="shared" si="6"/>
        <v>82.483379539288308</v>
      </c>
      <c r="I86" s="27">
        <f t="shared" ca="1" si="7"/>
        <v>91.927525123360581</v>
      </c>
      <c r="J86" s="1"/>
      <c r="K86" s="1"/>
    </row>
    <row r="87" spans="1:11" x14ac:dyDescent="0.3">
      <c r="A87" s="26">
        <f>Prices!A87</f>
        <v>46058</v>
      </c>
      <c r="B87" s="40">
        <f>INDEX(Prices!$B87:$G87,1,Dashboard!$C$8)</f>
        <v>552.06790000000001</v>
      </c>
      <c r="C87" s="36">
        <f t="shared" si="4"/>
        <v>8.9598180623906565E-4</v>
      </c>
      <c r="D87" s="41">
        <f ca="1">AVERAGE(OFFSET(B87,1-MIN(Dashboard!$C$6,ROW()-1),0,MIN(Dashboard!$C$6,ROW()-1),1))</f>
        <v>597.61227000000008</v>
      </c>
      <c r="E87" s="41">
        <f ca="1">AVERAGE(OFFSET(B87,1-MIN(Dashboard!$C$7,ROW()-1),0,MIN(Dashboard!$C$7,ROW()-1),1))</f>
        <v>601.29436199999986</v>
      </c>
      <c r="F87" s="1">
        <f ca="1">IF(ROW()-1&gt;Dashboard!$C$7,IF(D86&gt;E86,1,0),0)</f>
        <v>0</v>
      </c>
      <c r="G87" s="36">
        <f t="shared" ca="1" si="5"/>
        <v>0</v>
      </c>
      <c r="H87" s="27">
        <f t="shared" si="6"/>
        <v>82.557283146672617</v>
      </c>
      <c r="I87" s="27">
        <f t="shared" ca="1" si="7"/>
        <v>91.927525123360581</v>
      </c>
      <c r="J87" s="1"/>
      <c r="K87" s="1"/>
    </row>
    <row r="88" spans="1:11" x14ac:dyDescent="0.3">
      <c r="A88" s="26">
        <f>Prices!A88</f>
        <v>46059</v>
      </c>
      <c r="B88" s="40">
        <f>INDEX(Prices!$B88:$G88,1,Dashboard!$C$8)</f>
        <v>541.19460000000004</v>
      </c>
      <c r="C88" s="36">
        <f t="shared" si="4"/>
        <v>-1.9695584546755907E-2</v>
      </c>
      <c r="D88" s="41">
        <f ca="1">AVERAGE(OFFSET(B88,1-MIN(Dashboard!$C$6,ROW()-1),0,MIN(Dashboard!$C$6,ROW()-1),1))</f>
        <v>594.47383500000012</v>
      </c>
      <c r="E88" s="41">
        <f ca="1">AVERAGE(OFFSET(B88,1-MIN(Dashboard!$C$7,ROW()-1),0,MIN(Dashboard!$C$7,ROW()-1),1))</f>
        <v>599.76221399999986</v>
      </c>
      <c r="F88" s="1">
        <f ca="1">IF(ROW()-1&gt;Dashboard!$C$7,IF(D87&gt;E87,1,0),0)</f>
        <v>0</v>
      </c>
      <c r="G88" s="36">
        <f t="shared" ca="1" si="5"/>
        <v>0</v>
      </c>
      <c r="H88" s="27">
        <f t="shared" si="6"/>
        <v>80.931269196506861</v>
      </c>
      <c r="I88" s="27">
        <f t="shared" ca="1" si="7"/>
        <v>91.927525123360581</v>
      </c>
      <c r="J88" s="1"/>
      <c r="K88" s="1"/>
    </row>
    <row r="89" spans="1:11" x14ac:dyDescent="0.3">
      <c r="A89" s="26">
        <f>Prices!A89</f>
        <v>46062</v>
      </c>
      <c r="B89" s="40">
        <f>INDEX(Prices!$B89:$G89,1,Dashboard!$C$8)</f>
        <v>553.55060000000003</v>
      </c>
      <c r="C89" s="36">
        <f t="shared" si="4"/>
        <v>2.2830974292795903E-2</v>
      </c>
      <c r="D89" s="41">
        <f ca="1">AVERAGE(OFFSET(B89,1-MIN(Dashboard!$C$6,ROW()-1),0,MIN(Dashboard!$C$6,ROW()-1),1))</f>
        <v>591.36011000000008</v>
      </c>
      <c r="E89" s="41">
        <f ca="1">AVERAGE(OFFSET(B89,1-MIN(Dashboard!$C$7,ROW()-1),0,MIN(Dashboard!$C$7,ROW()-1),1))</f>
        <v>598.58591799999999</v>
      </c>
      <c r="F89" s="1">
        <f ca="1">IF(ROW()-1&gt;Dashboard!$C$7,IF(D88&gt;E88,1,0),0)</f>
        <v>0</v>
      </c>
      <c r="G89" s="36">
        <f t="shared" ca="1" si="5"/>
        <v>0</v>
      </c>
      <c r="H89" s="27">
        <f t="shared" si="6"/>
        <v>82.779008923015652</v>
      </c>
      <c r="I89" s="27">
        <f t="shared" ca="1" si="7"/>
        <v>91.927525123360581</v>
      </c>
      <c r="J89" s="1"/>
      <c r="K89" s="1"/>
    </row>
    <row r="90" spans="1:11" x14ac:dyDescent="0.3">
      <c r="A90" s="26">
        <f>Prices!A90</f>
        <v>46063</v>
      </c>
      <c r="B90" s="40">
        <f>INDEX(Prices!$B90:$G90,1,Dashboard!$C$8)</f>
        <v>544.65430000000003</v>
      </c>
      <c r="C90" s="36">
        <f t="shared" si="4"/>
        <v>-1.6071340181005977E-2</v>
      </c>
      <c r="D90" s="41">
        <f ca="1">AVERAGE(OFFSET(B90,1-MIN(Dashboard!$C$6,ROW()-1),0,MIN(Dashboard!$C$6,ROW()-1),1))</f>
        <v>587.57916000000012</v>
      </c>
      <c r="E90" s="41">
        <f ca="1">AVERAGE(OFFSET(B90,1-MIN(Dashboard!$C$7,ROW()-1),0,MIN(Dashboard!$C$7,ROW()-1),1))</f>
        <v>597.38985399999979</v>
      </c>
      <c r="F90" s="1">
        <f ca="1">IF(ROW()-1&gt;Dashboard!$C$7,IF(D89&gt;E89,1,0),0)</f>
        <v>0</v>
      </c>
      <c r="G90" s="36">
        <f t="shared" ca="1" si="5"/>
        <v>0</v>
      </c>
      <c r="H90" s="27">
        <f t="shared" si="6"/>
        <v>81.448639310767334</v>
      </c>
      <c r="I90" s="27">
        <f t="shared" ca="1" si="7"/>
        <v>91.927525123360581</v>
      </c>
      <c r="J90" s="1"/>
      <c r="K90" s="1"/>
    </row>
    <row r="91" spans="1:11" x14ac:dyDescent="0.3">
      <c r="A91" s="26">
        <f>Prices!A91</f>
        <v>46064</v>
      </c>
      <c r="B91" s="40">
        <f>INDEX(Prices!$B91:$G91,1,Dashboard!$C$8)</f>
        <v>541.68880000000001</v>
      </c>
      <c r="C91" s="36">
        <f t="shared" si="4"/>
        <v>-5.4447380659622402E-3</v>
      </c>
      <c r="D91" s="41">
        <f ca="1">AVERAGE(OFFSET(B91,1-MIN(Dashboard!$C$6,ROW()-1),0,MIN(Dashboard!$C$6,ROW()-1),1))</f>
        <v>583.37810500000012</v>
      </c>
      <c r="E91" s="41">
        <f ca="1">AVERAGE(OFFSET(B91,1-MIN(Dashboard!$C$7,ROW()-1),0,MIN(Dashboard!$C$7,ROW()-1),1))</f>
        <v>596.13447999999971</v>
      </c>
      <c r="F91" s="1">
        <f ca="1">IF(ROW()-1&gt;Dashboard!$C$7,IF(D90&gt;E90,1,0),0)</f>
        <v>0</v>
      </c>
      <c r="G91" s="36">
        <f t="shared" ca="1" si="5"/>
        <v>0</v>
      </c>
      <c r="H91" s="27">
        <f t="shared" si="6"/>
        <v>81.00517280389117</v>
      </c>
      <c r="I91" s="27">
        <f t="shared" ca="1" si="7"/>
        <v>91.927525123360581</v>
      </c>
      <c r="J91" s="1"/>
      <c r="K91" s="1"/>
    </row>
    <row r="92" spans="1:11" x14ac:dyDescent="0.3">
      <c r="A92" s="26">
        <f>Prices!A92</f>
        <v>46065</v>
      </c>
      <c r="B92" s="40">
        <f>INDEX(Prices!$B92:$G92,1,Dashboard!$C$8)</f>
        <v>529.33280000000002</v>
      </c>
      <c r="C92" s="36">
        <f t="shared" si="4"/>
        <v>-2.2810144865465176E-2</v>
      </c>
      <c r="D92" s="41">
        <f ca="1">AVERAGE(OFFSET(B92,1-MIN(Dashboard!$C$6,ROW()-1),0,MIN(Dashboard!$C$6,ROW()-1),1))</f>
        <v>579.10291500000005</v>
      </c>
      <c r="E92" s="41">
        <f ca="1">AVERAGE(OFFSET(B92,1-MIN(Dashboard!$C$7,ROW()-1),0,MIN(Dashboard!$C$7,ROW()-1),1))</f>
        <v>594.4738279999998</v>
      </c>
      <c r="F92" s="1">
        <f ca="1">IF(ROW()-1&gt;Dashboard!$C$7,IF(D91&gt;E91,1,0),0)</f>
        <v>0</v>
      </c>
      <c r="G92" s="36">
        <f t="shared" ca="1" si="5"/>
        <v>0</v>
      </c>
      <c r="H92" s="27">
        <f t="shared" si="6"/>
        <v>79.157433077382379</v>
      </c>
      <c r="I92" s="27">
        <f t="shared" ca="1" si="7"/>
        <v>91.927525123360581</v>
      </c>
      <c r="J92" s="1"/>
      <c r="K92" s="1"/>
    </row>
    <row r="93" spans="1:11" x14ac:dyDescent="0.3">
      <c r="A93" s="26">
        <f>Prices!A93</f>
        <v>46066</v>
      </c>
      <c r="B93" s="40">
        <f>INDEX(Prices!$B93:$G93,1,Dashboard!$C$8)</f>
        <v>525.87310000000002</v>
      </c>
      <c r="C93" s="36">
        <f t="shared" si="4"/>
        <v>-6.5359637641951851E-3</v>
      </c>
      <c r="D93" s="41">
        <f ca="1">AVERAGE(OFFSET(B93,1-MIN(Dashboard!$C$6,ROW()-1),0,MIN(Dashboard!$C$6,ROW()-1),1))</f>
        <v>574.87715000000003</v>
      </c>
      <c r="E93" s="41">
        <f ca="1">AVERAGE(OFFSET(B93,1-MIN(Dashboard!$C$7,ROW()-1),0,MIN(Dashboard!$C$7,ROW()-1),1))</f>
        <v>592.79340599999978</v>
      </c>
      <c r="F93" s="1">
        <f ca="1">IF(ROW()-1&gt;Dashboard!$C$7,IF(D92&gt;E92,1,0),0)</f>
        <v>0</v>
      </c>
      <c r="G93" s="36">
        <f t="shared" ca="1" si="5"/>
        <v>0</v>
      </c>
      <c r="H93" s="27">
        <f t="shared" si="6"/>
        <v>78.640062963121906</v>
      </c>
      <c r="I93" s="27">
        <f t="shared" ca="1" si="7"/>
        <v>91.927525123360581</v>
      </c>
      <c r="J93" s="1"/>
      <c r="K93" s="1"/>
    </row>
    <row r="94" spans="1:11" x14ac:dyDescent="0.3">
      <c r="A94" s="26">
        <f>Prices!A94</f>
        <v>46069</v>
      </c>
      <c r="B94" s="40">
        <f>INDEX(Prices!$B94:$G94,1,Dashboard!$C$8)</f>
        <v>528.34429999999998</v>
      </c>
      <c r="C94" s="36">
        <f t="shared" si="4"/>
        <v>4.6992325715080607E-3</v>
      </c>
      <c r="D94" s="41">
        <f ca="1">AVERAGE(OFFSET(B94,1-MIN(Dashboard!$C$6,ROW()-1),0,MIN(Dashboard!$C$6,ROW()-1),1))</f>
        <v>571.14562500000011</v>
      </c>
      <c r="E94" s="41">
        <f ca="1">AVERAGE(OFFSET(B94,1-MIN(Dashboard!$C$7,ROW()-1),0,MIN(Dashboard!$C$7,ROW()-1),1))</f>
        <v>591.28102599999977</v>
      </c>
      <c r="F94" s="1">
        <f ca="1">IF(ROW()-1&gt;Dashboard!$C$7,IF(D93&gt;E93,1,0),0)</f>
        <v>0</v>
      </c>
      <c r="G94" s="36">
        <f t="shared" ca="1" si="5"/>
        <v>0</v>
      </c>
      <c r="H94" s="27">
        <f t="shared" si="6"/>
        <v>79.009610908423653</v>
      </c>
      <c r="I94" s="27">
        <f t="shared" ca="1" si="7"/>
        <v>91.927525123360581</v>
      </c>
      <c r="J94" s="1"/>
      <c r="K94" s="1"/>
    </row>
    <row r="95" spans="1:11" x14ac:dyDescent="0.3">
      <c r="A95" s="26">
        <f>Prices!A95</f>
        <v>46073</v>
      </c>
      <c r="B95" s="40">
        <f>INDEX(Prices!$B95:$G95,1,Dashboard!$C$8)</f>
        <v>515.98829999999998</v>
      </c>
      <c r="C95" s="36">
        <f t="shared" si="4"/>
        <v>-2.3386265357646541E-2</v>
      </c>
      <c r="D95" s="41">
        <f ca="1">AVERAGE(OFFSET(B95,1-MIN(Dashboard!$C$6,ROW()-1),0,MIN(Dashboard!$C$6,ROW()-1),1))</f>
        <v>567.24112000000002</v>
      </c>
      <c r="E95" s="41">
        <f ca="1">AVERAGE(OFFSET(B95,1-MIN(Dashboard!$C$7,ROW()-1),0,MIN(Dashboard!$C$7,ROW()-1),1))</f>
        <v>589.50175799999988</v>
      </c>
      <c r="F95" s="1">
        <f ca="1">IF(ROW()-1&gt;Dashboard!$C$7,IF(D94&gt;E94,1,0),0)</f>
        <v>0</v>
      </c>
      <c r="G95" s="36">
        <f t="shared" ca="1" si="5"/>
        <v>0</v>
      </c>
      <c r="H95" s="27">
        <f t="shared" si="6"/>
        <v>77.161871181914847</v>
      </c>
      <c r="I95" s="27">
        <f t="shared" ca="1" si="7"/>
        <v>91.927525123360581</v>
      </c>
      <c r="J95" s="1"/>
      <c r="K95" s="1"/>
    </row>
    <row r="96" spans="1:11" x14ac:dyDescent="0.3">
      <c r="A96" s="26">
        <f>Prices!A96</f>
        <v>46076</v>
      </c>
      <c r="B96" s="40">
        <f>INDEX(Prices!$B96:$G96,1,Dashboard!$C$8)</f>
        <v>531.80399999999997</v>
      </c>
      <c r="C96" s="36">
        <f t="shared" si="4"/>
        <v>3.0651276395220473E-2</v>
      </c>
      <c r="D96" s="41">
        <f ca="1">AVERAGE(OFFSET(B96,1-MIN(Dashboard!$C$6,ROW()-1),0,MIN(Dashboard!$C$6,ROW()-1),1))</f>
        <v>564.05326000000002</v>
      </c>
      <c r="E96" s="41">
        <f ca="1">AVERAGE(OFFSET(B96,1-MIN(Dashboard!$C$7,ROW()-1),0,MIN(Dashboard!$C$7,ROW()-1),1))</f>
        <v>588.07834199999991</v>
      </c>
      <c r="F96" s="1">
        <f ca="1">IF(ROW()-1&gt;Dashboard!$C$7,IF(D95&gt;E95,1,0),0)</f>
        <v>0</v>
      </c>
      <c r="G96" s="36">
        <f t="shared" ca="1" si="5"/>
        <v>0</v>
      </c>
      <c r="H96" s="27">
        <f t="shared" si="6"/>
        <v>79.526981022684112</v>
      </c>
      <c r="I96" s="27">
        <f t="shared" ca="1" si="7"/>
        <v>91.927525123360581</v>
      </c>
      <c r="J96" s="1"/>
      <c r="K96" s="1"/>
    </row>
    <row r="97" spans="1:11" x14ac:dyDescent="0.3">
      <c r="A97" s="26">
        <f>Prices!A97</f>
        <v>46077</v>
      </c>
      <c r="B97" s="40">
        <f>INDEX(Prices!$B97:$G97,1,Dashboard!$C$8)</f>
        <v>514.01130000000001</v>
      </c>
      <c r="C97" s="36">
        <f t="shared" si="4"/>
        <v>-3.3457251167723356E-2</v>
      </c>
      <c r="D97" s="41">
        <f ca="1">AVERAGE(OFFSET(B97,1-MIN(Dashboard!$C$6,ROW()-1),0,MIN(Dashboard!$C$6,ROW()-1),1))</f>
        <v>560.22289000000012</v>
      </c>
      <c r="E97" s="41">
        <f ca="1">AVERAGE(OFFSET(B97,1-MIN(Dashboard!$C$7,ROW()-1),0,MIN(Dashboard!$C$7,ROW()-1),1))</f>
        <v>586.39792199999988</v>
      </c>
      <c r="F97" s="1">
        <f ca="1">IF(ROW()-1&gt;Dashboard!$C$7,IF(D96&gt;E96,1,0),0)</f>
        <v>0</v>
      </c>
      <c r="G97" s="36">
        <f t="shared" ca="1" si="5"/>
        <v>0</v>
      </c>
      <c r="H97" s="27">
        <f t="shared" si="6"/>
        <v>76.866226843997396</v>
      </c>
      <c r="I97" s="27">
        <f t="shared" ca="1" si="7"/>
        <v>91.927525123360581</v>
      </c>
      <c r="J97" s="1"/>
      <c r="K97" s="1"/>
    </row>
    <row r="98" spans="1:11" x14ac:dyDescent="0.3">
      <c r="A98" s="26">
        <f>Prices!A98</f>
        <v>46078</v>
      </c>
      <c r="B98" s="40">
        <f>INDEX(Prices!$B98:$G98,1,Dashboard!$C$8)</f>
        <v>516.48249999999996</v>
      </c>
      <c r="C98" s="36">
        <f t="shared" si="4"/>
        <v>4.8076764071138811E-3</v>
      </c>
      <c r="D98" s="41">
        <f ca="1">AVERAGE(OFFSET(B98,1-MIN(Dashboard!$C$6,ROW()-1),0,MIN(Dashboard!$C$6,ROW()-1),1))</f>
        <v>556.6396400000001</v>
      </c>
      <c r="E98" s="41">
        <f ca="1">AVERAGE(OFFSET(B98,1-MIN(Dashboard!$C$7,ROW()-1),0,MIN(Dashboard!$C$7,ROW()-1),1))</f>
        <v>584.81634799999983</v>
      </c>
      <c r="F98" s="1">
        <f ca="1">IF(ROW()-1&gt;Dashboard!$C$7,IF(D97&gt;E97,1,0),0)</f>
        <v>0</v>
      </c>
      <c r="G98" s="36">
        <f t="shared" ca="1" si="5"/>
        <v>0</v>
      </c>
      <c r="H98" s="27">
        <f t="shared" si="6"/>
        <v>77.235774789299143</v>
      </c>
      <c r="I98" s="27">
        <f t="shared" ca="1" si="7"/>
        <v>91.927525123360581</v>
      </c>
      <c r="J98" s="1"/>
      <c r="K98" s="1"/>
    </row>
    <row r="99" spans="1:11" x14ac:dyDescent="0.3">
      <c r="A99" s="26">
        <f>Prices!A99</f>
        <v>46079</v>
      </c>
      <c r="B99" s="40">
        <f>INDEX(Prices!$B99:$G99,1,Dashboard!$C$8)</f>
        <v>506.10340000000002</v>
      </c>
      <c r="C99" s="36">
        <f t="shared" si="4"/>
        <v>-2.0095743805453092E-2</v>
      </c>
      <c r="D99" s="41">
        <f ca="1">AVERAGE(OFFSET(B99,1-MIN(Dashboard!$C$6,ROW()-1),0,MIN(Dashboard!$C$6,ROW()-1),1))</f>
        <v>552.31502500000011</v>
      </c>
      <c r="E99" s="41">
        <f ca="1">AVERAGE(OFFSET(B99,1-MIN(Dashboard!$C$7,ROW()-1),0,MIN(Dashboard!$C$7,ROW()-1),1))</f>
        <v>583.01730799999984</v>
      </c>
      <c r="F99" s="1">
        <f ca="1">IF(ROW()-1&gt;Dashboard!$C$7,IF(D98&gt;E98,1,0),0)</f>
        <v>0</v>
      </c>
      <c r="G99" s="36">
        <f t="shared" ca="1" si="5"/>
        <v>0</v>
      </c>
      <c r="H99" s="27">
        <f t="shared" si="6"/>
        <v>75.68366444651771</v>
      </c>
      <c r="I99" s="27">
        <f t="shared" ca="1" si="7"/>
        <v>91.927525123360581</v>
      </c>
      <c r="J99" s="1"/>
      <c r="K99" s="1"/>
    </row>
    <row r="100" spans="1:11" x14ac:dyDescent="0.3">
      <c r="A100" s="26">
        <f>Prices!A100</f>
        <v>46080</v>
      </c>
      <c r="B100" s="40">
        <f>INDEX(Prices!$B100:$G100,1,Dashboard!$C$8)</f>
        <v>512.03430000000003</v>
      </c>
      <c r="C100" s="36">
        <f t="shared" si="4"/>
        <v>1.171875154365698E-2</v>
      </c>
      <c r="D100" s="41">
        <f ca="1">AVERAGE(OFFSET(B100,1-MIN(Dashboard!$C$6,ROW()-1),0,MIN(Dashboard!$C$6,ROW()-1),1))</f>
        <v>547.91627499999993</v>
      </c>
      <c r="E100" s="41">
        <f ca="1">AVERAGE(OFFSET(B100,1-MIN(Dashboard!$C$7,ROW()-1),0,MIN(Dashboard!$C$7,ROW()-1),1))</f>
        <v>581.36653999999987</v>
      </c>
      <c r="F100" s="1">
        <f ca="1">IF(ROW()-1&gt;Dashboard!$C$7,IF(D99&gt;E99,1,0),0)</f>
        <v>0</v>
      </c>
      <c r="G100" s="36">
        <f t="shared" ca="1" si="5"/>
        <v>0</v>
      </c>
      <c r="H100" s="27">
        <f t="shared" si="6"/>
        <v>76.570582506079958</v>
      </c>
      <c r="I100" s="27">
        <f t="shared" ca="1" si="7"/>
        <v>91.927525123360581</v>
      </c>
      <c r="J100" s="1"/>
      <c r="K100" s="1"/>
    </row>
    <row r="101" spans="1:11" x14ac:dyDescent="0.3">
      <c r="A101" s="26">
        <f>Prices!A101</f>
        <v>46083</v>
      </c>
      <c r="B101" s="40">
        <f>INDEX(Prices!$B101:$G101,1,Dashboard!$C$8)</f>
        <v>508.0804</v>
      </c>
      <c r="C101" s="36">
        <f t="shared" si="4"/>
        <v>-7.7219436276046993E-3</v>
      </c>
      <c r="D101" s="41">
        <f ca="1">AVERAGE(OFFSET(B101,1-MIN(Dashboard!$C$6,ROW()-1),0,MIN(Dashboard!$C$6,ROW()-1),1))</f>
        <v>542.62788999999998</v>
      </c>
      <c r="E101" s="41">
        <f ca="1">AVERAGE(OFFSET(B101,1-MIN(Dashboard!$C$7,ROW()-1),0,MIN(Dashboard!$C$7,ROW()-1),1))</f>
        <v>579.35003399999982</v>
      </c>
      <c r="F101" s="1">
        <f ca="1">IF(ROW()-1&gt;Dashboard!$C$7,IF(D100&gt;E100,1,0),0)</f>
        <v>0</v>
      </c>
      <c r="G101" s="36">
        <f t="shared" ca="1" si="5"/>
        <v>0</v>
      </c>
      <c r="H101" s="27">
        <f t="shared" si="6"/>
        <v>75.979308784435148</v>
      </c>
      <c r="I101" s="27">
        <f t="shared" ca="1" si="7"/>
        <v>91.927525123360581</v>
      </c>
      <c r="J101" s="1"/>
      <c r="K101" s="1"/>
    </row>
    <row r="102" spans="1:11" x14ac:dyDescent="0.3">
      <c r="A102" s="26">
        <f>Prices!A102</f>
        <v>46084</v>
      </c>
      <c r="B102" s="40">
        <f>INDEX(Prices!$B102:$G102,1,Dashboard!$C$8)</f>
        <v>504.6207</v>
      </c>
      <c r="C102" s="36">
        <f t="shared" si="4"/>
        <v>-6.8093553697406994E-3</v>
      </c>
      <c r="D102" s="41">
        <f ca="1">AVERAGE(OFFSET(B102,1-MIN(Dashboard!$C$6,ROW()-1),0,MIN(Dashboard!$C$6,ROW()-1),1))</f>
        <v>537.11709499999995</v>
      </c>
      <c r="E102" s="41">
        <f ca="1">AVERAGE(OFFSET(B102,1-MIN(Dashboard!$C$7,ROW()-1),0,MIN(Dashboard!$C$7,ROW()-1),1))</f>
        <v>577.52133999999967</v>
      </c>
      <c r="F102" s="1">
        <f ca="1">IF(ROW()-1&gt;Dashboard!$C$7,IF(D101&gt;E101,1,0),0)</f>
        <v>0</v>
      </c>
      <c r="G102" s="36">
        <f t="shared" ca="1" si="5"/>
        <v>0</v>
      </c>
      <c r="H102" s="27">
        <f t="shared" si="6"/>
        <v>75.461938670174661</v>
      </c>
      <c r="I102" s="27">
        <f t="shared" ca="1" si="7"/>
        <v>91.927525123360581</v>
      </c>
      <c r="J102" s="1"/>
      <c r="K102" s="1"/>
    </row>
    <row r="103" spans="1:11" x14ac:dyDescent="0.3">
      <c r="A103" s="26">
        <f>Prices!A103</f>
        <v>46085</v>
      </c>
      <c r="B103" s="40">
        <f>INDEX(Prices!$B103:$G103,1,Dashboard!$C$8)</f>
        <v>500.17250000000001</v>
      </c>
      <c r="C103" s="36">
        <f t="shared" si="4"/>
        <v>-8.8149376353368059E-3</v>
      </c>
      <c r="D103" s="41">
        <f ca="1">AVERAGE(OFFSET(B103,1-MIN(Dashboard!$C$6,ROW()-1),0,MIN(Dashboard!$C$6,ROW()-1),1))</f>
        <v>532.17467499999998</v>
      </c>
      <c r="E103" s="41">
        <f ca="1">AVERAGE(OFFSET(B103,1-MIN(Dashboard!$C$7,ROW()-1),0,MIN(Dashboard!$C$7,ROW()-1),1))</f>
        <v>575.73218599999973</v>
      </c>
      <c r="F103" s="1">
        <f ca="1">IF(ROW()-1&gt;Dashboard!$C$7,IF(D102&gt;E102,1,0),0)</f>
        <v>0</v>
      </c>
      <c r="G103" s="36">
        <f t="shared" ca="1" si="5"/>
        <v>0</v>
      </c>
      <c r="H103" s="27">
        <f t="shared" si="6"/>
        <v>74.796746386955462</v>
      </c>
      <c r="I103" s="27">
        <f t="shared" ca="1" si="7"/>
        <v>91.927525123360581</v>
      </c>
      <c r="J103" s="1"/>
      <c r="K103" s="1"/>
    </row>
    <row r="104" spans="1:11" x14ac:dyDescent="0.3">
      <c r="A104" s="26">
        <f>Prices!A104</f>
        <v>46086</v>
      </c>
      <c r="B104" s="40">
        <f>INDEX(Prices!$B104:$G104,1,Dashboard!$C$8)</f>
        <v>496.21859999999998</v>
      </c>
      <c r="C104" s="36">
        <f t="shared" si="4"/>
        <v>-7.9050727499013762E-3</v>
      </c>
      <c r="D104" s="41">
        <f ca="1">AVERAGE(OFFSET(B104,1-MIN(Dashboard!$C$6,ROW()-1),0,MIN(Dashboard!$C$6,ROW()-1),1))</f>
        <v>527.40524500000004</v>
      </c>
      <c r="E104" s="41">
        <f ca="1">AVERAGE(OFFSET(B104,1-MIN(Dashboard!$C$7,ROW()-1),0,MIN(Dashboard!$C$7,ROW()-1),1))</f>
        <v>573.69591199999968</v>
      </c>
      <c r="F104" s="1">
        <f ca="1">IF(ROW()-1&gt;Dashboard!$C$7,IF(D103&gt;E103,1,0),0)</f>
        <v>0</v>
      </c>
      <c r="G104" s="36">
        <f t="shared" ca="1" si="5"/>
        <v>0</v>
      </c>
      <c r="H104" s="27">
        <f t="shared" si="6"/>
        <v>74.205472665310651</v>
      </c>
      <c r="I104" s="27">
        <f t="shared" ca="1" si="7"/>
        <v>91.927525123360581</v>
      </c>
      <c r="J104" s="1"/>
      <c r="K104" s="1"/>
    </row>
    <row r="105" spans="1:11" x14ac:dyDescent="0.3">
      <c r="A105" s="26">
        <f>Prices!A105</f>
        <v>46087</v>
      </c>
      <c r="B105" s="40">
        <f>INDEX(Prices!$B105:$G105,1,Dashboard!$C$8)</f>
        <v>513.02279999999996</v>
      </c>
      <c r="C105" s="36">
        <f t="shared" si="4"/>
        <v>3.3864510520161817E-2</v>
      </c>
      <c r="D105" s="41">
        <f ca="1">AVERAGE(OFFSET(B105,1-MIN(Dashboard!$C$6,ROW()-1),0,MIN(Dashboard!$C$6,ROW()-1),1))</f>
        <v>524.34094500000015</v>
      </c>
      <c r="E105" s="41">
        <f ca="1">AVERAGE(OFFSET(B105,1-MIN(Dashboard!$C$7,ROW()-1),0,MIN(Dashboard!$C$7,ROW()-1),1))</f>
        <v>571.99572199999989</v>
      </c>
      <c r="F105" s="1">
        <f ca="1">IF(ROW()-1&gt;Dashboard!$C$7,IF(D104&gt;E104,1,0),0)</f>
        <v>0</v>
      </c>
      <c r="G105" s="36">
        <f t="shared" ca="1" si="5"/>
        <v>0</v>
      </c>
      <c r="H105" s="27">
        <f t="shared" si="6"/>
        <v>76.718404675038641</v>
      </c>
      <c r="I105" s="27">
        <f t="shared" ca="1" si="7"/>
        <v>91.927525123360581</v>
      </c>
      <c r="J105" s="1"/>
      <c r="K105" s="1"/>
    </row>
    <row r="106" spans="1:11" x14ac:dyDescent="0.3">
      <c r="A106" s="26">
        <f>Prices!A106</f>
        <v>46090</v>
      </c>
      <c r="B106" s="40">
        <f>INDEX(Prices!$B106:$G106,1,Dashboard!$C$8)</f>
        <v>510.0573</v>
      </c>
      <c r="C106" s="36">
        <f t="shared" si="4"/>
        <v>-5.7804448457260404E-3</v>
      </c>
      <c r="D106" s="41">
        <f ca="1">AVERAGE(OFFSET(B106,1-MIN(Dashboard!$C$6,ROW()-1),0,MIN(Dashboard!$C$6,ROW()-1),1))</f>
        <v>522.26512500000013</v>
      </c>
      <c r="E106" s="41">
        <f ca="1">AVERAGE(OFFSET(B106,1-MIN(Dashboard!$C$7,ROW()-1),0,MIN(Dashboard!$C$7,ROW()-1),1))</f>
        <v>570.05829399999982</v>
      </c>
      <c r="F106" s="1">
        <f ca="1">IF(ROW()-1&gt;Dashboard!$C$7,IF(D105&gt;E105,1,0),0)</f>
        <v>0</v>
      </c>
      <c r="G106" s="36">
        <f t="shared" ca="1" si="5"/>
        <v>0</v>
      </c>
      <c r="H106" s="27">
        <f t="shared" si="6"/>
        <v>76.274938168162493</v>
      </c>
      <c r="I106" s="27">
        <f t="shared" ca="1" si="7"/>
        <v>91.927525123360581</v>
      </c>
      <c r="J106" s="1"/>
      <c r="K106" s="1"/>
    </row>
    <row r="107" spans="1:11" x14ac:dyDescent="0.3">
      <c r="A107" s="26">
        <f>Prices!A107</f>
        <v>46091</v>
      </c>
      <c r="B107" s="40">
        <f>INDEX(Prices!$B107:$G107,1,Dashboard!$C$8)</f>
        <v>547.12549999999999</v>
      </c>
      <c r="C107" s="36">
        <f t="shared" si="4"/>
        <v>7.2674579895239289E-2</v>
      </c>
      <c r="D107" s="41">
        <f ca="1">AVERAGE(OFFSET(B107,1-MIN(Dashboard!$C$6,ROW()-1),0,MIN(Dashboard!$C$6,ROW()-1),1))</f>
        <v>522.01800500000013</v>
      </c>
      <c r="E107" s="41">
        <f ca="1">AVERAGE(OFFSET(B107,1-MIN(Dashboard!$C$7,ROW()-1),0,MIN(Dashboard!$C$7,ROW()-1),1))</f>
        <v>568.8523439999999</v>
      </c>
      <c r="F107" s="1">
        <f ca="1">IF(ROW()-1&gt;Dashboard!$C$7,IF(D106&gt;E106,1,0),0)</f>
        <v>0</v>
      </c>
      <c r="G107" s="36">
        <f t="shared" ca="1" si="5"/>
        <v>0</v>
      </c>
      <c r="H107" s="27">
        <f t="shared" si="6"/>
        <v>81.818187256069052</v>
      </c>
      <c r="I107" s="27">
        <f t="shared" ca="1" si="7"/>
        <v>91.927525123360581</v>
      </c>
      <c r="J107" s="1"/>
      <c r="K107" s="1"/>
    </row>
    <row r="108" spans="1:11" x14ac:dyDescent="0.3">
      <c r="A108" s="26">
        <f>Prices!A108</f>
        <v>46092</v>
      </c>
      <c r="B108" s="40">
        <f>INDEX(Prices!$B108:$G108,1,Dashboard!$C$8)</f>
        <v>545.64279999999997</v>
      </c>
      <c r="C108" s="36">
        <f t="shared" si="4"/>
        <v>-2.7099815307457531E-3</v>
      </c>
      <c r="D108" s="41">
        <f ca="1">AVERAGE(OFFSET(B108,1-MIN(Dashboard!$C$6,ROW()-1),0,MIN(Dashboard!$C$6,ROW()-1),1))</f>
        <v>522.24041499999998</v>
      </c>
      <c r="E108" s="41">
        <f ca="1">AVERAGE(OFFSET(B108,1-MIN(Dashboard!$C$7,ROW()-1),0,MIN(Dashboard!$C$7,ROW()-1),1))</f>
        <v>567.86386199999981</v>
      </c>
      <c r="F108" s="1">
        <f ca="1">IF(ROW()-1&gt;Dashboard!$C$7,IF(D107&gt;E107,1,0),0)</f>
        <v>0</v>
      </c>
      <c r="G108" s="36">
        <f t="shared" ca="1" si="5"/>
        <v>0</v>
      </c>
      <c r="H108" s="27">
        <f t="shared" si="6"/>
        <v>81.596461479726003</v>
      </c>
      <c r="I108" s="27">
        <f t="shared" ca="1" si="7"/>
        <v>91.927525123360581</v>
      </c>
      <c r="J108" s="1"/>
      <c r="K108" s="1"/>
    </row>
    <row r="109" spans="1:11" x14ac:dyDescent="0.3">
      <c r="A109" s="26">
        <f>Prices!A109</f>
        <v>46093</v>
      </c>
      <c r="B109" s="40">
        <f>INDEX(Prices!$B109:$G109,1,Dashboard!$C$8)</f>
        <v>540.20609999999999</v>
      </c>
      <c r="C109" s="36">
        <f t="shared" si="4"/>
        <v>-9.9638444784756475E-3</v>
      </c>
      <c r="D109" s="41">
        <f ca="1">AVERAGE(OFFSET(B109,1-MIN(Dashboard!$C$6,ROW()-1),0,MIN(Dashboard!$C$6,ROW()-1),1))</f>
        <v>521.57318999999995</v>
      </c>
      <c r="E109" s="41">
        <f ca="1">AVERAGE(OFFSET(B109,1-MIN(Dashboard!$C$7,ROW()-1),0,MIN(Dashboard!$C$7,ROW()-1),1))</f>
        <v>566.75675999999987</v>
      </c>
      <c r="F109" s="1">
        <f ca="1">IF(ROW()-1&gt;Dashboard!$C$7,IF(D108&gt;E108,1,0),0)</f>
        <v>0</v>
      </c>
      <c r="G109" s="36">
        <f t="shared" ca="1" si="5"/>
        <v>0</v>
      </c>
      <c r="H109" s="27">
        <f t="shared" si="6"/>
        <v>80.783447027548078</v>
      </c>
      <c r="I109" s="27">
        <f t="shared" ca="1" si="7"/>
        <v>91.927525123360581</v>
      </c>
      <c r="J109" s="1"/>
      <c r="K109" s="1"/>
    </row>
    <row r="110" spans="1:11" x14ac:dyDescent="0.3">
      <c r="A110" s="26">
        <f>Prices!A110</f>
        <v>46094</v>
      </c>
      <c r="B110" s="40">
        <f>INDEX(Prices!$B110:$G110,1,Dashboard!$C$8)</f>
        <v>541.19460000000004</v>
      </c>
      <c r="C110" s="36">
        <f t="shared" si="4"/>
        <v>1.8298571600727787E-3</v>
      </c>
      <c r="D110" s="41">
        <f ca="1">AVERAGE(OFFSET(B110,1-MIN(Dashboard!$C$6,ROW()-1),0,MIN(Dashboard!$C$6,ROW()-1),1))</f>
        <v>521.40020500000003</v>
      </c>
      <c r="E110" s="41">
        <f ca="1">AVERAGE(OFFSET(B110,1-MIN(Dashboard!$C$7,ROW()-1),0,MIN(Dashboard!$C$7,ROW()-1),1))</f>
        <v>565.78804799999989</v>
      </c>
      <c r="F110" s="1">
        <f ca="1">IF(ROW()-1&gt;Dashboard!$C$7,IF(D109&gt;E109,1,0),0)</f>
        <v>0</v>
      </c>
      <c r="G110" s="36">
        <f t="shared" ca="1" si="5"/>
        <v>0</v>
      </c>
      <c r="H110" s="27">
        <f t="shared" si="6"/>
        <v>80.931269196506804</v>
      </c>
      <c r="I110" s="27">
        <f t="shared" ca="1" si="7"/>
        <v>91.927525123360581</v>
      </c>
      <c r="J110" s="1"/>
      <c r="K110" s="1"/>
    </row>
    <row r="111" spans="1:11" x14ac:dyDescent="0.3">
      <c r="A111" s="26">
        <f>Prices!A111</f>
        <v>46097</v>
      </c>
      <c r="B111" s="40">
        <f>INDEX(Prices!$B111:$G111,1,Dashboard!$C$8)</f>
        <v>552.06790000000001</v>
      </c>
      <c r="C111" s="36">
        <f t="shared" si="4"/>
        <v>2.0091294332944098E-2</v>
      </c>
      <c r="D111" s="41">
        <f ca="1">AVERAGE(OFFSET(B111,1-MIN(Dashboard!$C$6,ROW()-1),0,MIN(Dashboard!$C$6,ROW()-1),1))</f>
        <v>521.91916000000003</v>
      </c>
      <c r="E111" s="41">
        <f ca="1">AVERAGE(OFFSET(B111,1-MIN(Dashboard!$C$7,ROW()-1),0,MIN(Dashboard!$C$7,ROW()-1),1))</f>
        <v>564.96760599999993</v>
      </c>
      <c r="F111" s="1">
        <f ca="1">IF(ROW()-1&gt;Dashboard!$C$7,IF(D110&gt;E110,1,0),0)</f>
        <v>0</v>
      </c>
      <c r="G111" s="36">
        <f t="shared" ca="1" si="5"/>
        <v>0</v>
      </c>
      <c r="H111" s="27">
        <f t="shared" si="6"/>
        <v>82.55728314667256</v>
      </c>
      <c r="I111" s="27">
        <f t="shared" ca="1" si="7"/>
        <v>91.927525123360581</v>
      </c>
      <c r="J111" s="1"/>
      <c r="K111" s="1"/>
    </row>
    <row r="112" spans="1:11" x14ac:dyDescent="0.3">
      <c r="A112" s="26">
        <f>Prices!A112</f>
        <v>46098</v>
      </c>
      <c r="B112" s="40">
        <f>INDEX(Prices!$B112:$G112,1,Dashboard!$C$8)</f>
        <v>543.66579999999999</v>
      </c>
      <c r="C112" s="36">
        <f t="shared" si="4"/>
        <v>-1.5219323565090481E-2</v>
      </c>
      <c r="D112" s="41">
        <f ca="1">AVERAGE(OFFSET(B112,1-MIN(Dashboard!$C$6,ROW()-1),0,MIN(Dashboard!$C$6,ROW()-1),1))</f>
        <v>522.63580999999999</v>
      </c>
      <c r="E112" s="41">
        <f ca="1">AVERAGE(OFFSET(B112,1-MIN(Dashboard!$C$7,ROW()-1),0,MIN(Dashboard!$C$7,ROW()-1),1))</f>
        <v>563.99889399999984</v>
      </c>
      <c r="F112" s="1">
        <f ca="1">IF(ROW()-1&gt;Dashboard!$C$7,IF(D111&gt;E111,1,0),0)</f>
        <v>0</v>
      </c>
      <c r="G112" s="36">
        <f t="shared" ca="1" si="5"/>
        <v>0</v>
      </c>
      <c r="H112" s="27">
        <f t="shared" si="6"/>
        <v>81.300817141808565</v>
      </c>
      <c r="I112" s="27">
        <f t="shared" ca="1" si="7"/>
        <v>91.927525123360581</v>
      </c>
      <c r="J112" s="1"/>
      <c r="K112" s="1"/>
    </row>
    <row r="113" spans="1:11" x14ac:dyDescent="0.3">
      <c r="A113" s="26">
        <f>Prices!A113</f>
        <v>46099</v>
      </c>
      <c r="B113" s="40">
        <f>INDEX(Prices!$B113:$G113,1,Dashboard!$C$8)</f>
        <v>544.16</v>
      </c>
      <c r="C113" s="36">
        <f t="shared" si="4"/>
        <v>9.090143246088811E-4</v>
      </c>
      <c r="D113" s="41">
        <f ca="1">AVERAGE(OFFSET(B113,1-MIN(Dashboard!$C$6,ROW()-1),0,MIN(Dashboard!$C$6,ROW()-1),1))</f>
        <v>523.55015500000013</v>
      </c>
      <c r="E113" s="41">
        <f ca="1">AVERAGE(OFFSET(B113,1-MIN(Dashboard!$C$7,ROW()-1),0,MIN(Dashboard!$C$7,ROW()-1),1))</f>
        <v>562.56559199999992</v>
      </c>
      <c r="F113" s="1">
        <f ca="1">IF(ROW()-1&gt;Dashboard!$C$7,IF(D112&gt;E112,1,0),0)</f>
        <v>0</v>
      </c>
      <c r="G113" s="36">
        <f t="shared" ca="1" si="5"/>
        <v>0</v>
      </c>
      <c r="H113" s="27">
        <f t="shared" si="6"/>
        <v>81.374720749192875</v>
      </c>
      <c r="I113" s="27">
        <f t="shared" ca="1" si="7"/>
        <v>91.927525123360581</v>
      </c>
      <c r="J113" s="1"/>
      <c r="K113" s="1"/>
    </row>
    <row r="114" spans="1:11" x14ac:dyDescent="0.3">
      <c r="A114" s="26">
        <f>Prices!A114</f>
        <v>46100</v>
      </c>
      <c r="B114" s="40">
        <f>INDEX(Prices!$B114:$G114,1,Dashboard!$C$8)</f>
        <v>507.09190000000001</v>
      </c>
      <c r="C114" s="36">
        <f t="shared" si="4"/>
        <v>-6.8119854454572137E-2</v>
      </c>
      <c r="D114" s="41">
        <f ca="1">AVERAGE(OFFSET(B114,1-MIN(Dashboard!$C$6,ROW()-1),0,MIN(Dashboard!$C$6,ROW()-1),1))</f>
        <v>522.48753499999998</v>
      </c>
      <c r="E114" s="41">
        <f ca="1">AVERAGE(OFFSET(B114,1-MIN(Dashboard!$C$7,ROW()-1),0,MIN(Dashboard!$C$7,ROW()-1),1))</f>
        <v>560.36127399999987</v>
      </c>
      <c r="F114" s="1">
        <f ca="1">IF(ROW()-1&gt;Dashboard!$C$7,IF(D113&gt;E113,1,0),0)</f>
        <v>0</v>
      </c>
      <c r="G114" s="36">
        <f t="shared" ca="1" si="5"/>
        <v>0</v>
      </c>
      <c r="H114" s="27">
        <f t="shared" si="6"/>
        <v>75.831486615476408</v>
      </c>
      <c r="I114" s="27">
        <f t="shared" ca="1" si="7"/>
        <v>91.927525123360581</v>
      </c>
      <c r="J114" s="1"/>
      <c r="K114" s="1"/>
    </row>
    <row r="115" spans="1:11" x14ac:dyDescent="0.3">
      <c r="A115" s="26">
        <f>Prices!A115</f>
        <v>46101</v>
      </c>
      <c r="B115" s="40">
        <f>INDEX(Prices!$B115:$G115,1,Dashboard!$C$8)</f>
        <v>502.14949999999999</v>
      </c>
      <c r="C115" s="36">
        <f t="shared" si="4"/>
        <v>-9.7465567878327608E-3</v>
      </c>
      <c r="D115" s="41">
        <f ca="1">AVERAGE(OFFSET(B115,1-MIN(Dashboard!$C$6,ROW()-1),0,MIN(Dashboard!$C$6,ROW()-1),1))</f>
        <v>521.79559499999993</v>
      </c>
      <c r="E115" s="41">
        <f ca="1">AVERAGE(OFFSET(B115,1-MIN(Dashboard!$C$7,ROW()-1),0,MIN(Dashboard!$C$7,ROW()-1),1))</f>
        <v>557.89995199999987</v>
      </c>
      <c r="F115" s="1">
        <f ca="1">IF(ROW()-1&gt;Dashboard!$C$7,IF(D114&gt;E114,1,0),0)</f>
        <v>0</v>
      </c>
      <c r="G115" s="36">
        <f t="shared" ca="1" si="5"/>
        <v>0</v>
      </c>
      <c r="H115" s="27">
        <f t="shared" si="6"/>
        <v>75.092390724872885</v>
      </c>
      <c r="I115" s="27">
        <f t="shared" ca="1" si="7"/>
        <v>91.927525123360581</v>
      </c>
      <c r="J115" s="1"/>
      <c r="K115" s="1"/>
    </row>
    <row r="116" spans="1:11" x14ac:dyDescent="0.3">
      <c r="A116" s="26">
        <f>Prices!A116</f>
        <v>46104</v>
      </c>
      <c r="B116" s="40">
        <f>INDEX(Prices!$B116:$G116,1,Dashboard!$C$8)</f>
        <v>492.66</v>
      </c>
      <c r="C116" s="36">
        <f t="shared" si="4"/>
        <v>-1.8897758536053466E-2</v>
      </c>
      <c r="D116" s="41">
        <f ca="1">AVERAGE(OFFSET(B116,1-MIN(Dashboard!$C$6,ROW()-1),0,MIN(Dashboard!$C$6,ROW()-1),1))</f>
        <v>519.83839499999999</v>
      </c>
      <c r="E116" s="41">
        <f ca="1">AVERAGE(OFFSET(B116,1-MIN(Dashboard!$C$7,ROW()-1),0,MIN(Dashboard!$C$7,ROW()-1),1))</f>
        <v>555.40699599999982</v>
      </c>
      <c r="F116" s="1">
        <f ca="1">IF(ROW()-1&gt;Dashboard!$C$7,IF(D115&gt;E115,1,0),0)</f>
        <v>0</v>
      </c>
      <c r="G116" s="36">
        <f t="shared" ca="1" si="5"/>
        <v>0</v>
      </c>
      <c r="H116" s="27">
        <f t="shared" si="6"/>
        <v>73.673312857059258</v>
      </c>
      <c r="I116" s="27">
        <f t="shared" ca="1" si="7"/>
        <v>91.927525123360581</v>
      </c>
      <c r="J116" s="1"/>
      <c r="K116" s="1"/>
    </row>
    <row r="117" spans="1:11" x14ac:dyDescent="0.3">
      <c r="A117" s="26">
        <f>Prices!A117</f>
        <v>46105</v>
      </c>
      <c r="B117" s="40">
        <f>INDEX(Prices!$B117:$G117,1,Dashboard!$C$8)</f>
        <v>508.0804</v>
      </c>
      <c r="C117" s="36">
        <f t="shared" si="4"/>
        <v>3.1300288231234541E-2</v>
      </c>
      <c r="D117" s="41">
        <f ca="1">AVERAGE(OFFSET(B117,1-MIN(Dashboard!$C$6,ROW()-1),0,MIN(Dashboard!$C$6,ROW()-1),1))</f>
        <v>519.54184999999995</v>
      </c>
      <c r="E117" s="41">
        <f ca="1">AVERAGE(OFFSET(B117,1-MIN(Dashboard!$C$7,ROW()-1),0,MIN(Dashboard!$C$7,ROW()-1),1))</f>
        <v>553.39048999999989</v>
      </c>
      <c r="F117" s="1">
        <f ca="1">IF(ROW()-1&gt;Dashboard!$C$7,IF(D116&gt;E116,1,0),0)</f>
        <v>0</v>
      </c>
      <c r="G117" s="36">
        <f t="shared" ca="1" si="5"/>
        <v>0</v>
      </c>
      <c r="H117" s="27">
        <f t="shared" si="6"/>
        <v>75.979308784435133</v>
      </c>
      <c r="I117" s="27">
        <f t="shared" ca="1" si="7"/>
        <v>91.927525123360581</v>
      </c>
      <c r="J117" s="1"/>
      <c r="K117" s="1"/>
    </row>
    <row r="118" spans="1:11" x14ac:dyDescent="0.3">
      <c r="A118" s="26">
        <f>Prices!A118</f>
        <v>46106</v>
      </c>
      <c r="B118" s="40">
        <f>INDEX(Prices!$B118:$G118,1,Dashboard!$C$8)</f>
        <v>499.67829999999998</v>
      </c>
      <c r="C118" s="36">
        <f t="shared" si="4"/>
        <v>-1.6536949663872091E-2</v>
      </c>
      <c r="D118" s="41">
        <f ca="1">AVERAGE(OFFSET(B118,1-MIN(Dashboard!$C$6,ROW()-1),0,MIN(Dashboard!$C$6,ROW()-1),1))</f>
        <v>518.70164</v>
      </c>
      <c r="E118" s="41">
        <f ca="1">AVERAGE(OFFSET(B118,1-MIN(Dashboard!$C$7,ROW()-1),0,MIN(Dashboard!$C$7,ROW()-1),1))</f>
        <v>551.3047899999998</v>
      </c>
      <c r="F118" s="1">
        <f ca="1">IF(ROW()-1&gt;Dashboard!$C$7,IF(D117&gt;E117,1,0),0)</f>
        <v>0</v>
      </c>
      <c r="G118" s="36">
        <f t="shared" ca="1" si="5"/>
        <v>0</v>
      </c>
      <c r="H118" s="27">
        <f t="shared" si="6"/>
        <v>74.722842779571138</v>
      </c>
      <c r="I118" s="27">
        <f t="shared" ca="1" si="7"/>
        <v>91.927525123360581</v>
      </c>
      <c r="J118" s="1"/>
      <c r="K118" s="1"/>
    </row>
    <row r="119" spans="1:11" x14ac:dyDescent="0.3">
      <c r="A119" s="26">
        <f>Prices!A119</f>
        <v>46107</v>
      </c>
      <c r="B119" s="40">
        <f>INDEX(Prices!$B119:$G119,1,Dashboard!$C$8)</f>
        <v>489.89229999999998</v>
      </c>
      <c r="C119" s="36">
        <f t="shared" si="4"/>
        <v>-1.9584600732110991E-2</v>
      </c>
      <c r="D119" s="41">
        <f ca="1">AVERAGE(OFFSET(B119,1-MIN(Dashboard!$C$6,ROW()-1),0,MIN(Dashboard!$C$6,ROW()-1),1))</f>
        <v>517.89108499999998</v>
      </c>
      <c r="E119" s="41">
        <f ca="1">AVERAGE(OFFSET(B119,1-MIN(Dashboard!$C$7,ROW()-1),0,MIN(Dashboard!$C$7,ROW()-1),1))</f>
        <v>548.78613399999995</v>
      </c>
      <c r="F119" s="1">
        <f ca="1">IF(ROW()-1&gt;Dashboard!$C$7,IF(D118&gt;E118,1,0),0)</f>
        <v>0</v>
      </c>
      <c r="G119" s="36">
        <f t="shared" ca="1" si="5"/>
        <v>0</v>
      </c>
      <c r="H119" s="27">
        <f t="shared" si="6"/>
        <v>73.259425738164936</v>
      </c>
      <c r="I119" s="27">
        <f t="shared" ca="1" si="7"/>
        <v>91.927525123360581</v>
      </c>
      <c r="J119" s="1"/>
      <c r="K119" s="1"/>
    </row>
    <row r="120" spans="1:11" x14ac:dyDescent="0.3">
      <c r="A120" s="26">
        <f>Prices!A120</f>
        <v>46108</v>
      </c>
      <c r="B120" s="40">
        <f>INDEX(Prices!$B120:$G120,1,Dashboard!$C$8)</f>
        <v>487.7176</v>
      </c>
      <c r="C120" s="36">
        <f t="shared" si="4"/>
        <v>-4.4391389699327544E-3</v>
      </c>
      <c r="D120" s="41">
        <f ca="1">AVERAGE(OFFSET(B120,1-MIN(Dashboard!$C$6,ROW()-1),0,MIN(Dashboard!$C$6,ROW()-1),1))</f>
        <v>516.67525000000001</v>
      </c>
      <c r="E120" s="41">
        <f ca="1">AVERAGE(OFFSET(B120,1-MIN(Dashboard!$C$7,ROW()-1),0,MIN(Dashboard!$C$7,ROW()-1),1))</f>
        <v>546.13501999999994</v>
      </c>
      <c r="F120" s="1">
        <f ca="1">IF(ROW()-1&gt;Dashboard!$C$7,IF(D119&gt;E119,1,0),0)</f>
        <v>0</v>
      </c>
      <c r="G120" s="36">
        <f t="shared" ca="1" si="5"/>
        <v>0</v>
      </c>
      <c r="H120" s="27">
        <f t="shared" si="6"/>
        <v>72.93421696645575</v>
      </c>
      <c r="I120" s="27">
        <f t="shared" ca="1" si="7"/>
        <v>91.927525123360581</v>
      </c>
      <c r="J120" s="1"/>
      <c r="K120" s="1"/>
    </row>
    <row r="121" spans="1:11" x14ac:dyDescent="0.3">
      <c r="A121" s="26">
        <f>Prices!A121</f>
        <v>46111</v>
      </c>
      <c r="B121" s="40">
        <f>INDEX(Prices!$B121:$G121,1,Dashboard!$C$8)</f>
        <v>476.05349999999999</v>
      </c>
      <c r="C121" s="36">
        <f t="shared" si="4"/>
        <v>-2.3915683994180315E-2</v>
      </c>
      <c r="D121" s="41">
        <f ca="1">AVERAGE(OFFSET(B121,1-MIN(Dashboard!$C$6,ROW()-1),0,MIN(Dashboard!$C$6,ROW()-1),1))</f>
        <v>515.07390499999997</v>
      </c>
      <c r="E121" s="41">
        <f ca="1">AVERAGE(OFFSET(B121,1-MIN(Dashboard!$C$7,ROW()-1),0,MIN(Dashboard!$C$7,ROW()-1),1))</f>
        <v>543.14189199999998</v>
      </c>
      <c r="F121" s="1">
        <f ca="1">IF(ROW()-1&gt;Dashboard!$C$7,IF(D120&gt;E120,1,0),0)</f>
        <v>0</v>
      </c>
      <c r="G121" s="36">
        <f t="shared" ca="1" si="5"/>
        <v>0</v>
      </c>
      <c r="H121" s="27">
        <f t="shared" si="6"/>
        <v>71.189945281123016</v>
      </c>
      <c r="I121" s="27">
        <f t="shared" ca="1" si="7"/>
        <v>91.927525123360581</v>
      </c>
      <c r="J121" s="1"/>
      <c r="K121" s="1"/>
    </row>
    <row r="122" spans="1:11" x14ac:dyDescent="0.3">
      <c r="A122" s="26">
        <f>Prices!A122</f>
        <v>46112</v>
      </c>
      <c r="B122" s="40">
        <f>INDEX(Prices!$B122:$G122,1,Dashboard!$C$8)</f>
        <v>478.42590000000001</v>
      </c>
      <c r="C122" s="36">
        <f t="shared" si="4"/>
        <v>4.9834734961511362E-3</v>
      </c>
      <c r="D122" s="41">
        <f ca="1">AVERAGE(OFFSET(B122,1-MIN(Dashboard!$C$6,ROW()-1),0,MIN(Dashboard!$C$6,ROW()-1),1))</f>
        <v>513.76416499999993</v>
      </c>
      <c r="E122" s="41">
        <f ca="1">AVERAGE(OFFSET(B122,1-MIN(Dashboard!$C$7,ROW()-1),0,MIN(Dashboard!$C$7,ROW()-1),1))</f>
        <v>540.413678</v>
      </c>
      <c r="F122" s="1">
        <f ca="1">IF(ROW()-1&gt;Dashboard!$C$7,IF(D121&gt;E121,1,0),0)</f>
        <v>0</v>
      </c>
      <c r="G122" s="36">
        <f t="shared" ca="1" si="5"/>
        <v>0</v>
      </c>
      <c r="H122" s="27">
        <f t="shared" si="6"/>
        <v>71.544718486623935</v>
      </c>
      <c r="I122" s="27">
        <f t="shared" ca="1" si="7"/>
        <v>91.927525123360581</v>
      </c>
      <c r="J122" s="1"/>
      <c r="K122" s="1"/>
    </row>
    <row r="123" spans="1:11" x14ac:dyDescent="0.3">
      <c r="A123" s="26">
        <f>Prices!A123</f>
        <v>46113</v>
      </c>
      <c r="B123" s="40">
        <f>INDEX(Prices!$B123:$G123,1,Dashboard!$C$8)</f>
        <v>490.88080000000002</v>
      </c>
      <c r="C123" s="36">
        <f t="shared" si="4"/>
        <v>2.6033080566917555E-2</v>
      </c>
      <c r="D123" s="41">
        <f ca="1">AVERAGE(OFFSET(B123,1-MIN(Dashboard!$C$6,ROW()-1),0,MIN(Dashboard!$C$6,ROW()-1),1))</f>
        <v>513.29958000000011</v>
      </c>
      <c r="E123" s="41">
        <f ca="1">AVERAGE(OFFSET(B123,1-MIN(Dashboard!$C$7,ROW()-1),0,MIN(Dashboard!$C$7,ROW()-1),1))</f>
        <v>538.02352599999995</v>
      </c>
      <c r="F123" s="1">
        <f ca="1">IF(ROW()-1&gt;Dashboard!$C$7,IF(D122&gt;E122,1,0),0)</f>
        <v>0</v>
      </c>
      <c r="G123" s="36">
        <f t="shared" ca="1" si="5"/>
        <v>0</v>
      </c>
      <c r="H123" s="27">
        <f t="shared" si="6"/>
        <v>73.407247907123647</v>
      </c>
      <c r="I123" s="27">
        <f t="shared" ca="1" si="7"/>
        <v>91.927525123360581</v>
      </c>
      <c r="J123" s="1"/>
      <c r="K123" s="1"/>
    </row>
    <row r="124" spans="1:11" x14ac:dyDescent="0.3">
      <c r="A124" s="26">
        <f>Prices!A124</f>
        <v>46114</v>
      </c>
      <c r="B124" s="40">
        <f>INDEX(Prices!$B124:$G124,1,Dashboard!$C$8)</f>
        <v>483.56599999999997</v>
      </c>
      <c r="C124" s="36">
        <f t="shared" si="4"/>
        <v>-1.4901377279372241E-2</v>
      </c>
      <c r="D124" s="41">
        <f ca="1">AVERAGE(OFFSET(B124,1-MIN(Dashboard!$C$6,ROW()-1),0,MIN(Dashboard!$C$6,ROW()-1),1))</f>
        <v>512.66695000000004</v>
      </c>
      <c r="E124" s="41">
        <f ca="1">AVERAGE(OFFSET(B124,1-MIN(Dashboard!$C$7,ROW()-1),0,MIN(Dashboard!$C$7,ROW()-1),1))</f>
        <v>535.63534999999979</v>
      </c>
      <c r="F124" s="1">
        <f ca="1">IF(ROW()-1&gt;Dashboard!$C$7,IF(D123&gt;E123,1,0),0)</f>
        <v>0</v>
      </c>
      <c r="G124" s="36">
        <f t="shared" ca="1" si="5"/>
        <v>0</v>
      </c>
      <c r="H124" s="27">
        <f t="shared" si="6"/>
        <v>72.313378811019192</v>
      </c>
      <c r="I124" s="27">
        <f t="shared" ca="1" si="7"/>
        <v>91.927525123360581</v>
      </c>
      <c r="J124" s="1"/>
      <c r="K124" s="1"/>
    </row>
    <row r="125" spans="1:11" x14ac:dyDescent="0.3">
      <c r="A125" s="26">
        <f>Prices!A125</f>
        <v>46120</v>
      </c>
      <c r="B125" s="40">
        <f>INDEX(Prices!$B125:$G125,1,Dashboard!$C$8)</f>
        <v>502.14949999999999</v>
      </c>
      <c r="C125" s="36">
        <f t="shared" si="4"/>
        <v>3.8430121224403813E-2</v>
      </c>
      <c r="D125" s="41">
        <f ca="1">AVERAGE(OFFSET(B125,1-MIN(Dashboard!$C$6,ROW()-1),0,MIN(Dashboard!$C$6,ROW()-1),1))</f>
        <v>512.12328500000001</v>
      </c>
      <c r="E125" s="41">
        <f ca="1">AVERAGE(OFFSET(B125,1-MIN(Dashboard!$C$7,ROW()-1),0,MIN(Dashboard!$C$7,ROW()-1),1))</f>
        <v>533.79677199999981</v>
      </c>
      <c r="F125" s="1">
        <f ca="1">IF(ROW()-1&gt;Dashboard!$C$7,IF(D124&gt;E124,1,0),0)</f>
        <v>0</v>
      </c>
      <c r="G125" s="36">
        <f t="shared" ca="1" si="5"/>
        <v>0</v>
      </c>
      <c r="H125" s="27">
        <f t="shared" si="6"/>
        <v>75.092390724872899</v>
      </c>
      <c r="I125" s="27">
        <f t="shared" ca="1" si="7"/>
        <v>91.927525123360581</v>
      </c>
      <c r="J125" s="1"/>
      <c r="K125" s="1"/>
    </row>
    <row r="126" spans="1:11" x14ac:dyDescent="0.3">
      <c r="A126" s="26">
        <f>Prices!A126</f>
        <v>46121</v>
      </c>
      <c r="B126" s="40">
        <f>INDEX(Prices!$B126:$G126,1,Dashboard!$C$8)</f>
        <v>502.64370000000002</v>
      </c>
      <c r="C126" s="36">
        <f t="shared" si="4"/>
        <v>9.8416905722298331E-4</v>
      </c>
      <c r="D126" s="41">
        <f ca="1">AVERAGE(OFFSET(B126,1-MIN(Dashboard!$C$6,ROW()-1),0,MIN(Dashboard!$C$6,ROW()-1),1))</f>
        <v>511.75260500000002</v>
      </c>
      <c r="E126" s="41">
        <f ca="1">AVERAGE(OFFSET(B126,1-MIN(Dashboard!$C$7,ROW()-1),0,MIN(Dashboard!$C$7,ROW()-1),1))</f>
        <v>531.93842199999995</v>
      </c>
      <c r="F126" s="1">
        <f ca="1">IF(ROW()-1&gt;Dashboard!$C$7,IF(D125&gt;E125,1,0),0)</f>
        <v>0</v>
      </c>
      <c r="G126" s="36">
        <f t="shared" ca="1" si="5"/>
        <v>0</v>
      </c>
      <c r="H126" s="27">
        <f t="shared" si="6"/>
        <v>75.166294332257223</v>
      </c>
      <c r="I126" s="27">
        <f t="shared" ca="1" si="7"/>
        <v>91.927525123360581</v>
      </c>
      <c r="J126" s="1"/>
      <c r="K126" s="1"/>
    </row>
    <row r="127" spans="1:11" x14ac:dyDescent="0.3">
      <c r="A127" s="26">
        <f>Prices!A127</f>
        <v>46122</v>
      </c>
      <c r="B127" s="40">
        <f>INDEX(Prices!$B127:$G127,1,Dashboard!$C$8)</f>
        <v>498.68979999999999</v>
      </c>
      <c r="C127" s="36">
        <f t="shared" si="4"/>
        <v>-7.8662082107068265E-3</v>
      </c>
      <c r="D127" s="41">
        <f ca="1">AVERAGE(OFFSET(B127,1-MIN(Dashboard!$C$6,ROW()-1),0,MIN(Dashboard!$C$6,ROW()-1),1))</f>
        <v>509.33082000000002</v>
      </c>
      <c r="E127" s="41">
        <f ca="1">AVERAGE(OFFSET(B127,1-MIN(Dashboard!$C$7,ROW()-1),0,MIN(Dashboard!$C$7,ROW()-1),1))</f>
        <v>530.09984399999996</v>
      </c>
      <c r="F127" s="1">
        <f ca="1">IF(ROW()-1&gt;Dashboard!$C$7,IF(D126&gt;E126,1,0),0)</f>
        <v>0</v>
      </c>
      <c r="G127" s="36">
        <f t="shared" ca="1" si="5"/>
        <v>0</v>
      </c>
      <c r="H127" s="27">
        <f t="shared" si="6"/>
        <v>74.575020610612412</v>
      </c>
      <c r="I127" s="27">
        <f t="shared" ca="1" si="7"/>
        <v>91.927525123360581</v>
      </c>
      <c r="J127" s="1"/>
      <c r="K127" s="1"/>
    </row>
    <row r="128" spans="1:11" x14ac:dyDescent="0.3">
      <c r="A128" s="26">
        <f>Prices!A128</f>
        <v>46125</v>
      </c>
      <c r="B128" s="40">
        <f>INDEX(Prices!$B128:$G128,1,Dashboard!$C$8)</f>
        <v>484.35680000000002</v>
      </c>
      <c r="C128" s="36">
        <f t="shared" si="4"/>
        <v>-2.8741313738520402E-2</v>
      </c>
      <c r="D128" s="41">
        <f ca="1">AVERAGE(OFFSET(B128,1-MIN(Dashboard!$C$6,ROW()-1),0,MIN(Dashboard!$C$6,ROW()-1),1))</f>
        <v>506.26651999999996</v>
      </c>
      <c r="E128" s="41">
        <f ca="1">AVERAGE(OFFSET(B128,1-MIN(Dashboard!$C$7,ROW()-1),0,MIN(Dashboard!$C$7,ROW()-1),1))</f>
        <v>528.02403000000004</v>
      </c>
      <c r="F128" s="1">
        <f ca="1">IF(ROW()-1&gt;Dashboard!$C$7,IF(D127&gt;E127,1,0),0)</f>
        <v>0</v>
      </c>
      <c r="G128" s="36">
        <f t="shared" ca="1" si="5"/>
        <v>0</v>
      </c>
      <c r="H128" s="27">
        <f t="shared" si="6"/>
        <v>72.431636546186169</v>
      </c>
      <c r="I128" s="27">
        <f t="shared" ca="1" si="7"/>
        <v>91.927525123360581</v>
      </c>
      <c r="J128" s="1"/>
      <c r="K128" s="1"/>
    </row>
    <row r="129" spans="1:11" x14ac:dyDescent="0.3">
      <c r="A129" s="26">
        <f>Prices!A129</f>
        <v>46126</v>
      </c>
      <c r="B129" s="40">
        <f>INDEX(Prices!$B129:$G129,1,Dashboard!$C$8)</f>
        <v>487.52</v>
      </c>
      <c r="C129" s="36">
        <f t="shared" si="4"/>
        <v>6.5307228059974243E-3</v>
      </c>
      <c r="D129" s="41">
        <f ca="1">AVERAGE(OFFSET(B129,1-MIN(Dashboard!$C$6,ROW()-1),0,MIN(Dashboard!$C$6,ROW()-1),1))</f>
        <v>503.63221499999997</v>
      </c>
      <c r="E129" s="41">
        <f ca="1">AVERAGE(OFFSET(B129,1-MIN(Dashboard!$C$7,ROW()-1),0,MIN(Dashboard!$C$7,ROW()-1),1))</f>
        <v>525.92251599999986</v>
      </c>
      <c r="F129" s="1">
        <f ca="1">IF(ROW()-1&gt;Dashboard!$C$7,IF(D128&gt;E128,1,0),0)</f>
        <v>0</v>
      </c>
      <c r="G129" s="36">
        <f t="shared" ca="1" si="5"/>
        <v>0</v>
      </c>
      <c r="H129" s="27">
        <f t="shared" si="6"/>
        <v>72.904667486854066</v>
      </c>
      <c r="I129" s="27">
        <f t="shared" ca="1" si="7"/>
        <v>91.927525123360581</v>
      </c>
      <c r="J129" s="1"/>
      <c r="K129" s="1"/>
    </row>
    <row r="130" spans="1:11" x14ac:dyDescent="0.3">
      <c r="A130" s="26">
        <f>Prices!A130</f>
        <v>46127</v>
      </c>
      <c r="B130" s="40">
        <f>INDEX(Prices!$B130:$G130,1,Dashboard!$C$8)</f>
        <v>493.25310000000002</v>
      </c>
      <c r="C130" s="36">
        <f t="shared" si="4"/>
        <v>1.1759722678044149E-2</v>
      </c>
      <c r="D130" s="41">
        <f ca="1">AVERAGE(OFFSET(B130,1-MIN(Dashboard!$C$6,ROW()-1),0,MIN(Dashboard!$C$6,ROW()-1),1))</f>
        <v>501.23513999999989</v>
      </c>
      <c r="E130" s="41">
        <f ca="1">AVERAGE(OFFSET(B130,1-MIN(Dashboard!$C$7,ROW()-1),0,MIN(Dashboard!$C$7,ROW()-1),1))</f>
        <v>523.78739199999995</v>
      </c>
      <c r="F130" s="1">
        <f ca="1">IF(ROW()-1&gt;Dashboard!$C$7,IF(D129&gt;E129,1,0),0)</f>
        <v>0</v>
      </c>
      <c r="G130" s="36">
        <f t="shared" ca="1" si="5"/>
        <v>0</v>
      </c>
      <c r="H130" s="27">
        <f t="shared" si="6"/>
        <v>73.762006158434488</v>
      </c>
      <c r="I130" s="27">
        <f t="shared" ca="1" si="7"/>
        <v>91.927525123360581</v>
      </c>
      <c r="J130" s="1"/>
      <c r="K130" s="1"/>
    </row>
    <row r="131" spans="1:11" x14ac:dyDescent="0.3">
      <c r="A131" s="26">
        <f>Prices!A131</f>
        <v>46128</v>
      </c>
      <c r="B131" s="40">
        <f>INDEX(Prices!$B131:$G131,1,Dashboard!$C$8)</f>
        <v>511.04579999999999</v>
      </c>
      <c r="C131" s="36">
        <f t="shared" ref="C131:C194" si="8">B131/B130-1</f>
        <v>3.6072150382835844E-2</v>
      </c>
      <c r="D131" s="41">
        <f ca="1">AVERAGE(OFFSET(B131,1-MIN(Dashboard!$C$6,ROW()-1),0,MIN(Dashboard!$C$6,ROW()-1),1))</f>
        <v>499.18403500000005</v>
      </c>
      <c r="E131" s="41">
        <f ca="1">AVERAGE(OFFSET(B131,1-MIN(Dashboard!$C$7,ROW()-1),0,MIN(Dashboard!$C$7,ROW()-1),1))</f>
        <v>521.73134599999992</v>
      </c>
      <c r="F131" s="1">
        <f ca="1">IF(ROW()-1&gt;Dashboard!$C$7,IF(D130&gt;E130,1,0),0)</f>
        <v>0</v>
      </c>
      <c r="G131" s="36">
        <f t="shared" ref="G131:G194" ca="1" si="9">F131*C131</f>
        <v>0</v>
      </c>
      <c r="H131" s="27">
        <f t="shared" ref="H131:H194" si="10">H130*(1+C131)</f>
        <v>76.422760337121204</v>
      </c>
      <c r="I131" s="27">
        <f t="shared" ref="I131:I194" ca="1" si="11">I130*(1+G131)</f>
        <v>91.927525123360581</v>
      </c>
      <c r="J131" s="1"/>
      <c r="K131" s="1"/>
    </row>
    <row r="132" spans="1:11" x14ac:dyDescent="0.3">
      <c r="A132" s="26">
        <f>Prices!A132</f>
        <v>46129</v>
      </c>
      <c r="B132" s="40">
        <f>INDEX(Prices!$B132:$G132,1,Dashboard!$C$8)</f>
        <v>504.6207</v>
      </c>
      <c r="C132" s="36">
        <f t="shared" si="8"/>
        <v>-1.2572454367103636E-2</v>
      </c>
      <c r="D132" s="41">
        <f ca="1">AVERAGE(OFFSET(B132,1-MIN(Dashboard!$C$6,ROW()-1),0,MIN(Dashboard!$C$6,ROW()-1),1))</f>
        <v>497.23177999999996</v>
      </c>
      <c r="E132" s="41">
        <f ca="1">AVERAGE(OFFSET(B132,1-MIN(Dashboard!$C$7,ROW()-1),0,MIN(Dashboard!$C$7,ROW()-1),1))</f>
        <v>519.52702799999997</v>
      </c>
      <c r="F132" s="1">
        <f ca="1">IF(ROW()-1&gt;Dashboard!$C$7,IF(D131&gt;E131,1,0),0)</f>
        <v>0</v>
      </c>
      <c r="G132" s="36">
        <f t="shared" ca="1" si="9"/>
        <v>0</v>
      </c>
      <c r="H132" s="27">
        <f t="shared" si="10"/>
        <v>75.461938670174646</v>
      </c>
      <c r="I132" s="27">
        <f t="shared" ca="1" si="11"/>
        <v>91.927525123360581</v>
      </c>
      <c r="J132" s="1"/>
      <c r="K132" s="1"/>
    </row>
    <row r="133" spans="1:11" x14ac:dyDescent="0.3">
      <c r="A133" s="26">
        <f>Prices!A133</f>
        <v>46132</v>
      </c>
      <c r="B133" s="40">
        <f>INDEX(Prices!$B133:$G133,1,Dashboard!$C$8)</f>
        <v>516.48249999999996</v>
      </c>
      <c r="C133" s="36">
        <f t="shared" si="8"/>
        <v>2.3506368248468412E-2</v>
      </c>
      <c r="D133" s="41">
        <f ca="1">AVERAGE(OFFSET(B133,1-MIN(Dashboard!$C$6,ROW()-1),0,MIN(Dashboard!$C$6,ROW()-1),1))</f>
        <v>495.84790499999997</v>
      </c>
      <c r="E133" s="41">
        <f ca="1">AVERAGE(OFFSET(B133,1-MIN(Dashboard!$C$7,ROW()-1),0,MIN(Dashboard!$C$7,ROW()-1),1))</f>
        <v>517.87625999999989</v>
      </c>
      <c r="F133" s="1">
        <f ca="1">IF(ROW()-1&gt;Dashboard!$C$7,IF(D132&gt;E132,1,0),0)</f>
        <v>0</v>
      </c>
      <c r="G133" s="36">
        <f t="shared" ca="1" si="9"/>
        <v>0</v>
      </c>
      <c r="H133" s="27">
        <f t="shared" si="10"/>
        <v>77.235774789299114</v>
      </c>
      <c r="I133" s="27">
        <f t="shared" ca="1" si="11"/>
        <v>91.927525123360581</v>
      </c>
      <c r="J133" s="1"/>
      <c r="K133" s="1"/>
    </row>
    <row r="134" spans="1:11" x14ac:dyDescent="0.3">
      <c r="A134" s="26">
        <f>Prices!A134</f>
        <v>46133</v>
      </c>
      <c r="B134" s="40">
        <f>INDEX(Prices!$B134:$G134,1,Dashboard!$C$8)</f>
        <v>513.02279999999996</v>
      </c>
      <c r="C134" s="36">
        <f t="shared" si="8"/>
        <v>-6.6985812684844381E-3</v>
      </c>
      <c r="D134" s="41">
        <f ca="1">AVERAGE(OFFSET(B134,1-MIN(Dashboard!$C$6,ROW()-1),0,MIN(Dashboard!$C$6,ROW()-1),1))</f>
        <v>496.14445000000006</v>
      </c>
      <c r="E134" s="41">
        <f ca="1">AVERAGE(OFFSET(B134,1-MIN(Dashboard!$C$7,ROW()-1),0,MIN(Dashboard!$C$7,ROW()-1),1))</f>
        <v>516.30457199999989</v>
      </c>
      <c r="F134" s="1">
        <f ca="1">IF(ROW()-1&gt;Dashboard!$C$7,IF(D133&gt;E133,1,0),0)</f>
        <v>0</v>
      </c>
      <c r="G134" s="36">
        <f t="shared" ca="1" si="9"/>
        <v>0</v>
      </c>
      <c r="H134" s="27">
        <f t="shared" si="10"/>
        <v>76.718404675038627</v>
      </c>
      <c r="I134" s="27">
        <f t="shared" ca="1" si="11"/>
        <v>91.927525123360581</v>
      </c>
      <c r="J134" s="1"/>
      <c r="K134" s="1"/>
    </row>
    <row r="135" spans="1:11" x14ac:dyDescent="0.3">
      <c r="A135" s="26">
        <f>Prices!A135</f>
        <v>46134</v>
      </c>
      <c r="B135" s="40">
        <f>INDEX(Prices!$B135:$G135,1,Dashboard!$C$8)</f>
        <v>498.19560000000001</v>
      </c>
      <c r="C135" s="36">
        <f t="shared" si="8"/>
        <v>-2.89016394592988E-2</v>
      </c>
      <c r="D135" s="41">
        <f ca="1">AVERAGE(OFFSET(B135,1-MIN(Dashboard!$C$6,ROW()-1),0,MIN(Dashboard!$C$6,ROW()-1),1))</f>
        <v>495.94675500000011</v>
      </c>
      <c r="E135" s="41">
        <f ca="1">AVERAGE(OFFSET(B135,1-MIN(Dashboard!$C$7,ROW()-1),0,MIN(Dashboard!$C$7,ROW()-1),1))</f>
        <v>514.78230799999994</v>
      </c>
      <c r="F135" s="1">
        <f ca="1">IF(ROW()-1&gt;Dashboard!$C$7,IF(D134&gt;E134,1,0),0)</f>
        <v>0</v>
      </c>
      <c r="G135" s="36">
        <f t="shared" ca="1" si="9"/>
        <v>0</v>
      </c>
      <c r="H135" s="27">
        <f t="shared" si="10"/>
        <v>74.501117003228075</v>
      </c>
      <c r="I135" s="27">
        <f t="shared" ca="1" si="11"/>
        <v>91.927525123360581</v>
      </c>
      <c r="J135" s="1"/>
      <c r="K135" s="1"/>
    </row>
    <row r="136" spans="1:11" x14ac:dyDescent="0.3">
      <c r="A136" s="26">
        <f>Prices!A136</f>
        <v>46135</v>
      </c>
      <c r="B136" s="40">
        <f>INDEX(Prices!$B136:$G136,1,Dashboard!$C$8)</f>
        <v>489.49689999999998</v>
      </c>
      <c r="C136" s="36">
        <f t="shared" si="8"/>
        <v>-1.7460411131692166E-2</v>
      </c>
      <c r="D136" s="41">
        <f ca="1">AVERAGE(OFFSET(B136,1-MIN(Dashboard!$C$6,ROW()-1),0,MIN(Dashboard!$C$6,ROW()-1),1))</f>
        <v>495.78859999999997</v>
      </c>
      <c r="E136" s="41">
        <f ca="1">AVERAGE(OFFSET(B136,1-MIN(Dashboard!$C$7,ROW()-1),0,MIN(Dashboard!$C$7,ROW()-1),1))</f>
        <v>513.54077199999983</v>
      </c>
      <c r="F136" s="1">
        <f ca="1">IF(ROW()-1&gt;Dashboard!$C$7,IF(D135&gt;E135,1,0),0)</f>
        <v>0</v>
      </c>
      <c r="G136" s="36">
        <f t="shared" ca="1" si="9"/>
        <v>0</v>
      </c>
      <c r="H136" s="27">
        <f t="shared" si="10"/>
        <v>73.200296870581411</v>
      </c>
      <c r="I136" s="27">
        <f t="shared" ca="1" si="11"/>
        <v>91.927525123360581</v>
      </c>
      <c r="J136" s="1"/>
      <c r="K136" s="1"/>
    </row>
    <row r="137" spans="1:11" x14ac:dyDescent="0.3">
      <c r="A137" s="26">
        <f>Prices!A137</f>
        <v>46136</v>
      </c>
      <c r="B137" s="40">
        <f>INDEX(Prices!$B137:$G137,1,Dashboard!$C$8)</f>
        <v>487.7176</v>
      </c>
      <c r="C137" s="36">
        <f t="shared" si="8"/>
        <v>-3.6349566258744304E-3</v>
      </c>
      <c r="D137" s="41">
        <f ca="1">AVERAGE(OFFSET(B137,1-MIN(Dashboard!$C$6,ROW()-1),0,MIN(Dashboard!$C$6,ROW()-1),1))</f>
        <v>494.77046000000001</v>
      </c>
      <c r="E137" s="41">
        <f ca="1">AVERAGE(OFFSET(B137,1-MIN(Dashboard!$C$7,ROW()-1),0,MIN(Dashboard!$C$7,ROW()-1),1))</f>
        <v>512.25376599999993</v>
      </c>
      <c r="F137" s="1">
        <f ca="1">IF(ROW()-1&gt;Dashboard!$C$7,IF(D136&gt;E136,1,0),0)</f>
        <v>0</v>
      </c>
      <c r="G137" s="36">
        <f t="shared" ca="1" si="9"/>
        <v>0</v>
      </c>
      <c r="H137" s="27">
        <f t="shared" si="10"/>
        <v>72.934216966455722</v>
      </c>
      <c r="I137" s="27">
        <f t="shared" ca="1" si="11"/>
        <v>91.927525123360581</v>
      </c>
      <c r="J137" s="1"/>
      <c r="K137" s="1"/>
    </row>
    <row r="138" spans="1:11" x14ac:dyDescent="0.3">
      <c r="A138" s="26">
        <f>Prices!A138</f>
        <v>46139</v>
      </c>
      <c r="B138" s="40">
        <f>INDEX(Prices!$B138:$G138,1,Dashboard!$C$8)</f>
        <v>473.0881</v>
      </c>
      <c r="C138" s="36">
        <f t="shared" si="8"/>
        <v>-2.9995841856024885E-2</v>
      </c>
      <c r="D138" s="41">
        <f ca="1">AVERAGE(OFFSET(B138,1-MIN(Dashboard!$C$6,ROW()-1),0,MIN(Dashboard!$C$6,ROW()-1),1))</f>
        <v>493.44095000000004</v>
      </c>
      <c r="E138" s="41">
        <f ca="1">AVERAGE(OFFSET(B138,1-MIN(Dashboard!$C$7,ROW()-1),0,MIN(Dashboard!$C$7,ROW()-1),1))</f>
        <v>510.89163599999995</v>
      </c>
      <c r="F138" s="1">
        <f ca="1">IF(ROW()-1&gt;Dashboard!$C$7,IF(D137&gt;E137,1,0),0)</f>
        <v>0</v>
      </c>
      <c r="G138" s="36">
        <f t="shared" ca="1" si="9"/>
        <v>0</v>
      </c>
      <c r="H138" s="27">
        <f t="shared" si="10"/>
        <v>70.746493728436903</v>
      </c>
      <c r="I138" s="27">
        <f t="shared" ca="1" si="11"/>
        <v>91.927525123360581</v>
      </c>
      <c r="J138" s="1"/>
      <c r="K138" s="1"/>
    </row>
    <row r="139" spans="1:11" x14ac:dyDescent="0.3">
      <c r="A139" s="26">
        <f>Prices!A139</f>
        <v>46140</v>
      </c>
      <c r="B139" s="40">
        <f>INDEX(Prices!$B139:$G139,1,Dashboard!$C$8)</f>
        <v>468.34339999999997</v>
      </c>
      <c r="C139" s="36">
        <f t="shared" si="8"/>
        <v>-1.0029210204188233E-2</v>
      </c>
      <c r="D139" s="41">
        <f ca="1">AVERAGE(OFFSET(B139,1-MIN(Dashboard!$C$6,ROW()-1),0,MIN(Dashboard!$C$6,ROW()-1),1))</f>
        <v>492.36350499999998</v>
      </c>
      <c r="E139" s="41">
        <f ca="1">AVERAGE(OFFSET(B139,1-MIN(Dashboard!$C$7,ROW()-1),0,MIN(Dashboard!$C$7,ROW()-1),1))</f>
        <v>509.18749199999991</v>
      </c>
      <c r="F139" s="1">
        <f ca="1">IF(ROW()-1&gt;Dashboard!$C$7,IF(D138&gt;E138,1,0),0)</f>
        <v>0</v>
      </c>
      <c r="G139" s="36">
        <f t="shared" ca="1" si="9"/>
        <v>0</v>
      </c>
      <c r="H139" s="27">
        <f t="shared" si="10"/>
        <v>70.036962271625129</v>
      </c>
      <c r="I139" s="27">
        <f t="shared" ca="1" si="11"/>
        <v>91.927525123360581</v>
      </c>
      <c r="J139" s="1"/>
      <c r="K139" s="1"/>
    </row>
    <row r="140" spans="1:11" x14ac:dyDescent="0.3">
      <c r="A140" s="26">
        <f>Prices!A140</f>
        <v>46141</v>
      </c>
      <c r="B140" s="40">
        <f>INDEX(Prices!$B140:$G140,1,Dashboard!$C$8)</f>
        <v>473.68119999999999</v>
      </c>
      <c r="C140" s="36">
        <f t="shared" si="8"/>
        <v>1.139719274361517E-2</v>
      </c>
      <c r="D140" s="41">
        <f ca="1">AVERAGE(OFFSET(B140,1-MIN(Dashboard!$C$6,ROW()-1),0,MIN(Dashboard!$C$6,ROW()-1),1))</f>
        <v>491.66168500000003</v>
      </c>
      <c r="E140" s="41">
        <f ca="1">AVERAGE(OFFSET(B140,1-MIN(Dashboard!$C$7,ROW()-1),0,MIN(Dashboard!$C$7,ROW()-1),1))</f>
        <v>507.76802999999995</v>
      </c>
      <c r="F140" s="1">
        <f ca="1">IF(ROW()-1&gt;Dashboard!$C$7,IF(D139&gt;E139,1,0),0)</f>
        <v>0</v>
      </c>
      <c r="G140" s="36">
        <f t="shared" ca="1" si="9"/>
        <v>0</v>
      </c>
      <c r="H140" s="27">
        <f t="shared" si="10"/>
        <v>70.835187029812147</v>
      </c>
      <c r="I140" s="27">
        <f t="shared" ca="1" si="11"/>
        <v>91.927525123360581</v>
      </c>
      <c r="J140" s="1"/>
      <c r="K140" s="1"/>
    </row>
    <row r="141" spans="1:11" x14ac:dyDescent="0.3">
      <c r="A141" s="26">
        <f>Prices!A141</f>
        <v>46142</v>
      </c>
      <c r="B141" s="40">
        <f>INDEX(Prices!$B141:$G141,1,Dashboard!$C$8)</f>
        <v>462.41239999999999</v>
      </c>
      <c r="C141" s="36">
        <f t="shared" si="8"/>
        <v>-2.3789840086539171E-2</v>
      </c>
      <c r="D141" s="41">
        <f ca="1">AVERAGE(OFFSET(B141,1-MIN(Dashboard!$C$6,ROW()-1),0,MIN(Dashboard!$C$6,ROW()-1),1))</f>
        <v>490.97962999999993</v>
      </c>
      <c r="E141" s="41">
        <f ca="1">AVERAGE(OFFSET(B141,1-MIN(Dashboard!$C$7,ROW()-1),0,MIN(Dashboard!$C$7,ROW()-1),1))</f>
        <v>506.18250199999994</v>
      </c>
      <c r="F141" s="1">
        <f ca="1">IF(ROW()-1&gt;Dashboard!$C$7,IF(D140&gt;E140,1,0),0)</f>
        <v>0</v>
      </c>
      <c r="G141" s="36">
        <f t="shared" ca="1" si="9"/>
        <v>0</v>
      </c>
      <c r="H141" s="27">
        <f t="shared" si="10"/>
        <v>69.150029257872816</v>
      </c>
      <c r="I141" s="27">
        <f t="shared" ca="1" si="11"/>
        <v>91.927525123360581</v>
      </c>
      <c r="J141" s="1"/>
      <c r="K141" s="1"/>
    </row>
    <row r="142" spans="1:11" x14ac:dyDescent="0.3">
      <c r="A142" s="26">
        <f>Prices!A142</f>
        <v>46146</v>
      </c>
      <c r="B142" s="40">
        <f>INDEX(Prices!$B142:$G142,1,Dashboard!$C$8)</f>
        <v>467.55259999999998</v>
      </c>
      <c r="C142" s="36">
        <f t="shared" si="8"/>
        <v>1.1116051386165227E-2</v>
      </c>
      <c r="D142" s="41">
        <f ca="1">AVERAGE(OFFSET(B142,1-MIN(Dashboard!$C$6,ROW()-1),0,MIN(Dashboard!$C$6,ROW()-1),1))</f>
        <v>490.43596500000001</v>
      </c>
      <c r="E142" s="41">
        <f ca="1">AVERAGE(OFFSET(B142,1-MIN(Dashboard!$C$7,ROW()-1),0,MIN(Dashboard!$C$7,ROW()-1),1))</f>
        <v>504.94689799999998</v>
      </c>
      <c r="F142" s="1">
        <f ca="1">IF(ROW()-1&gt;Dashboard!$C$7,IF(D141&gt;E141,1,0),0)</f>
        <v>0</v>
      </c>
      <c r="G142" s="36">
        <f t="shared" ca="1" si="9"/>
        <v>0</v>
      </c>
      <c r="H142" s="27">
        <f t="shared" si="10"/>
        <v>69.918704536458165</v>
      </c>
      <c r="I142" s="27">
        <f t="shared" ca="1" si="11"/>
        <v>91.927525123360581</v>
      </c>
      <c r="J142" s="1"/>
      <c r="K142" s="1"/>
    </row>
    <row r="143" spans="1:11" x14ac:dyDescent="0.3">
      <c r="A143" s="26">
        <f>Prices!A143</f>
        <v>46147</v>
      </c>
      <c r="B143" s="40">
        <f>INDEX(Prices!$B143:$G143,1,Dashboard!$C$8)</f>
        <v>466.76179999999999</v>
      </c>
      <c r="C143" s="36">
        <f t="shared" si="8"/>
        <v>-1.6913605014707844E-3</v>
      </c>
      <c r="D143" s="41">
        <f ca="1">AVERAGE(OFFSET(B143,1-MIN(Dashboard!$C$6,ROW()-1),0,MIN(Dashboard!$C$6,ROW()-1),1))</f>
        <v>489.23001499999992</v>
      </c>
      <c r="E143" s="41">
        <f ca="1">AVERAGE(OFFSET(B143,1-MIN(Dashboard!$C$7,ROW()-1),0,MIN(Dashboard!$C$7,ROW()-1),1))</f>
        <v>503.76467200000008</v>
      </c>
      <c r="F143" s="1">
        <f ca="1">IF(ROW()-1&gt;Dashboard!$C$7,IF(D142&gt;E142,1,0),0)</f>
        <v>0</v>
      </c>
      <c r="G143" s="36">
        <f t="shared" ca="1" si="9"/>
        <v>0</v>
      </c>
      <c r="H143" s="27">
        <f t="shared" si="10"/>
        <v>69.800446801291187</v>
      </c>
      <c r="I143" s="27">
        <f t="shared" ca="1" si="11"/>
        <v>91.927525123360581</v>
      </c>
      <c r="J143" s="1"/>
      <c r="K143" s="1"/>
    </row>
    <row r="144" spans="1:11" x14ac:dyDescent="0.3">
      <c r="A144" s="26">
        <f>Prices!A144</f>
        <v>46148</v>
      </c>
      <c r="B144" s="40">
        <f>INDEX(Prices!$B144:$G144,1,Dashboard!$C$8)</f>
        <v>457.6678</v>
      </c>
      <c r="C144" s="36">
        <f t="shared" si="8"/>
        <v>-1.9483171073554018E-2</v>
      </c>
      <c r="D144" s="41">
        <f ca="1">AVERAGE(OFFSET(B144,1-MIN(Dashboard!$C$6,ROW()-1),0,MIN(Dashboard!$C$6,ROW()-1),1))</f>
        <v>487.93510499999991</v>
      </c>
      <c r="E144" s="41">
        <f ca="1">AVERAGE(OFFSET(B144,1-MIN(Dashboard!$C$7,ROW()-1),0,MIN(Dashboard!$C$7,ROW()-1),1))</f>
        <v>502.35114199999998</v>
      </c>
      <c r="F144" s="1">
        <f ca="1">IF(ROW()-1&gt;Dashboard!$C$7,IF(D143&gt;E143,1,0),0)</f>
        <v>0</v>
      </c>
      <c r="G144" s="36">
        <f t="shared" ca="1" si="9"/>
        <v>0</v>
      </c>
      <c r="H144" s="27">
        <f t="shared" si="10"/>
        <v>68.44051275525112</v>
      </c>
      <c r="I144" s="27">
        <f t="shared" ca="1" si="11"/>
        <v>91.927525123360581</v>
      </c>
      <c r="J144" s="1"/>
      <c r="K144" s="1"/>
    </row>
    <row r="145" spans="1:11" x14ac:dyDescent="0.3">
      <c r="A145" s="26">
        <f>Prices!A145</f>
        <v>46149</v>
      </c>
      <c r="B145" s="40">
        <f>INDEX(Prices!$B145:$G145,1,Dashboard!$C$8)</f>
        <v>471.90190000000001</v>
      </c>
      <c r="C145" s="36">
        <f t="shared" si="8"/>
        <v>3.1101379646984117E-2</v>
      </c>
      <c r="D145" s="41">
        <f ca="1">AVERAGE(OFFSET(B145,1-MIN(Dashboard!$C$6,ROW()-1),0,MIN(Dashboard!$C$6,ROW()-1),1))</f>
        <v>486.42272500000001</v>
      </c>
      <c r="E145" s="41">
        <f ca="1">AVERAGE(OFFSET(B145,1-MIN(Dashboard!$C$7,ROW()-1),0,MIN(Dashboard!$C$7,ROW()-1),1))</f>
        <v>501.46941399999997</v>
      </c>
      <c r="F145" s="1">
        <f ca="1">IF(ROW()-1&gt;Dashboard!$C$7,IF(D144&gt;E144,1,0),0)</f>
        <v>0</v>
      </c>
      <c r="G145" s="36">
        <f t="shared" ca="1" si="9"/>
        <v>0</v>
      </c>
      <c r="H145" s="27">
        <f t="shared" si="10"/>
        <v>70.569107125686443</v>
      </c>
      <c r="I145" s="27">
        <f t="shared" ca="1" si="11"/>
        <v>91.927525123360581</v>
      </c>
      <c r="J145" s="1"/>
      <c r="K145" s="1"/>
    </row>
    <row r="146" spans="1:11" x14ac:dyDescent="0.3">
      <c r="A146" s="26">
        <f>Prices!A146</f>
        <v>46150</v>
      </c>
      <c r="B146" s="40">
        <f>INDEX(Prices!$B146:$G146,1,Dashboard!$C$8)</f>
        <v>465.971</v>
      </c>
      <c r="C146" s="36">
        <f t="shared" si="8"/>
        <v>-1.2568078238294866E-2</v>
      </c>
      <c r="D146" s="41">
        <f ca="1">AVERAGE(OFFSET(B146,1-MIN(Dashboard!$C$6,ROW()-1),0,MIN(Dashboard!$C$6,ROW()-1),1))</f>
        <v>484.58908999999994</v>
      </c>
      <c r="E146" s="41">
        <f ca="1">AVERAGE(OFFSET(B146,1-MIN(Dashboard!$C$7,ROW()-1),0,MIN(Dashboard!$C$7,ROW()-1),1))</f>
        <v>500.15275399999996</v>
      </c>
      <c r="F146" s="1">
        <f ca="1">IF(ROW()-1&gt;Dashboard!$C$7,IF(D145&gt;E145,1,0),0)</f>
        <v>0</v>
      </c>
      <c r="G146" s="36">
        <f t="shared" ca="1" si="9"/>
        <v>0</v>
      </c>
      <c r="H146" s="27">
        <f t="shared" si="10"/>
        <v>69.682189066124209</v>
      </c>
      <c r="I146" s="27">
        <f t="shared" ca="1" si="11"/>
        <v>91.927525123360581</v>
      </c>
      <c r="J146" s="1"/>
      <c r="K146" s="1"/>
    </row>
    <row r="147" spans="1:11" x14ac:dyDescent="0.3">
      <c r="A147" s="26">
        <f>Prices!A147</f>
        <v>46153</v>
      </c>
      <c r="B147" s="40">
        <f>INDEX(Prices!$B147:$G147,1,Dashboard!$C$8)</f>
        <v>459.05160000000001</v>
      </c>
      <c r="C147" s="36">
        <f t="shared" si="8"/>
        <v>-1.4849421959735709E-2</v>
      </c>
      <c r="D147" s="41">
        <f ca="1">AVERAGE(OFFSET(B147,1-MIN(Dashboard!$C$6,ROW()-1),0,MIN(Dashboard!$C$6,ROW()-1),1))</f>
        <v>482.60718000000008</v>
      </c>
      <c r="E147" s="41">
        <f ca="1">AVERAGE(OFFSET(B147,1-MIN(Dashboard!$C$7,ROW()-1),0,MIN(Dashboard!$C$7,ROW()-1),1))</f>
        <v>499.05355999999995</v>
      </c>
      <c r="F147" s="1">
        <f ca="1">IF(ROW()-1&gt;Dashboard!$C$7,IF(D146&gt;E146,1,0),0)</f>
        <v>0</v>
      </c>
      <c r="G147" s="36">
        <f t="shared" ca="1" si="9"/>
        <v>0</v>
      </c>
      <c r="H147" s="27">
        <f t="shared" si="10"/>
        <v>68.64744883760325</v>
      </c>
      <c r="I147" s="27">
        <f t="shared" ca="1" si="11"/>
        <v>91.927525123360581</v>
      </c>
      <c r="J147" s="1"/>
      <c r="K147" s="1"/>
    </row>
    <row r="148" spans="1:11" x14ac:dyDescent="0.3">
      <c r="A148" s="26">
        <f>Prices!A148</f>
        <v>46154</v>
      </c>
      <c r="B148" s="40">
        <f>INDEX(Prices!$B148:$G148,1,Dashboard!$C$8)</f>
        <v>451.93450000000001</v>
      </c>
      <c r="C148" s="36">
        <f t="shared" si="8"/>
        <v>-1.5503921563501777E-2</v>
      </c>
      <c r="D148" s="41">
        <f ca="1">AVERAGE(OFFSET(B148,1-MIN(Dashboard!$C$6,ROW()-1),0,MIN(Dashboard!$C$6,ROW()-1),1))</f>
        <v>480.98606499999994</v>
      </c>
      <c r="E148" s="41">
        <f ca="1">AVERAGE(OFFSET(B148,1-MIN(Dashboard!$C$7,ROW()-1),0,MIN(Dashboard!$C$7,ROW()-1),1))</f>
        <v>497.76259999999996</v>
      </c>
      <c r="F148" s="1">
        <f ca="1">IF(ROW()-1&gt;Dashboard!$C$7,IF(D147&gt;E147,1,0),0)</f>
        <v>0</v>
      </c>
      <c r="G148" s="36">
        <f t="shared" ca="1" si="9"/>
        <v>0</v>
      </c>
      <c r="H148" s="27">
        <f t="shared" si="10"/>
        <v>67.583144175290542</v>
      </c>
      <c r="I148" s="27">
        <f t="shared" ca="1" si="11"/>
        <v>91.927525123360581</v>
      </c>
      <c r="J148" s="1"/>
      <c r="K148" s="1"/>
    </row>
    <row r="149" spans="1:11" x14ac:dyDescent="0.3">
      <c r="A149" s="26">
        <f>Prices!A149</f>
        <v>46155</v>
      </c>
      <c r="B149" s="40">
        <f>INDEX(Prices!$B149:$G149,1,Dashboard!$C$8)</f>
        <v>457.2724</v>
      </c>
      <c r="C149" s="36">
        <f t="shared" si="8"/>
        <v>1.1811224856699276E-2</v>
      </c>
      <c r="D149" s="41">
        <f ca="1">AVERAGE(OFFSET(B149,1-MIN(Dashboard!$C$6,ROW()-1),0,MIN(Dashboard!$C$6,ROW()-1),1))</f>
        <v>479.47368500000005</v>
      </c>
      <c r="E149" s="41">
        <f ca="1">AVERAGE(OFFSET(B149,1-MIN(Dashboard!$C$7,ROW()-1),0,MIN(Dashboard!$C$7,ROW()-1),1))</f>
        <v>496.78598</v>
      </c>
      <c r="F149" s="1">
        <f ca="1">IF(ROW()-1&gt;Dashboard!$C$7,IF(D148&gt;E148,1,0),0)</f>
        <v>0</v>
      </c>
      <c r="G149" s="36">
        <f t="shared" ca="1" si="9"/>
        <v>0</v>
      </c>
      <c r="H149" s="27">
        <f t="shared" si="10"/>
        <v>68.381383887667624</v>
      </c>
      <c r="I149" s="27">
        <f t="shared" ca="1" si="11"/>
        <v>91.927525123360581</v>
      </c>
      <c r="J149" s="1"/>
      <c r="K149" s="1"/>
    </row>
    <row r="150" spans="1:11" x14ac:dyDescent="0.3">
      <c r="A150" s="26">
        <f>Prices!A150</f>
        <v>46156</v>
      </c>
      <c r="B150" s="40">
        <f>INDEX(Prices!$B150:$G150,1,Dashboard!$C$8)</f>
        <v>454.9</v>
      </c>
      <c r="C150" s="36">
        <f t="shared" si="8"/>
        <v>-5.1881548066317063E-3</v>
      </c>
      <c r="D150" s="41">
        <f ca="1">AVERAGE(OFFSET(B150,1-MIN(Dashboard!$C$6,ROW()-1),0,MIN(Dashboard!$C$6,ROW()-1),1))</f>
        <v>477.55603000000002</v>
      </c>
      <c r="E150" s="41">
        <f ca="1">AVERAGE(OFFSET(B150,1-MIN(Dashboard!$C$7,ROW()-1),0,MIN(Dashboard!$C$7,ROW()-1),1))</f>
        <v>495.64329400000003</v>
      </c>
      <c r="F150" s="1">
        <f ca="1">IF(ROW()-1&gt;Dashboard!$C$7,IF(D149&gt;E149,1,0),0)</f>
        <v>0</v>
      </c>
      <c r="G150" s="36">
        <f t="shared" ca="1" si="9"/>
        <v>0</v>
      </c>
      <c r="H150" s="27">
        <f t="shared" si="10"/>
        <v>68.026610682166691</v>
      </c>
      <c r="I150" s="27">
        <f t="shared" ca="1" si="11"/>
        <v>91.927525123360581</v>
      </c>
      <c r="J150" s="1"/>
      <c r="K150" s="1"/>
    </row>
    <row r="151" spans="1:11" x14ac:dyDescent="0.3">
      <c r="A151" s="26">
        <f>Prices!A151</f>
        <v>46157</v>
      </c>
      <c r="B151" s="40">
        <f>INDEX(Prices!$B151:$G151,1,Dashboard!$C$8)</f>
        <v>456.4</v>
      </c>
      <c r="C151" s="36">
        <f t="shared" si="8"/>
        <v>3.2974280061552896E-3</v>
      </c>
      <c r="D151" s="41">
        <f ca="1">AVERAGE(OFFSET(B151,1-MIN(Dashboard!$C$6,ROW()-1),0,MIN(Dashboard!$C$6,ROW()-1),1))</f>
        <v>474.82373999999999</v>
      </c>
      <c r="E151" s="41">
        <f ca="1">AVERAGE(OFFSET(B151,1-MIN(Dashboard!$C$7,ROW()-1),0,MIN(Dashboard!$C$7,ROW()-1),1))</f>
        <v>494.60968600000007</v>
      </c>
      <c r="F151" s="1">
        <f ca="1">IF(ROW()-1&gt;Dashboard!$C$7,IF(D150&gt;E150,1,0),0)</f>
        <v>0</v>
      </c>
      <c r="G151" s="36">
        <f t="shared" ca="1" si="9"/>
        <v>0</v>
      </c>
      <c r="H151" s="27">
        <f t="shared" si="10"/>
        <v>68.250923533393888</v>
      </c>
      <c r="I151" s="27">
        <f t="shared" ca="1" si="11"/>
        <v>91.927525123360581</v>
      </c>
      <c r="J151" s="1"/>
      <c r="K151" s="1"/>
    </row>
    <row r="152" spans="1:11" x14ac:dyDescent="0.3">
      <c r="A152" s="26">
        <f>Prices!A152</f>
        <v>46160</v>
      </c>
      <c r="B152" s="40">
        <f>INDEX(Prices!$B152:$G152,1,Dashboard!$C$8)</f>
        <v>449.2</v>
      </c>
      <c r="C152" s="36">
        <f t="shared" si="8"/>
        <v>-1.5775635407537236E-2</v>
      </c>
      <c r="D152" s="41">
        <f ca="1">AVERAGE(OFFSET(B152,1-MIN(Dashboard!$C$6,ROW()-1),0,MIN(Dashboard!$C$6,ROW()-1),1))</f>
        <v>472.05270499999995</v>
      </c>
      <c r="E152" s="41">
        <f ca="1">AVERAGE(OFFSET(B152,1-MIN(Dashboard!$C$7,ROW()-1),0,MIN(Dashboard!$C$7,ROW()-1),1))</f>
        <v>493.50127200000009</v>
      </c>
      <c r="F152" s="1">
        <f ca="1">IF(ROW()-1&gt;Dashboard!$C$7,IF(D151&gt;E151,1,0),0)</f>
        <v>0</v>
      </c>
      <c r="G152" s="36">
        <f t="shared" ca="1" si="9"/>
        <v>0</v>
      </c>
      <c r="H152" s="27">
        <f t="shared" si="10"/>
        <v>67.174221847503361</v>
      </c>
      <c r="I152" s="27">
        <f t="shared" ca="1" si="11"/>
        <v>91.927525123360581</v>
      </c>
      <c r="J152" s="1"/>
      <c r="K152" s="1"/>
    </row>
    <row r="153" spans="1:11" x14ac:dyDescent="0.3">
      <c r="A153" s="26">
        <f>Prices!A153</f>
        <v>46161</v>
      </c>
      <c r="B153" s="40">
        <f>INDEX(Prices!$B153:$G153,1,Dashboard!$C$8)</f>
        <v>460</v>
      </c>
      <c r="C153" s="36">
        <f t="shared" si="8"/>
        <v>2.4042742653606508E-2</v>
      </c>
      <c r="D153" s="41">
        <f ca="1">AVERAGE(OFFSET(B153,1-MIN(Dashboard!$C$6,ROW()-1),0,MIN(Dashboard!$C$6,ROW()-1),1))</f>
        <v>469.22857999999997</v>
      </c>
      <c r="E153" s="41">
        <f ca="1">AVERAGE(OFFSET(B153,1-MIN(Dashboard!$C$7,ROW()-1),0,MIN(Dashboard!$C$7,ROW()-1),1))</f>
        <v>492.69782200000014</v>
      </c>
      <c r="F153" s="1">
        <f ca="1">IF(ROW()-1&gt;Dashboard!$C$7,IF(D152&gt;E152,1,0),0)</f>
        <v>0</v>
      </c>
      <c r="G153" s="36">
        <f t="shared" ca="1" si="9"/>
        <v>0</v>
      </c>
      <c r="H153" s="27">
        <f t="shared" si="10"/>
        <v>68.789274376339151</v>
      </c>
      <c r="I153" s="27">
        <f t="shared" ca="1" si="11"/>
        <v>91.927525123360581</v>
      </c>
      <c r="J153" s="1"/>
      <c r="K153" s="1"/>
    </row>
    <row r="154" spans="1:11" x14ac:dyDescent="0.3">
      <c r="A154" s="26">
        <f>Prices!A154</f>
        <v>46162</v>
      </c>
      <c r="B154" s="40">
        <f>INDEX(Prices!$B154:$G154,1,Dashboard!$C$8)</f>
        <v>455.2</v>
      </c>
      <c r="C154" s="36">
        <f t="shared" si="8"/>
        <v>-1.0434782608695681E-2</v>
      </c>
      <c r="D154" s="41">
        <f ca="1">AVERAGE(OFFSET(B154,1-MIN(Dashboard!$C$6,ROW()-1),0,MIN(Dashboard!$C$6,ROW()-1),1))</f>
        <v>466.33744000000007</v>
      </c>
      <c r="E154" s="41">
        <f ca="1">AVERAGE(OFFSET(B154,1-MIN(Dashboard!$C$7,ROW()-1),0,MIN(Dashboard!$C$7,ROW()-1),1))</f>
        <v>491.87745000000024</v>
      </c>
      <c r="F154" s="1">
        <f ca="1">IF(ROW()-1&gt;Dashboard!$C$7,IF(D153&gt;E153,1,0),0)</f>
        <v>0</v>
      </c>
      <c r="G154" s="36">
        <f t="shared" ca="1" si="9"/>
        <v>0</v>
      </c>
      <c r="H154" s="27">
        <f t="shared" si="10"/>
        <v>68.071473252412133</v>
      </c>
      <c r="I154" s="27">
        <f t="shared" ca="1" si="11"/>
        <v>91.927525123360581</v>
      </c>
      <c r="J154" s="1"/>
      <c r="K154" s="1"/>
    </row>
    <row r="155" spans="1:11" x14ac:dyDescent="0.3">
      <c r="A155" s="26">
        <f>Prices!A155</f>
        <v>46163</v>
      </c>
      <c r="B155" s="40">
        <f>INDEX(Prices!$B155:$G155,1,Dashboard!$C$8)</f>
        <v>439</v>
      </c>
      <c r="C155" s="36">
        <f t="shared" si="8"/>
        <v>-3.5588752196836548E-2</v>
      </c>
      <c r="D155" s="41">
        <f ca="1">AVERAGE(OFFSET(B155,1-MIN(Dashboard!$C$6,ROW()-1),0,MIN(Dashboard!$C$6,ROW()-1),1))</f>
        <v>463.37765999999993</v>
      </c>
      <c r="E155" s="41">
        <f ca="1">AVERAGE(OFFSET(B155,1-MIN(Dashboard!$C$7,ROW()-1),0,MIN(Dashboard!$C$7,ROW()-1),1))</f>
        <v>490.39699400000012</v>
      </c>
      <c r="F155" s="1">
        <f ca="1">IF(ROW()-1&gt;Dashboard!$C$7,IF(D154&gt;E154,1,0),0)</f>
        <v>0</v>
      </c>
      <c r="G155" s="36">
        <f t="shared" ca="1" si="9"/>
        <v>0</v>
      </c>
      <c r="H155" s="27">
        <f t="shared" si="10"/>
        <v>65.648894459158456</v>
      </c>
      <c r="I155" s="27">
        <f t="shared" ca="1" si="11"/>
        <v>91.927525123360581</v>
      </c>
      <c r="J155" s="1"/>
      <c r="K155" s="1"/>
    </row>
    <row r="156" spans="1:11" x14ac:dyDescent="0.3">
      <c r="A156" s="26">
        <f>Prices!A156</f>
        <v>46164</v>
      </c>
      <c r="B156" s="40">
        <f>INDEX(Prices!$B156:$G156,1,Dashboard!$C$8)</f>
        <v>441.4</v>
      </c>
      <c r="C156" s="36">
        <f t="shared" si="8"/>
        <v>5.4669703872436415E-3</v>
      </c>
      <c r="D156" s="41">
        <f ca="1">AVERAGE(OFFSET(B156,1-MIN(Dashboard!$C$6,ROW()-1),0,MIN(Dashboard!$C$6,ROW()-1),1))</f>
        <v>460.97281499999991</v>
      </c>
      <c r="E156" s="41">
        <f ca="1">AVERAGE(OFFSET(B156,1-MIN(Dashboard!$C$7,ROW()-1),0,MIN(Dashboard!$C$7,ROW()-1),1))</f>
        <v>489.02384800000016</v>
      </c>
      <c r="F156" s="1">
        <f ca="1">IF(ROW()-1&gt;Dashboard!$C$7,IF(D155&gt;E155,1,0),0)</f>
        <v>0</v>
      </c>
      <c r="G156" s="36">
        <f t="shared" ca="1" si="9"/>
        <v>0</v>
      </c>
      <c r="H156" s="27">
        <f t="shared" si="10"/>
        <v>66.007795021121964</v>
      </c>
      <c r="I156" s="27">
        <f t="shared" ca="1" si="11"/>
        <v>91.927525123360581</v>
      </c>
      <c r="J156" s="1"/>
      <c r="K156" s="1"/>
    </row>
    <row r="157" spans="1:11" x14ac:dyDescent="0.3">
      <c r="A157" s="26">
        <f>Prices!A157</f>
        <v>46168</v>
      </c>
      <c r="B157" s="40">
        <f>INDEX(Prices!$B157:$G157,1,Dashboard!$C$8)</f>
        <v>439</v>
      </c>
      <c r="C157" s="36">
        <f t="shared" si="8"/>
        <v>-5.4372451291345714E-3</v>
      </c>
      <c r="D157" s="41">
        <f ca="1">AVERAGE(OFFSET(B157,1-MIN(Dashboard!$C$6,ROW()-1),0,MIN(Dashboard!$C$6,ROW()-1),1))</f>
        <v>458.53693499999991</v>
      </c>
      <c r="E157" s="41">
        <f ca="1">AVERAGE(OFFSET(B157,1-MIN(Dashboard!$C$7,ROW()-1),0,MIN(Dashboard!$C$7,ROW()-1),1))</f>
        <v>486.86133800000016</v>
      </c>
      <c r="F157" s="1">
        <f ca="1">IF(ROW()-1&gt;Dashboard!$C$7,IF(D156&gt;E156,1,0),0)</f>
        <v>0</v>
      </c>
      <c r="G157" s="36">
        <f t="shared" ca="1" si="9"/>
        <v>0</v>
      </c>
      <c r="H157" s="27">
        <f t="shared" si="10"/>
        <v>65.648894459158456</v>
      </c>
      <c r="I157" s="27">
        <f t="shared" ca="1" si="11"/>
        <v>91.927525123360581</v>
      </c>
      <c r="J157" s="1"/>
      <c r="K157" s="1"/>
    </row>
    <row r="158" spans="1:11" x14ac:dyDescent="0.3">
      <c r="A158" s="26">
        <f>Prices!A158</f>
        <v>46169</v>
      </c>
      <c r="B158" s="40">
        <f>INDEX(Prices!$B158:$G158,1,Dashboard!$C$8)</f>
        <v>434.4</v>
      </c>
      <c r="C158" s="36">
        <f t="shared" si="8"/>
        <v>-1.0478359908883905E-2</v>
      </c>
      <c r="D158" s="41">
        <f ca="1">AVERAGE(OFFSET(B158,1-MIN(Dashboard!$C$6,ROW()-1),0,MIN(Dashboard!$C$6,ROW()-1),1))</f>
        <v>456.60252999999994</v>
      </c>
      <c r="E158" s="41">
        <f ca="1">AVERAGE(OFFSET(B158,1-MIN(Dashboard!$C$7,ROW()-1),0,MIN(Dashboard!$C$7,ROW()-1),1))</f>
        <v>484.63648200000017</v>
      </c>
      <c r="F158" s="1">
        <f ca="1">IF(ROW()-1&gt;Dashboard!$C$7,IF(D157&gt;E157,1,0),0)</f>
        <v>0</v>
      </c>
      <c r="G158" s="36">
        <f t="shared" ca="1" si="9"/>
        <v>0</v>
      </c>
      <c r="H158" s="27">
        <f t="shared" si="10"/>
        <v>64.961001715395057</v>
      </c>
      <c r="I158" s="27">
        <f t="shared" ca="1" si="11"/>
        <v>91.927525123360581</v>
      </c>
      <c r="J158" s="1"/>
      <c r="K158" s="1"/>
    </row>
    <row r="159" spans="1:11" x14ac:dyDescent="0.3">
      <c r="A159" s="26">
        <f>Prices!A159</f>
        <v>46170</v>
      </c>
      <c r="B159" s="40">
        <f>INDEX(Prices!$B159:$G159,1,Dashboard!$C$8)</f>
        <v>425</v>
      </c>
      <c r="C159" s="36">
        <f t="shared" si="8"/>
        <v>-2.1639042357274318E-2</v>
      </c>
      <c r="D159" s="41">
        <f ca="1">AVERAGE(OFFSET(B159,1-MIN(Dashboard!$C$6,ROW()-1),0,MIN(Dashboard!$C$6,ROW()-1),1))</f>
        <v>454.43535999999995</v>
      </c>
      <c r="E159" s="41">
        <f ca="1">AVERAGE(OFFSET(B159,1-MIN(Dashboard!$C$7,ROW()-1),0,MIN(Dashboard!$C$7,ROW()-1),1))</f>
        <v>482.33236000000016</v>
      </c>
      <c r="F159" s="1">
        <f ca="1">IF(ROW()-1&gt;Dashboard!$C$7,IF(D158&gt;E158,1,0),0)</f>
        <v>0</v>
      </c>
      <c r="G159" s="36">
        <f t="shared" ca="1" si="9"/>
        <v>0</v>
      </c>
      <c r="H159" s="27">
        <f t="shared" si="10"/>
        <v>63.555307847704654</v>
      </c>
      <c r="I159" s="27">
        <f t="shared" ca="1" si="11"/>
        <v>91.927525123360581</v>
      </c>
      <c r="J159" s="1"/>
      <c r="K159" s="1"/>
    </row>
    <row r="160" spans="1:11" x14ac:dyDescent="0.3">
      <c r="A160" s="26">
        <f>Prices!A160</f>
        <v>46171</v>
      </c>
      <c r="B160" s="40">
        <f>INDEX(Prices!$B160:$G160,1,Dashboard!$C$8)</f>
        <v>427.2</v>
      </c>
      <c r="C160" s="36">
        <f t="shared" si="8"/>
        <v>5.1764705882353379E-3</v>
      </c>
      <c r="D160" s="41">
        <f ca="1">AVERAGE(OFFSET(B160,1-MIN(Dashboard!$C$6,ROW()-1),0,MIN(Dashboard!$C$6,ROW()-1),1))</f>
        <v>452.11129999999991</v>
      </c>
      <c r="E160" s="41">
        <f ca="1">AVERAGE(OFFSET(B160,1-MIN(Dashboard!$C$7,ROW()-1),0,MIN(Dashboard!$C$7,ROW()-1),1))</f>
        <v>480.05246800000015</v>
      </c>
      <c r="F160" s="1">
        <f ca="1">IF(ROW()-1&gt;Dashboard!$C$7,IF(D159&gt;E159,1,0),0)</f>
        <v>0</v>
      </c>
      <c r="G160" s="36">
        <f t="shared" ca="1" si="9"/>
        <v>0</v>
      </c>
      <c r="H160" s="27">
        <f t="shared" si="10"/>
        <v>63.884300029504537</v>
      </c>
      <c r="I160" s="27">
        <f t="shared" ca="1" si="11"/>
        <v>91.927525123360581</v>
      </c>
      <c r="J160" s="1"/>
      <c r="K160" s="1"/>
    </row>
    <row r="161" spans="1:11" x14ac:dyDescent="0.3">
      <c r="A161" s="26">
        <f>Prices!A161</f>
        <v>46174</v>
      </c>
      <c r="B161" s="40">
        <f>INDEX(Prices!$B161:$G161,1,Dashboard!$C$8)</f>
        <v>436</v>
      </c>
      <c r="C161" s="36">
        <f t="shared" si="8"/>
        <v>2.0599250936329527E-2</v>
      </c>
      <c r="D161" s="41">
        <f ca="1">AVERAGE(OFFSET(B161,1-MIN(Dashboard!$C$6,ROW()-1),0,MIN(Dashboard!$C$6,ROW()-1),1))</f>
        <v>450.7906799999999</v>
      </c>
      <c r="E161" s="41">
        <f ca="1">AVERAGE(OFFSET(B161,1-MIN(Dashboard!$C$7,ROW()-1),0,MIN(Dashboard!$C$7,ROW()-1),1))</f>
        <v>477.73111000000017</v>
      </c>
      <c r="F161" s="1">
        <f ca="1">IF(ROW()-1&gt;Dashboard!$C$7,IF(D160&gt;E160,1,0),0)</f>
        <v>0</v>
      </c>
      <c r="G161" s="36">
        <f t="shared" ca="1" si="9"/>
        <v>0</v>
      </c>
      <c r="H161" s="27">
        <f t="shared" si="10"/>
        <v>65.200268756704062</v>
      </c>
      <c r="I161" s="27">
        <f t="shared" ca="1" si="11"/>
        <v>91.927525123360581</v>
      </c>
      <c r="J161" s="1"/>
      <c r="K161" s="1"/>
    </row>
    <row r="162" spans="1:11" x14ac:dyDescent="0.3">
      <c r="A162" s="26">
        <f>Prices!A162</f>
        <v>46175</v>
      </c>
      <c r="B162" s="40">
        <f>INDEX(Prices!$B162:$G162,1,Dashboard!$C$8)</f>
        <v>481.6</v>
      </c>
      <c r="C162" s="36">
        <f t="shared" si="8"/>
        <v>0.1045871559633027</v>
      </c>
      <c r="D162" s="41">
        <f ca="1">AVERAGE(OFFSET(B162,1-MIN(Dashboard!$C$6,ROW()-1),0,MIN(Dashboard!$C$6,ROW()-1),1))</f>
        <v>451.49304999999993</v>
      </c>
      <c r="E162" s="41">
        <f ca="1">AVERAGE(OFFSET(B162,1-MIN(Dashboard!$C$7,ROW()-1),0,MIN(Dashboard!$C$7,ROW()-1),1))</f>
        <v>476.48979400000019</v>
      </c>
      <c r="F162" s="1">
        <f ca="1">IF(ROW()-1&gt;Dashboard!$C$7,IF(D161&gt;E161,1,0),0)</f>
        <v>0</v>
      </c>
      <c r="G162" s="36">
        <f t="shared" ca="1" si="9"/>
        <v>0</v>
      </c>
      <c r="H162" s="27">
        <f t="shared" si="10"/>
        <v>72.019379434010716</v>
      </c>
      <c r="I162" s="27">
        <f t="shared" ca="1" si="11"/>
        <v>91.927525123360581</v>
      </c>
      <c r="J162" s="1"/>
      <c r="K162" s="1"/>
    </row>
    <row r="163" spans="1:11" x14ac:dyDescent="0.3">
      <c r="A163" s="26">
        <f>Prices!A163</f>
        <v>46176</v>
      </c>
      <c r="B163" s="40">
        <f>INDEX(Prices!$B163:$G163,1,Dashboard!$C$8)</f>
        <v>466.4</v>
      </c>
      <c r="C163" s="36">
        <f t="shared" si="8"/>
        <v>-3.1561461794019974E-2</v>
      </c>
      <c r="D163" s="41">
        <f ca="1">AVERAGE(OFFSET(B163,1-MIN(Dashboard!$C$6,ROW()-1),0,MIN(Dashboard!$C$6,ROW()-1),1))</f>
        <v>451.4749599999999</v>
      </c>
      <c r="E163" s="41">
        <f ca="1">AVERAGE(OFFSET(B163,1-MIN(Dashboard!$C$7,ROW()-1),0,MIN(Dashboard!$C$7,ROW()-1),1))</f>
        <v>474.93459400000023</v>
      </c>
      <c r="F163" s="1">
        <f ca="1">IF(ROW()-1&gt;Dashboard!$C$7,IF(D162&gt;E162,1,0),0)</f>
        <v>0</v>
      </c>
      <c r="G163" s="36">
        <f t="shared" ca="1" si="9"/>
        <v>0</v>
      </c>
      <c r="H163" s="27">
        <f t="shared" si="10"/>
        <v>69.74634254157516</v>
      </c>
      <c r="I163" s="27">
        <f t="shared" ca="1" si="11"/>
        <v>91.927525123360581</v>
      </c>
      <c r="J163" s="1"/>
      <c r="K163" s="1"/>
    </row>
    <row r="164" spans="1:11" x14ac:dyDescent="0.3">
      <c r="A164" s="26">
        <f>Prices!A164</f>
        <v>46177</v>
      </c>
      <c r="B164" s="40">
        <f>INDEX(Prices!$B164:$G164,1,Dashboard!$C$8)</f>
        <v>459</v>
      </c>
      <c r="C164" s="36">
        <f t="shared" si="8"/>
        <v>-1.5866209262435649E-2</v>
      </c>
      <c r="D164" s="41">
        <f ca="1">AVERAGE(OFFSET(B164,1-MIN(Dashboard!$C$6,ROW()-1),0,MIN(Dashboard!$C$6,ROW()-1),1))</f>
        <v>451.54156999999998</v>
      </c>
      <c r="E164" s="41">
        <f ca="1">AVERAGE(OFFSET(B164,1-MIN(Dashboard!$C$7,ROW()-1),0,MIN(Dashboard!$C$7,ROW()-1),1))</f>
        <v>473.97275600000023</v>
      </c>
      <c r="F164" s="1">
        <f ca="1">IF(ROW()-1&gt;Dashboard!$C$7,IF(D163&gt;E163,1,0),0)</f>
        <v>0</v>
      </c>
      <c r="G164" s="36">
        <f t="shared" ca="1" si="9"/>
        <v>0</v>
      </c>
      <c r="H164" s="27">
        <f t="shared" si="10"/>
        <v>68.639732475521015</v>
      </c>
      <c r="I164" s="27">
        <f t="shared" ca="1" si="11"/>
        <v>91.927525123360581</v>
      </c>
      <c r="J164" s="1"/>
      <c r="K164" s="1"/>
    </row>
    <row r="165" spans="1:11" x14ac:dyDescent="0.3">
      <c r="A165" s="26">
        <f>Prices!A165</f>
        <v>46178</v>
      </c>
      <c r="B165" s="40">
        <f>INDEX(Prices!$B165:$G165,1,Dashboard!$C$8)</f>
        <v>453.2</v>
      </c>
      <c r="C165" s="36">
        <f t="shared" si="8"/>
        <v>-1.263616557734204E-2</v>
      </c>
      <c r="D165" s="41">
        <f ca="1">AVERAGE(OFFSET(B165,1-MIN(Dashboard!$C$6,ROW()-1),0,MIN(Dashboard!$C$6,ROW()-1),1))</f>
        <v>450.60647499999993</v>
      </c>
      <c r="E165" s="41">
        <f ca="1">AVERAGE(OFFSET(B165,1-MIN(Dashboard!$C$7,ROW()-1),0,MIN(Dashboard!$C$7,ROW()-1),1))</f>
        <v>472.99376600000028</v>
      </c>
      <c r="F165" s="1">
        <f ca="1">IF(ROW()-1&gt;Dashboard!$C$7,IF(D164&gt;E164,1,0),0)</f>
        <v>0</v>
      </c>
      <c r="G165" s="36">
        <f t="shared" ca="1" si="9"/>
        <v>0</v>
      </c>
      <c r="H165" s="27">
        <f t="shared" si="10"/>
        <v>67.772389450775876</v>
      </c>
      <c r="I165" s="27">
        <f t="shared" ca="1" si="11"/>
        <v>91.927525123360581</v>
      </c>
      <c r="J165" s="1"/>
      <c r="K165" s="1"/>
    </row>
    <row r="166" spans="1:11" x14ac:dyDescent="0.3">
      <c r="A166" s="26">
        <f>Prices!A166</f>
        <v>46181</v>
      </c>
      <c r="B166" s="40">
        <f>INDEX(Prices!$B166:$G166,1,Dashboard!$C$8)</f>
        <v>446.4</v>
      </c>
      <c r="C166" s="36">
        <f t="shared" si="8"/>
        <v>-1.5004413062665534E-2</v>
      </c>
      <c r="D166" s="41">
        <f ca="1">AVERAGE(OFFSET(B166,1-MIN(Dashboard!$C$6,ROW()-1),0,MIN(Dashboard!$C$6,ROW()-1),1))</f>
        <v>449.62792499999995</v>
      </c>
      <c r="E166" s="41">
        <f ca="1">AVERAGE(OFFSET(B166,1-MIN(Dashboard!$C$7,ROW()-1),0,MIN(Dashboard!$C$7,ROW()-1),1))</f>
        <v>472.06856600000015</v>
      </c>
      <c r="F166" s="1">
        <f ca="1">IF(ROW()-1&gt;Dashboard!$C$7,IF(D165&gt;E165,1,0),0)</f>
        <v>0</v>
      </c>
      <c r="G166" s="36">
        <f t="shared" ca="1" si="9"/>
        <v>0</v>
      </c>
      <c r="H166" s="27">
        <f t="shared" si="10"/>
        <v>66.755504525212601</v>
      </c>
      <c r="I166" s="27">
        <f t="shared" ca="1" si="11"/>
        <v>91.927525123360581</v>
      </c>
      <c r="J166" s="1"/>
      <c r="K166" s="1"/>
    </row>
    <row r="167" spans="1:11" x14ac:dyDescent="0.3">
      <c r="A167" s="26">
        <f>Prices!A167</f>
        <v>46182</v>
      </c>
      <c r="B167" s="40">
        <f>INDEX(Prices!$B167:$G167,1,Dashboard!$C$8)</f>
        <v>453.2</v>
      </c>
      <c r="C167" s="36">
        <f t="shared" si="8"/>
        <v>1.5232974910394326E-2</v>
      </c>
      <c r="D167" s="41">
        <f ca="1">AVERAGE(OFFSET(B167,1-MIN(Dashboard!$C$6,ROW()-1),0,MIN(Dashboard!$C$6,ROW()-1),1))</f>
        <v>449.33534499999996</v>
      </c>
      <c r="E167" s="41">
        <f ca="1">AVERAGE(OFFSET(B167,1-MIN(Dashboard!$C$7,ROW()-1),0,MIN(Dashboard!$C$7,ROW()-1),1))</f>
        <v>470.97095800000011</v>
      </c>
      <c r="F167" s="1">
        <f ca="1">IF(ROW()-1&gt;Dashboard!$C$7,IF(D166&gt;E166,1,0),0)</f>
        <v>0</v>
      </c>
      <c r="G167" s="36">
        <f t="shared" ca="1" si="9"/>
        <v>0</v>
      </c>
      <c r="H167" s="27">
        <f t="shared" si="10"/>
        <v>67.772389450775876</v>
      </c>
      <c r="I167" s="27">
        <f t="shared" ca="1" si="11"/>
        <v>91.927525123360581</v>
      </c>
      <c r="J167" s="1"/>
      <c r="K167" s="1"/>
    </row>
    <row r="168" spans="1:11" x14ac:dyDescent="0.3">
      <c r="A168" s="26">
        <f>Prices!A168</f>
        <v>46183</v>
      </c>
      <c r="B168" s="40">
        <f>INDEX(Prices!$B168:$G168,1,Dashboard!$C$8)</f>
        <v>465.6</v>
      </c>
      <c r="C168" s="36">
        <f t="shared" si="8"/>
        <v>2.7360988526037078E-2</v>
      </c>
      <c r="D168" s="41">
        <f ca="1">AVERAGE(OFFSET(B168,1-MIN(Dashboard!$C$6,ROW()-1),0,MIN(Dashboard!$C$6,ROW()-1),1))</f>
        <v>450.01862</v>
      </c>
      <c r="E168" s="41">
        <f ca="1">AVERAGE(OFFSET(B168,1-MIN(Dashboard!$C$7,ROW()-1),0,MIN(Dashboard!$C$7,ROW()-1),1))</f>
        <v>470.28939200000008</v>
      </c>
      <c r="F168" s="1">
        <f ca="1">IF(ROW()-1&gt;Dashboard!$C$7,IF(D167&gt;E167,1,0),0)</f>
        <v>0</v>
      </c>
      <c r="G168" s="36">
        <f t="shared" ca="1" si="9"/>
        <v>0</v>
      </c>
      <c r="H168" s="27">
        <f t="shared" si="10"/>
        <v>69.626709020920671</v>
      </c>
      <c r="I168" s="27">
        <f t="shared" ca="1" si="11"/>
        <v>91.927525123360581</v>
      </c>
      <c r="J168" s="1"/>
      <c r="K168" s="1"/>
    </row>
    <row r="169" spans="1:11" x14ac:dyDescent="0.3">
      <c r="A169" s="26">
        <f>Prices!A169</f>
        <v>46184</v>
      </c>
      <c r="B169" s="40">
        <f>INDEX(Prices!$B169:$G169,1,Dashboard!$C$8)</f>
        <v>457.2</v>
      </c>
      <c r="C169" s="36">
        <f t="shared" si="8"/>
        <v>-1.8041237113402109E-2</v>
      </c>
      <c r="D169" s="41">
        <f ca="1">AVERAGE(OFFSET(B169,1-MIN(Dashboard!$C$6,ROW()-1),0,MIN(Dashboard!$C$6,ROW()-1),1))</f>
        <v>450.01499999999999</v>
      </c>
      <c r="E169" s="41">
        <f ca="1">AVERAGE(OFFSET(B169,1-MIN(Dashboard!$C$7,ROW()-1),0,MIN(Dashboard!$C$7,ROW()-1),1))</f>
        <v>469.63554600000009</v>
      </c>
      <c r="F169" s="1">
        <f ca="1">IF(ROW()-1&gt;Dashboard!$C$7,IF(D168&gt;E168,1,0),0)</f>
        <v>0</v>
      </c>
      <c r="G169" s="36">
        <f t="shared" ca="1" si="9"/>
        <v>0</v>
      </c>
      <c r="H169" s="27">
        <f t="shared" si="10"/>
        <v>68.37055705404839</v>
      </c>
      <c r="I169" s="27">
        <f t="shared" ca="1" si="11"/>
        <v>91.927525123360581</v>
      </c>
      <c r="J169" s="1"/>
      <c r="K169" s="1"/>
    </row>
    <row r="170" spans="1:11" x14ac:dyDescent="0.3">
      <c r="A170" s="26">
        <f>Prices!A170</f>
        <v>46185</v>
      </c>
      <c r="B170" s="40">
        <f>INDEX(Prices!$B170:$G170,1,Dashboard!$C$8)</f>
        <v>463.6</v>
      </c>
      <c r="C170" s="36">
        <f t="shared" si="8"/>
        <v>1.3998250218722808E-2</v>
      </c>
      <c r="D170" s="41">
        <f ca="1">AVERAGE(OFFSET(B170,1-MIN(Dashboard!$C$6,ROW()-1),0,MIN(Dashboard!$C$6,ROW()-1),1))</f>
        <v>450.45</v>
      </c>
      <c r="E170" s="41">
        <f ca="1">AVERAGE(OFFSET(B170,1-MIN(Dashboard!$C$7,ROW()-1),0,MIN(Dashboard!$C$7,ROW()-1),1))</f>
        <v>469.1531940000001</v>
      </c>
      <c r="F170" s="1">
        <f ca="1">IF(ROW()-1&gt;Dashboard!$C$7,IF(D169&gt;E169,1,0),0)</f>
        <v>0</v>
      </c>
      <c r="G170" s="36">
        <f t="shared" ca="1" si="9"/>
        <v>0</v>
      </c>
      <c r="H170" s="27">
        <f t="shared" si="10"/>
        <v>69.327625219284428</v>
      </c>
      <c r="I170" s="27">
        <f t="shared" ca="1" si="11"/>
        <v>91.927525123360581</v>
      </c>
      <c r="J170" s="1"/>
      <c r="K170" s="1"/>
    </row>
    <row r="171" spans="1:11" x14ac:dyDescent="0.3">
      <c r="A171" s="26">
        <f>Prices!A171</f>
        <v>46188</v>
      </c>
      <c r="B171" s="40">
        <f>INDEX(Prices!$B171:$G171,1,Dashboard!$C$8)</f>
        <v>459.6</v>
      </c>
      <c r="C171" s="36">
        <f t="shared" si="8"/>
        <v>-8.6281276962899556E-3</v>
      </c>
      <c r="D171" s="41">
        <f ca="1">AVERAGE(OFFSET(B171,1-MIN(Dashboard!$C$6,ROW()-1),0,MIN(Dashboard!$C$6,ROW()-1),1))</f>
        <v>450.60999999999996</v>
      </c>
      <c r="E171" s="41">
        <f ca="1">AVERAGE(OFFSET(B171,1-MIN(Dashboard!$C$7,ROW()-1),0,MIN(Dashboard!$C$7,ROW()-1),1))</f>
        <v>468.82412399999998</v>
      </c>
      <c r="F171" s="1">
        <f ca="1">IF(ROW()-1&gt;Dashboard!$C$7,IF(D170&gt;E170,1,0),0)</f>
        <v>0</v>
      </c>
      <c r="G171" s="36">
        <f t="shared" ca="1" si="9"/>
        <v>0</v>
      </c>
      <c r="H171" s="27">
        <f t="shared" si="10"/>
        <v>68.729457616011914</v>
      </c>
      <c r="I171" s="27">
        <f t="shared" ca="1" si="11"/>
        <v>91.927525123360581</v>
      </c>
      <c r="J171" s="1"/>
      <c r="K171" s="1"/>
    </row>
    <row r="172" spans="1:11" x14ac:dyDescent="0.3">
      <c r="A172" s="26">
        <f>Prices!A172</f>
        <v>46189</v>
      </c>
      <c r="B172" s="40">
        <f>INDEX(Prices!$B172:$G172,1,Dashboard!$C$8)</f>
        <v>447.4</v>
      </c>
      <c r="C172" s="36">
        <f t="shared" si="8"/>
        <v>-2.6544821583986189E-2</v>
      </c>
      <c r="D172" s="41">
        <f ca="1">AVERAGE(OFFSET(B172,1-MIN(Dashboard!$C$6,ROW()-1),0,MIN(Dashboard!$C$6,ROW()-1),1))</f>
        <v>450.52</v>
      </c>
      <c r="E172" s="41">
        <f ca="1">AVERAGE(OFFSET(B172,1-MIN(Dashboard!$C$7,ROW()-1),0,MIN(Dashboard!$C$7,ROW()-1),1))</f>
        <v>468.20360600000009</v>
      </c>
      <c r="F172" s="1">
        <f ca="1">IF(ROW()-1&gt;Dashboard!$C$7,IF(D171&gt;E171,1,0),0)</f>
        <v>0</v>
      </c>
      <c r="G172" s="36">
        <f t="shared" ca="1" si="9"/>
        <v>0</v>
      </c>
      <c r="H172" s="27">
        <f t="shared" si="10"/>
        <v>66.905046426030736</v>
      </c>
      <c r="I172" s="27">
        <f t="shared" ca="1" si="11"/>
        <v>91.927525123360581</v>
      </c>
      <c r="J172" s="1"/>
      <c r="K172" s="1"/>
    </row>
    <row r="173" spans="1:11" x14ac:dyDescent="0.3">
      <c r="A173" s="26">
        <f>Prices!A173</f>
        <v>46190</v>
      </c>
      <c r="B173" s="40">
        <f>INDEX(Prices!$B173:$G173,1,Dashboard!$C$8)</f>
        <v>445.4</v>
      </c>
      <c r="C173" s="36">
        <f t="shared" si="8"/>
        <v>-4.4702726866339138E-3</v>
      </c>
      <c r="D173" s="41">
        <f ca="1">AVERAGE(OFFSET(B173,1-MIN(Dashboard!$C$6,ROW()-1),0,MIN(Dashboard!$C$6,ROW()-1),1))</f>
        <v>449.78999999999996</v>
      </c>
      <c r="E173" s="41">
        <f ca="1">AVERAGE(OFFSET(B173,1-MIN(Dashboard!$C$7,ROW()-1),0,MIN(Dashboard!$C$7,ROW()-1),1))</f>
        <v>467.29399000000006</v>
      </c>
      <c r="F173" s="1">
        <f ca="1">IF(ROW()-1&gt;Dashboard!$C$7,IF(D172&gt;E172,1,0),0)</f>
        <v>0</v>
      </c>
      <c r="G173" s="36">
        <f t="shared" ca="1" si="9"/>
        <v>0</v>
      </c>
      <c r="H173" s="27">
        <f t="shared" si="10"/>
        <v>66.605962624394479</v>
      </c>
      <c r="I173" s="27">
        <f t="shared" ca="1" si="11"/>
        <v>91.927525123360581</v>
      </c>
      <c r="J173" s="1"/>
      <c r="K173" s="1"/>
    </row>
    <row r="174" spans="1:11" x14ac:dyDescent="0.3">
      <c r="A174" s="26">
        <f>Prices!A174</f>
        <v>46191</v>
      </c>
      <c r="B174" s="40">
        <f>INDEX(Prices!$B174:$G174,1,Dashboard!$C$8)</f>
        <v>440.2</v>
      </c>
      <c r="C174" s="36">
        <f t="shared" si="8"/>
        <v>-1.1674898967220404E-2</v>
      </c>
      <c r="D174" s="41">
        <f ca="1">AVERAGE(OFFSET(B174,1-MIN(Dashboard!$C$6,ROW()-1),0,MIN(Dashboard!$C$6,ROW()-1),1))</f>
        <v>449.04000000000008</v>
      </c>
      <c r="E174" s="41">
        <f ca="1">AVERAGE(OFFSET(B174,1-MIN(Dashboard!$C$7,ROW()-1),0,MIN(Dashboard!$C$7,ROW()-1),1))</f>
        <v>466.42667000000006</v>
      </c>
      <c r="F174" s="1">
        <f ca="1">IF(ROW()-1&gt;Dashboard!$C$7,IF(D173&gt;E173,1,0),0)</f>
        <v>0</v>
      </c>
      <c r="G174" s="36">
        <f t="shared" ca="1" si="9"/>
        <v>0</v>
      </c>
      <c r="H174" s="27">
        <f t="shared" si="10"/>
        <v>65.82834474014021</v>
      </c>
      <c r="I174" s="27">
        <f t="shared" ca="1" si="11"/>
        <v>91.927525123360581</v>
      </c>
      <c r="J174" s="1"/>
      <c r="K174" s="1"/>
    </row>
    <row r="175" spans="1:11" x14ac:dyDescent="0.3">
      <c r="A175" s="26">
        <f>Prices!A175</f>
        <v>46195</v>
      </c>
      <c r="B175" s="40">
        <f>INDEX(Prices!$B175:$G175,1,Dashboard!$C$8)</f>
        <v>433</v>
      </c>
      <c r="C175" s="36">
        <f t="shared" si="8"/>
        <v>-1.6356201726487885E-2</v>
      </c>
      <c r="D175" s="41">
        <f ca="1">AVERAGE(OFFSET(B175,1-MIN(Dashboard!$C$6,ROW()-1),0,MIN(Dashboard!$C$6,ROW()-1),1))</f>
        <v>448.73999999999995</v>
      </c>
      <c r="E175" s="41">
        <f ca="1">AVERAGE(OFFSET(B175,1-MIN(Dashboard!$C$7,ROW()-1),0,MIN(Dashboard!$C$7,ROW()-1),1))</f>
        <v>465.04367999999999</v>
      </c>
      <c r="F175" s="1">
        <f ca="1">IF(ROW()-1&gt;Dashboard!$C$7,IF(D174&gt;E174,1,0),0)</f>
        <v>0</v>
      </c>
      <c r="G175" s="36">
        <f t="shared" ca="1" si="9"/>
        <v>0</v>
      </c>
      <c r="H175" s="27">
        <f t="shared" si="10"/>
        <v>64.751643054249683</v>
      </c>
      <c r="I175" s="27">
        <f t="shared" ca="1" si="11"/>
        <v>91.927525123360581</v>
      </c>
      <c r="J175" s="1"/>
      <c r="K175" s="1"/>
    </row>
    <row r="176" spans="1:11" x14ac:dyDescent="0.3">
      <c r="A176" s="26">
        <f>Prices!A176</f>
        <v>46196</v>
      </c>
      <c r="B176" s="40">
        <f>INDEX(Prices!$B176:$G176,1,Dashboard!$C$8)</f>
        <v>414.8</v>
      </c>
      <c r="C176" s="36">
        <f t="shared" si="8"/>
        <v>-4.2032332563510355E-2</v>
      </c>
      <c r="D176" s="41">
        <f ca="1">AVERAGE(OFFSET(B176,1-MIN(Dashboard!$C$6,ROW()-1),0,MIN(Dashboard!$C$6,ROW()-1),1))</f>
        <v>447.40999999999997</v>
      </c>
      <c r="E176" s="41">
        <f ca="1">AVERAGE(OFFSET(B176,1-MIN(Dashboard!$C$7,ROW()-1),0,MIN(Dashboard!$C$7,ROW()-1),1))</f>
        <v>463.28680600000007</v>
      </c>
      <c r="F176" s="1">
        <f ca="1">IF(ROW()-1&gt;Dashboard!$C$7,IF(D175&gt;E175,1,0),0)</f>
        <v>0</v>
      </c>
      <c r="G176" s="36">
        <f t="shared" ca="1" si="9"/>
        <v>0</v>
      </c>
      <c r="H176" s="27">
        <f t="shared" si="10"/>
        <v>62.029980459359749</v>
      </c>
      <c r="I176" s="27">
        <f t="shared" ca="1" si="11"/>
        <v>91.927525123360581</v>
      </c>
      <c r="J176" s="1"/>
      <c r="K176" s="1"/>
    </row>
    <row r="177" spans="1:11" x14ac:dyDescent="0.3">
      <c r="A177" s="26">
        <f>Prices!A177</f>
        <v>46197</v>
      </c>
      <c r="B177" s="40">
        <f>INDEX(Prices!$B177:$G177,1,Dashboard!$C$8)</f>
        <v>428.8</v>
      </c>
      <c r="C177" s="36">
        <f t="shared" si="8"/>
        <v>3.3751205400192941E-2</v>
      </c>
      <c r="D177" s="41">
        <f ca="1">AVERAGE(OFFSET(B177,1-MIN(Dashboard!$C$6,ROW()-1),0,MIN(Dashboard!$C$6,ROW()-1),1))</f>
        <v>446.89999999999992</v>
      </c>
      <c r="E177" s="41">
        <f ca="1">AVERAGE(OFFSET(B177,1-MIN(Dashboard!$C$7,ROW()-1),0,MIN(Dashboard!$C$7,ROW()-1),1))</f>
        <v>461.88901000000004</v>
      </c>
      <c r="F177" s="1">
        <f ca="1">IF(ROW()-1&gt;Dashboard!$C$7,IF(D176&gt;E176,1,0),0)</f>
        <v>0</v>
      </c>
      <c r="G177" s="36">
        <f t="shared" ca="1" si="9"/>
        <v>0</v>
      </c>
      <c r="H177" s="27">
        <f t="shared" si="10"/>
        <v>64.12356707081355</v>
      </c>
      <c r="I177" s="27">
        <f t="shared" ca="1" si="11"/>
        <v>91.927525123360581</v>
      </c>
      <c r="J177" s="1"/>
      <c r="K177" s="1"/>
    </row>
    <row r="178" spans="1:11" x14ac:dyDescent="0.3">
      <c r="A178" s="26">
        <f>Prices!A178</f>
        <v>46198</v>
      </c>
      <c r="B178" s="40">
        <f>INDEX(Prices!$B178:$G178,1,Dashboard!$C$8)</f>
        <v>421.4</v>
      </c>
      <c r="C178" s="36">
        <f t="shared" si="8"/>
        <v>-1.7257462686567249E-2</v>
      </c>
      <c r="D178" s="41">
        <f ca="1">AVERAGE(OFFSET(B178,1-MIN(Dashboard!$C$6,ROW()-1),0,MIN(Dashboard!$C$6,ROW()-1),1))</f>
        <v>446.25</v>
      </c>
      <c r="E178" s="41">
        <f ca="1">AVERAGE(OFFSET(B178,1-MIN(Dashboard!$C$7,ROW()-1),0,MIN(Dashboard!$C$7,ROW()-1),1))</f>
        <v>460.62987400000003</v>
      </c>
      <c r="F178" s="1">
        <f ca="1">IF(ROW()-1&gt;Dashboard!$C$7,IF(D177&gt;E177,1,0),0)</f>
        <v>0</v>
      </c>
      <c r="G178" s="36">
        <f t="shared" ca="1" si="9"/>
        <v>0</v>
      </c>
      <c r="H178" s="27">
        <f t="shared" si="10"/>
        <v>63.016957004759391</v>
      </c>
      <c r="I178" s="27">
        <f t="shared" ca="1" si="11"/>
        <v>91.927525123360581</v>
      </c>
      <c r="J178" s="1"/>
      <c r="K178" s="1"/>
    </row>
    <row r="179" spans="1:11" x14ac:dyDescent="0.3">
      <c r="A179" s="26">
        <f>Prices!A179</f>
        <v>46199</v>
      </c>
      <c r="B179" s="40">
        <f>INDEX(Prices!$B179:$G179,1,Dashboard!$C$8)</f>
        <v>411.8</v>
      </c>
      <c r="C179" s="36">
        <f t="shared" si="8"/>
        <v>-2.2781205505457924E-2</v>
      </c>
      <c r="D179" s="41">
        <f ca="1">AVERAGE(OFFSET(B179,1-MIN(Dashboard!$C$6,ROW()-1),0,MIN(Dashboard!$C$6,ROW()-1),1))</f>
        <v>445.59</v>
      </c>
      <c r="E179" s="41">
        <f ca="1">AVERAGE(OFFSET(B179,1-MIN(Dashboard!$C$7,ROW()-1),0,MIN(Dashboard!$C$7,ROW()-1),1))</f>
        <v>459.11547400000001</v>
      </c>
      <c r="F179" s="1">
        <f ca="1">IF(ROW()-1&gt;Dashboard!$C$7,IF(D178&gt;E178,1,0),0)</f>
        <v>0</v>
      </c>
      <c r="G179" s="36">
        <f t="shared" ca="1" si="9"/>
        <v>0</v>
      </c>
      <c r="H179" s="27">
        <f t="shared" si="10"/>
        <v>61.581354756905363</v>
      </c>
      <c r="I179" s="27">
        <f t="shared" ca="1" si="11"/>
        <v>91.927525123360581</v>
      </c>
      <c r="J179" s="1"/>
      <c r="K179" s="1"/>
    </row>
    <row r="180" spans="1:11" x14ac:dyDescent="0.3">
      <c r="A180" s="26">
        <f>Prices!A180</f>
        <v>46202</v>
      </c>
      <c r="B180" s="40">
        <f>INDEX(Prices!$B180:$G180,1,Dashboard!$C$8)</f>
        <v>420.2</v>
      </c>
      <c r="C180" s="36">
        <f t="shared" si="8"/>
        <v>2.0398251578436E-2</v>
      </c>
      <c r="D180" s="41">
        <f ca="1">AVERAGE(OFFSET(B180,1-MIN(Dashboard!$C$6,ROW()-1),0,MIN(Dashboard!$C$6,ROW()-1),1))</f>
        <v>445.23999999999995</v>
      </c>
      <c r="E180" s="41">
        <f ca="1">AVERAGE(OFFSET(B180,1-MIN(Dashboard!$C$7,ROW()-1),0,MIN(Dashboard!$C$7,ROW()-1),1))</f>
        <v>457.65441200000009</v>
      </c>
      <c r="F180" s="1">
        <f ca="1">IF(ROW()-1&gt;Dashboard!$C$7,IF(D179&gt;E179,1,0),0)</f>
        <v>0</v>
      </c>
      <c r="G180" s="36">
        <f t="shared" ca="1" si="9"/>
        <v>0</v>
      </c>
      <c r="H180" s="27">
        <f t="shared" si="10"/>
        <v>62.837506723777636</v>
      </c>
      <c r="I180" s="27">
        <f t="shared" ca="1" si="11"/>
        <v>91.927525123360581</v>
      </c>
      <c r="J180" s="1"/>
      <c r="K180" s="1"/>
    </row>
    <row r="181" spans="1:11" x14ac:dyDescent="0.3">
      <c r="A181" s="26">
        <f>Prices!A181</f>
        <v>46203</v>
      </c>
      <c r="B181" s="40">
        <f>INDEX(Prices!$B181:$G181,1,Dashboard!$C$8)</f>
        <v>429.8</v>
      </c>
      <c r="C181" s="36">
        <f t="shared" si="8"/>
        <v>2.2846263683960144E-2</v>
      </c>
      <c r="D181" s="41">
        <f ca="1">AVERAGE(OFFSET(B181,1-MIN(Dashboard!$C$6,ROW()-1),0,MIN(Dashboard!$C$6,ROW()-1),1))</f>
        <v>444.92999999999995</v>
      </c>
      <c r="E181" s="41">
        <f ca="1">AVERAGE(OFFSET(B181,1-MIN(Dashboard!$C$7,ROW()-1),0,MIN(Dashboard!$C$7,ROW()-1),1))</f>
        <v>456.02949599999999</v>
      </c>
      <c r="F181" s="1">
        <f ca="1">IF(ROW()-1&gt;Dashboard!$C$7,IF(D180&gt;E180,1,0),0)</f>
        <v>0</v>
      </c>
      <c r="G181" s="36">
        <f t="shared" ca="1" si="9"/>
        <v>0</v>
      </c>
      <c r="H181" s="27">
        <f t="shared" si="10"/>
        <v>64.273108971631672</v>
      </c>
      <c r="I181" s="27">
        <f t="shared" ca="1" si="11"/>
        <v>91.927525123360581</v>
      </c>
      <c r="J181" s="1"/>
      <c r="K181" s="1"/>
    </row>
    <row r="182" spans="1:11" x14ac:dyDescent="0.3">
      <c r="A182" s="26">
        <f>Prices!A182</f>
        <v>46205</v>
      </c>
      <c r="B182" s="40">
        <f>INDEX(Prices!$B182:$G182,1,Dashboard!$C$8)</f>
        <v>430.2</v>
      </c>
      <c r="C182" s="36">
        <f t="shared" si="8"/>
        <v>9.3066542577946443E-4</v>
      </c>
      <c r="D182" s="41">
        <f ca="1">AVERAGE(OFFSET(B182,1-MIN(Dashboard!$C$6,ROW()-1),0,MIN(Dashboard!$C$6,ROW()-1),1))</f>
        <v>442.35999999999996</v>
      </c>
      <c r="E182" s="41">
        <f ca="1">AVERAGE(OFFSET(B182,1-MIN(Dashboard!$C$7,ROW()-1),0,MIN(Dashboard!$C$7,ROW()-1),1))</f>
        <v>454.54108200000002</v>
      </c>
      <c r="F182" s="1">
        <f ca="1">IF(ROW()-1&gt;Dashboard!$C$7,IF(D181&gt;E181,1,0),0)</f>
        <v>0</v>
      </c>
      <c r="G182" s="36">
        <f t="shared" ca="1" si="9"/>
        <v>0</v>
      </c>
      <c r="H182" s="27">
        <f t="shared" si="10"/>
        <v>64.332925731958923</v>
      </c>
      <c r="I182" s="27">
        <f t="shared" ca="1" si="11"/>
        <v>91.927525123360581</v>
      </c>
      <c r="J182" s="1"/>
      <c r="K182" s="1"/>
    </row>
    <row r="183" spans="1:11" x14ac:dyDescent="0.3">
      <c r="A183" s="26">
        <f>Prices!A183</f>
        <v>46206</v>
      </c>
      <c r="B183" s="40">
        <f>INDEX(Prices!$B183:$G183,1,Dashboard!$C$8)</f>
        <v>431.2</v>
      </c>
      <c r="C183" s="36">
        <f t="shared" si="8"/>
        <v>2.3245002324501218E-3</v>
      </c>
      <c r="D183" s="41">
        <f ca="1">AVERAGE(OFFSET(B183,1-MIN(Dashboard!$C$6,ROW()-1),0,MIN(Dashboard!$C$6,ROW()-1),1))</f>
        <v>440.6</v>
      </c>
      <c r="E183" s="41">
        <f ca="1">AVERAGE(OFFSET(B183,1-MIN(Dashboard!$C$7,ROW()-1),0,MIN(Dashboard!$C$7,ROW()-1),1))</f>
        <v>452.83543200000008</v>
      </c>
      <c r="F183" s="1">
        <f ca="1">IF(ROW()-1&gt;Dashboard!$C$7,IF(D182&gt;E182,1,0),0)</f>
        <v>0</v>
      </c>
      <c r="G183" s="36">
        <f t="shared" ca="1" si="9"/>
        <v>0</v>
      </c>
      <c r="H183" s="27">
        <f t="shared" si="10"/>
        <v>64.482467632777059</v>
      </c>
      <c r="I183" s="27">
        <f t="shared" ca="1" si="11"/>
        <v>91.927525123360581</v>
      </c>
      <c r="J183" s="1"/>
      <c r="K183" s="1"/>
    </row>
    <row r="184" spans="1:11" x14ac:dyDescent="0.3">
      <c r="A184" s="26">
        <f>Prices!A184</f>
        <v>46209</v>
      </c>
      <c r="B184" s="40">
        <f>INDEX(Prices!$B184:$G184,1,Dashboard!$C$8)</f>
        <v>452</v>
      </c>
      <c r="C184" s="36">
        <f t="shared" si="8"/>
        <v>4.8237476808905333E-2</v>
      </c>
      <c r="D184" s="41">
        <f ca="1">AVERAGE(OFFSET(B184,1-MIN(Dashboard!$C$6,ROW()-1),0,MIN(Dashboard!$C$6,ROW()-1),1))</f>
        <v>440.25</v>
      </c>
      <c r="E184" s="41">
        <f ca="1">AVERAGE(OFFSET(B184,1-MIN(Dashboard!$C$7,ROW()-1),0,MIN(Dashboard!$C$7,ROW()-1),1))</f>
        <v>451.61497600000007</v>
      </c>
      <c r="F184" s="1">
        <f ca="1">IF(ROW()-1&gt;Dashboard!$C$7,IF(D183&gt;E183,1,0),0)</f>
        <v>0</v>
      </c>
      <c r="G184" s="36">
        <f t="shared" ca="1" si="9"/>
        <v>0</v>
      </c>
      <c r="H184" s="27">
        <f t="shared" si="10"/>
        <v>67.592939169794136</v>
      </c>
      <c r="I184" s="27">
        <f t="shared" ca="1" si="11"/>
        <v>91.927525123360581</v>
      </c>
      <c r="J184" s="1"/>
      <c r="K184" s="1"/>
    </row>
    <row r="185" spans="1:11" x14ac:dyDescent="0.3">
      <c r="A185" s="26">
        <f>Prices!A185</f>
        <v>46210</v>
      </c>
      <c r="B185" s="40">
        <f>INDEX(Prices!$B185:$G185,1,Dashboard!$C$8)</f>
        <v>461.2</v>
      </c>
      <c r="C185" s="36">
        <f t="shared" si="8"/>
        <v>2.0353982300884921E-2</v>
      </c>
      <c r="D185" s="41">
        <f ca="1">AVERAGE(OFFSET(B185,1-MIN(Dashboard!$C$6,ROW()-1),0,MIN(Dashboard!$C$6,ROW()-1),1))</f>
        <v>440.65</v>
      </c>
      <c r="E185" s="41">
        <f ca="1">AVERAGE(OFFSET(B185,1-MIN(Dashboard!$C$7,ROW()-1),0,MIN(Dashboard!$C$7,ROW()-1),1))</f>
        <v>450.87506400000012</v>
      </c>
      <c r="F185" s="1">
        <f ca="1">IF(ROW()-1&gt;Dashboard!$C$7,IF(D184&gt;E184,1,0),0)</f>
        <v>0</v>
      </c>
      <c r="G185" s="36">
        <f t="shared" ca="1" si="9"/>
        <v>0</v>
      </c>
      <c r="H185" s="27">
        <f t="shared" si="10"/>
        <v>68.968724657320919</v>
      </c>
      <c r="I185" s="27">
        <f t="shared" ca="1" si="11"/>
        <v>91.927525123360581</v>
      </c>
      <c r="J185" s="1"/>
      <c r="K185" s="1"/>
    </row>
    <row r="186" spans="1:11" x14ac:dyDescent="0.3">
      <c r="A186" s="26">
        <f>Prices!A186</f>
        <v>46211</v>
      </c>
      <c r="B186" s="40">
        <f>INDEX(Prices!$B186:$G186,1,Dashboard!$C$8)</f>
        <v>478.8</v>
      </c>
      <c r="C186" s="36">
        <f t="shared" si="8"/>
        <v>3.8161318300086844E-2</v>
      </c>
      <c r="D186" s="41">
        <f ca="1">AVERAGE(OFFSET(B186,1-MIN(Dashboard!$C$6,ROW()-1),0,MIN(Dashboard!$C$6,ROW()-1),1))</f>
        <v>442.27</v>
      </c>
      <c r="E186" s="41">
        <f ca="1">AVERAGE(OFFSET(B186,1-MIN(Dashboard!$C$7,ROW()-1),0,MIN(Dashboard!$C$7,ROW()-1),1))</f>
        <v>450.66112600000008</v>
      </c>
      <c r="F186" s="1">
        <f ca="1">IF(ROW()-1&gt;Dashboard!$C$7,IF(D185&gt;E185,1,0),0)</f>
        <v>0</v>
      </c>
      <c r="G186" s="36">
        <f t="shared" ca="1" si="9"/>
        <v>0</v>
      </c>
      <c r="H186" s="27">
        <f t="shared" si="10"/>
        <v>71.600662111719984</v>
      </c>
      <c r="I186" s="27">
        <f t="shared" ca="1" si="11"/>
        <v>91.927525123360581</v>
      </c>
      <c r="J186" s="1"/>
      <c r="K186" s="1"/>
    </row>
    <row r="187" spans="1:11" x14ac:dyDescent="0.3">
      <c r="A187" s="26">
        <f>Prices!A187</f>
        <v>46212</v>
      </c>
      <c r="B187" s="40">
        <f>INDEX(Prices!$B187:$G187,1,Dashboard!$C$8)</f>
        <v>469.6</v>
      </c>
      <c r="C187" s="36">
        <f t="shared" si="8"/>
        <v>-1.9214703425229684E-2</v>
      </c>
      <c r="D187" s="41">
        <f ca="1">AVERAGE(OFFSET(B187,1-MIN(Dashboard!$C$6,ROW()-1),0,MIN(Dashboard!$C$6,ROW()-1),1))</f>
        <v>443.09</v>
      </c>
      <c r="E187" s="41">
        <f ca="1">AVERAGE(OFFSET(B187,1-MIN(Dashboard!$C$7,ROW()-1),0,MIN(Dashboard!$C$7,ROW()-1),1))</f>
        <v>450.29877400000004</v>
      </c>
      <c r="F187" s="1">
        <f ca="1">IF(ROW()-1&gt;Dashboard!$C$7,IF(D186&gt;E186,1,0),0)</f>
        <v>0</v>
      </c>
      <c r="G187" s="36">
        <f t="shared" ca="1" si="9"/>
        <v>0</v>
      </c>
      <c r="H187" s="27">
        <f t="shared" si="10"/>
        <v>70.2248766241932</v>
      </c>
      <c r="I187" s="27">
        <f t="shared" ca="1" si="11"/>
        <v>91.927525123360581</v>
      </c>
      <c r="J187" s="1"/>
      <c r="K187" s="1"/>
    </row>
    <row r="188" spans="1:11" x14ac:dyDescent="0.3">
      <c r="A188" s="26">
        <f>Prices!A188</f>
        <v>46213</v>
      </c>
      <c r="B188" s="40">
        <f>INDEX(Prices!$B188:$G188,1,Dashboard!$C$8)</f>
        <v>460.2</v>
      </c>
      <c r="C188" s="36">
        <f t="shared" si="8"/>
        <v>-2.0017035775127812E-2</v>
      </c>
      <c r="D188" s="41">
        <f ca="1">AVERAGE(OFFSET(B188,1-MIN(Dashboard!$C$6,ROW()-1),0,MIN(Dashboard!$C$6,ROW()-1),1))</f>
        <v>442.82000000000005</v>
      </c>
      <c r="E188" s="41">
        <f ca="1">AVERAGE(OFFSET(B188,1-MIN(Dashboard!$C$7,ROW()-1),0,MIN(Dashboard!$C$7,ROW()-1),1))</f>
        <v>450.04101200000002</v>
      </c>
      <c r="F188" s="1">
        <f ca="1">IF(ROW()-1&gt;Dashboard!$C$7,IF(D187&gt;E187,1,0),0)</f>
        <v>0</v>
      </c>
      <c r="G188" s="36">
        <f t="shared" ca="1" si="9"/>
        <v>0</v>
      </c>
      <c r="H188" s="27">
        <f t="shared" si="10"/>
        <v>68.819182756502784</v>
      </c>
      <c r="I188" s="27">
        <f t="shared" ca="1" si="11"/>
        <v>91.927525123360581</v>
      </c>
      <c r="J188" s="1"/>
      <c r="K188" s="1"/>
    </row>
    <row r="189" spans="1:11" x14ac:dyDescent="0.3">
      <c r="A189" s="26">
        <f>Prices!A189</f>
        <v>46216</v>
      </c>
      <c r="B189" s="40">
        <f>INDEX(Prices!$B189:$G189,1,Dashboard!$C$8)</f>
        <v>457.6</v>
      </c>
      <c r="C189" s="36">
        <f t="shared" si="8"/>
        <v>-5.6497175141242417E-3</v>
      </c>
      <c r="D189" s="41">
        <f ca="1">AVERAGE(OFFSET(B189,1-MIN(Dashboard!$C$6,ROW()-1),0,MIN(Dashboard!$C$6,ROW()-1),1))</f>
        <v>442.84000000000003</v>
      </c>
      <c r="E189" s="41">
        <f ca="1">AVERAGE(OFFSET(B189,1-MIN(Dashboard!$C$7,ROW()-1),0,MIN(Dashboard!$C$7,ROW()-1),1))</f>
        <v>449.82614400000006</v>
      </c>
      <c r="F189" s="1">
        <f ca="1">IF(ROW()-1&gt;Dashboard!$C$7,IF(D188&gt;E188,1,0),0)</f>
        <v>0</v>
      </c>
      <c r="G189" s="36">
        <f t="shared" ca="1" si="9"/>
        <v>0</v>
      </c>
      <c r="H189" s="27">
        <f t="shared" si="10"/>
        <v>68.430373814375656</v>
      </c>
      <c r="I189" s="27">
        <f t="shared" ca="1" si="11"/>
        <v>91.927525123360581</v>
      </c>
      <c r="J189" s="1"/>
      <c r="K189" s="1"/>
    </row>
    <row r="190" spans="1:11" x14ac:dyDescent="0.3">
      <c r="A190" s="26">
        <f>Prices!A190</f>
        <v>46217</v>
      </c>
      <c r="B190" s="40">
        <f>INDEX(Prices!$B190:$G190,1,Dashboard!$C$8)</f>
        <v>456.2</v>
      </c>
      <c r="C190" s="36">
        <f t="shared" si="8"/>
        <v>-3.0594405594406293E-3</v>
      </c>
      <c r="D190" s="41">
        <f ca="1">AVERAGE(OFFSET(B190,1-MIN(Dashboard!$C$6,ROW()-1),0,MIN(Dashboard!$C$6,ROW()-1),1))</f>
        <v>442.47000000000008</v>
      </c>
      <c r="E190" s="41">
        <f ca="1">AVERAGE(OFFSET(B190,1-MIN(Dashboard!$C$7,ROW()-1),0,MIN(Dashboard!$C$7,ROW()-1),1))</f>
        <v>449.47651999999999</v>
      </c>
      <c r="F190" s="1">
        <f ca="1">IF(ROW()-1&gt;Dashboard!$C$7,IF(D189&gt;E189,1,0),0)</f>
        <v>0</v>
      </c>
      <c r="G190" s="36">
        <f t="shared" ca="1" si="9"/>
        <v>0</v>
      </c>
      <c r="H190" s="27">
        <f t="shared" si="10"/>
        <v>68.221015153230269</v>
      </c>
      <c r="I190" s="27">
        <f t="shared" ca="1" si="11"/>
        <v>91.927525123360581</v>
      </c>
      <c r="J190" s="1"/>
      <c r="K190" s="1"/>
    </row>
    <row r="191" spans="1:11" x14ac:dyDescent="0.3">
      <c r="A191" s="26">
        <f>Prices!A191</f>
        <v>46218</v>
      </c>
      <c r="B191" s="40">
        <f>INDEX(Prices!$B191:$G191,1,Dashboard!$C$8)</f>
        <v>474</v>
      </c>
      <c r="C191" s="36">
        <f t="shared" si="8"/>
        <v>3.9017974572555847E-2</v>
      </c>
      <c r="D191" s="41">
        <f ca="1">AVERAGE(OFFSET(B191,1-MIN(Dashboard!$C$6,ROW()-1),0,MIN(Dashboard!$C$6,ROW()-1),1))</f>
        <v>443.19000000000005</v>
      </c>
      <c r="E191" s="41">
        <f ca="1">AVERAGE(OFFSET(B191,1-MIN(Dashboard!$C$7,ROW()-1),0,MIN(Dashboard!$C$7,ROW()-1),1))</f>
        <v>449.70827200000002</v>
      </c>
      <c r="F191" s="1">
        <f ca="1">IF(ROW()-1&gt;Dashboard!$C$7,IF(D190&gt;E190,1,0),0)</f>
        <v>0</v>
      </c>
      <c r="G191" s="36">
        <f t="shared" ca="1" si="9"/>
        <v>0</v>
      </c>
      <c r="H191" s="27">
        <f t="shared" si="10"/>
        <v>70.882860987792952</v>
      </c>
      <c r="I191" s="27">
        <f t="shared" ca="1" si="11"/>
        <v>91.927525123360581</v>
      </c>
      <c r="J191" s="1"/>
      <c r="K191" s="1"/>
    </row>
    <row r="192" spans="1:11" x14ac:dyDescent="0.3">
      <c r="A192" s="26">
        <f>Prices!A192</f>
        <v>46219</v>
      </c>
      <c r="B192" s="40">
        <f>INDEX(Prices!$B192:$G192,1,Dashboard!$C$8)</f>
        <v>484</v>
      </c>
      <c r="C192" s="36">
        <f t="shared" si="8"/>
        <v>2.1097046413502074E-2</v>
      </c>
      <c r="D192" s="41">
        <f ca="1">AVERAGE(OFFSET(B192,1-MIN(Dashboard!$C$6,ROW()-1),0,MIN(Dashboard!$C$6,ROW()-1),1))</f>
        <v>445.0200000000001</v>
      </c>
      <c r="E192" s="41">
        <f ca="1">AVERAGE(OFFSET(B192,1-MIN(Dashboard!$C$7,ROW()-1),0,MIN(Dashboard!$C$7,ROW()-1),1))</f>
        <v>450.03721999999999</v>
      </c>
      <c r="F192" s="1">
        <f ca="1">IF(ROW()-1&gt;Dashboard!$C$7,IF(D191&gt;E191,1,0),0)</f>
        <v>0</v>
      </c>
      <c r="G192" s="36">
        <f t="shared" ca="1" si="9"/>
        <v>0</v>
      </c>
      <c r="H192" s="27">
        <f t="shared" si="10"/>
        <v>72.378279995974239</v>
      </c>
      <c r="I192" s="27">
        <f t="shared" ca="1" si="11"/>
        <v>91.927525123360581</v>
      </c>
      <c r="J192" s="1"/>
      <c r="K192" s="1"/>
    </row>
    <row r="193" spans="1:11" x14ac:dyDescent="0.3">
      <c r="A193" s="26">
        <f>Prices!A193</f>
        <v>46220</v>
      </c>
      <c r="B193" s="40">
        <f>INDEX(Prices!$B193:$G193,1,Dashboard!$C$8)</f>
        <v>461.6</v>
      </c>
      <c r="C193" s="36">
        <f t="shared" si="8"/>
        <v>-4.6280991735537125E-2</v>
      </c>
      <c r="D193" s="41">
        <f ca="1">AVERAGE(OFFSET(B193,1-MIN(Dashboard!$C$6,ROW()-1),0,MIN(Dashboard!$C$6,ROW()-1),1))</f>
        <v>445.83000000000004</v>
      </c>
      <c r="E193" s="41">
        <f ca="1">AVERAGE(OFFSET(B193,1-MIN(Dashboard!$C$7,ROW()-1),0,MIN(Dashboard!$C$7,ROW()-1),1))</f>
        <v>449.9339839999999</v>
      </c>
      <c r="F193" s="1">
        <f ca="1">IF(ROW()-1&gt;Dashboard!$C$7,IF(D192&gt;E192,1,0),0)</f>
        <v>0</v>
      </c>
      <c r="G193" s="36">
        <f t="shared" ca="1" si="9"/>
        <v>0</v>
      </c>
      <c r="H193" s="27">
        <f t="shared" si="10"/>
        <v>69.028541417648157</v>
      </c>
      <c r="I193" s="27">
        <f t="shared" ca="1" si="11"/>
        <v>91.927525123360581</v>
      </c>
      <c r="J193" s="1"/>
      <c r="K193" s="1"/>
    </row>
    <row r="194" spans="1:11" x14ac:dyDescent="0.3">
      <c r="A194" s="26">
        <f>Prices!A194</f>
        <v>46223</v>
      </c>
      <c r="B194" s="40">
        <f>INDEX(Prices!$B194:$G194,1,Dashboard!$C$8)</f>
        <v>477.8</v>
      </c>
      <c r="C194" s="36">
        <f t="shared" si="8"/>
        <v>3.5095320623916848E-2</v>
      </c>
      <c r="D194" s="41">
        <f ca="1">AVERAGE(OFFSET(B194,1-MIN(Dashboard!$C$6,ROW()-1),0,MIN(Dashboard!$C$6,ROW()-1),1))</f>
        <v>447.70999999999992</v>
      </c>
      <c r="E194" s="41">
        <f ca="1">AVERAGE(OFFSET(B194,1-MIN(Dashboard!$C$7,ROW()-1),0,MIN(Dashboard!$C$7,ROW()-1),1))</f>
        <v>450.33662799999996</v>
      </c>
      <c r="F194" s="1">
        <f ca="1">IF(ROW()-1&gt;Dashboard!$C$7,IF(D193&gt;E193,1,0),0)</f>
        <v>0</v>
      </c>
      <c r="G194" s="36">
        <f t="shared" ca="1" si="9"/>
        <v>0</v>
      </c>
      <c r="H194" s="27">
        <f t="shared" si="10"/>
        <v>71.451120210901848</v>
      </c>
      <c r="I194" s="27">
        <f t="shared" ca="1" si="11"/>
        <v>91.927525123360581</v>
      </c>
      <c r="J194" s="1"/>
      <c r="K194" s="1"/>
    </row>
    <row r="195" spans="1:11" x14ac:dyDescent="0.3">
      <c r="A195" s="26">
        <f>Prices!A195</f>
        <v>46224</v>
      </c>
      <c r="B195" s="40">
        <f>INDEX(Prices!$B195:$G195,1,Dashboard!$C$8)</f>
        <v>474</v>
      </c>
      <c r="C195" s="36">
        <f t="shared" ref="C195:C258" si="12">B195/B194-1</f>
        <v>-7.9531184596065563E-3</v>
      </c>
      <c r="D195" s="41">
        <f ca="1">AVERAGE(OFFSET(B195,1-MIN(Dashboard!$C$6,ROW()-1),0,MIN(Dashboard!$C$6,ROW()-1),1))</f>
        <v>449.76000000000005</v>
      </c>
      <c r="E195" s="41">
        <f ca="1">AVERAGE(OFFSET(B195,1-MIN(Dashboard!$C$7,ROW()-1),0,MIN(Dashboard!$C$7,ROW()-1),1))</f>
        <v>450.37858999999992</v>
      </c>
      <c r="F195" s="1">
        <f ca="1">IF(ROW()-1&gt;Dashboard!$C$7,IF(D194&gt;E194,1,0),0)</f>
        <v>0</v>
      </c>
      <c r="G195" s="36">
        <f t="shared" ref="G195:G258" ca="1" si="13">F195*C195</f>
        <v>0</v>
      </c>
      <c r="H195" s="27">
        <f t="shared" ref="H195:H257" si="14">H194*(1+C195)</f>
        <v>70.882860987792952</v>
      </c>
      <c r="I195" s="27">
        <f t="shared" ref="I195:I257" ca="1" si="15">I194*(1+G195)</f>
        <v>91.927525123360581</v>
      </c>
      <c r="J195" s="1"/>
      <c r="K195" s="1"/>
    </row>
    <row r="196" spans="1:11" x14ac:dyDescent="0.3">
      <c r="A196" s="26">
        <f>Prices!A196</f>
        <v>46225</v>
      </c>
      <c r="B196" s="40">
        <f>INDEX(Prices!$B196:$G196,1,Dashboard!$C$8)</f>
        <v>440.6</v>
      </c>
      <c r="C196" s="36">
        <f t="shared" si="12"/>
        <v>-7.0464135021097052E-2</v>
      </c>
      <c r="D196" s="41">
        <f ca="1">AVERAGE(OFFSET(B196,1-MIN(Dashboard!$C$6,ROW()-1),0,MIN(Dashboard!$C$6,ROW()-1),1))</f>
        <v>451.05000000000007</v>
      </c>
      <c r="E196" s="41">
        <f ca="1">AVERAGE(OFFSET(B196,1-MIN(Dashboard!$C$7,ROW()-1),0,MIN(Dashboard!$C$7,ROW()-1),1))</f>
        <v>449.87116999999989</v>
      </c>
      <c r="F196" s="1">
        <f ca="1">IF(ROW()-1&gt;Dashboard!$C$7,IF(D195&gt;E195,1,0),0)</f>
        <v>0</v>
      </c>
      <c r="G196" s="36">
        <f t="shared" ca="1" si="13"/>
        <v>0</v>
      </c>
      <c r="H196" s="27">
        <f t="shared" si="14"/>
        <v>65.888161500467461</v>
      </c>
      <c r="I196" s="27">
        <f t="shared" ca="1" si="15"/>
        <v>91.927525123360581</v>
      </c>
      <c r="J196" s="1"/>
      <c r="K196" s="1"/>
    </row>
    <row r="197" spans="1:11" x14ac:dyDescent="0.3">
      <c r="A197" s="26">
        <f>Prices!A197</f>
        <v>46226</v>
      </c>
      <c r="B197" s="40">
        <f>INDEX(Prices!$B197:$G197,1,Dashboard!$C$8)</f>
        <v>445.2</v>
      </c>
      <c r="C197" s="36">
        <f t="shared" si="12"/>
        <v>1.0440308669995346E-2</v>
      </c>
      <c r="D197" s="41">
        <f ca="1">AVERAGE(OFFSET(B197,1-MIN(Dashboard!$C$6,ROW()-1),0,MIN(Dashboard!$C$6,ROW()-1),1))</f>
        <v>451.87000000000006</v>
      </c>
      <c r="E197" s="41">
        <f ca="1">AVERAGE(OFFSET(B197,1-MIN(Dashboard!$C$7,ROW()-1),0,MIN(Dashboard!$C$7,ROW()-1),1))</f>
        <v>449.59413799999993</v>
      </c>
      <c r="F197" s="1">
        <f ca="1">IF(ROW()-1&gt;Dashboard!$C$7,IF(D196&gt;E196,1,0),0)</f>
        <v>1</v>
      </c>
      <c r="G197" s="36">
        <f t="shared" ca="1" si="13"/>
        <v>1.0440308669995346E-2</v>
      </c>
      <c r="H197" s="27">
        <f t="shared" si="14"/>
        <v>66.576054244230846</v>
      </c>
      <c r="I197" s="27">
        <f t="shared" ca="1" si="15"/>
        <v>92.887276860917211</v>
      </c>
      <c r="J197" s="1"/>
      <c r="K197" s="1"/>
    </row>
    <row r="198" spans="1:11" x14ac:dyDescent="0.3">
      <c r="A198" s="26">
        <f>Prices!A198</f>
        <v>46227</v>
      </c>
      <c r="B198" s="40">
        <f>INDEX(Prices!$B198:$G198,1,Dashboard!$C$8)</f>
        <v>434.6</v>
      </c>
      <c r="C198" s="36">
        <f t="shared" si="12"/>
        <v>-2.3809523809523725E-2</v>
      </c>
      <c r="D198" s="41">
        <f ca="1">AVERAGE(OFFSET(B198,1-MIN(Dashboard!$C$6,ROW()-1),0,MIN(Dashboard!$C$6,ROW()-1),1))</f>
        <v>452.53000000000009</v>
      </c>
      <c r="E198" s="41">
        <f ca="1">AVERAGE(OFFSET(B198,1-MIN(Dashboard!$C$7,ROW()-1),0,MIN(Dashboard!$C$7,ROW()-1),1))</f>
        <v>449.24744799999985</v>
      </c>
      <c r="F198" s="1">
        <f ca="1">IF(ROW()-1&gt;Dashboard!$C$7,IF(D197&gt;E197,1,0),0)</f>
        <v>1</v>
      </c>
      <c r="G198" s="36">
        <f t="shared" ca="1" si="13"/>
        <v>-2.3809523809523725E-2</v>
      </c>
      <c r="H198" s="27">
        <f t="shared" si="14"/>
        <v>64.990910095558689</v>
      </c>
      <c r="I198" s="27">
        <f t="shared" ca="1" si="15"/>
        <v>90.675675030895377</v>
      </c>
      <c r="J198" s="1"/>
      <c r="K198" s="1"/>
    </row>
    <row r="199" spans="1:11" x14ac:dyDescent="0.3">
      <c r="A199" s="26">
        <f>Prices!A199</f>
        <v>46230</v>
      </c>
      <c r="B199" s="40">
        <f>INDEX(Prices!$B199:$G199,1,Dashboard!$C$8)</f>
        <v>443</v>
      </c>
      <c r="C199" s="36">
        <f t="shared" si="12"/>
        <v>1.9328117809479961E-2</v>
      </c>
      <c r="D199" s="41">
        <f ca="1">AVERAGE(OFFSET(B199,1-MIN(Dashboard!$C$6,ROW()-1),0,MIN(Dashboard!$C$6,ROW()-1),1))</f>
        <v>454.09000000000003</v>
      </c>
      <c r="E199" s="41">
        <f ca="1">AVERAGE(OFFSET(B199,1-MIN(Dashboard!$C$7,ROW()-1),0,MIN(Dashboard!$C$7,ROW()-1),1))</f>
        <v>448.96199999999988</v>
      </c>
      <c r="F199" s="1">
        <f ca="1">IF(ROW()-1&gt;Dashboard!$C$7,IF(D198&gt;E198,1,0),0)</f>
        <v>1</v>
      </c>
      <c r="G199" s="36">
        <f t="shared" ca="1" si="13"/>
        <v>1.9328117809479961E-2</v>
      </c>
      <c r="H199" s="27">
        <f t="shared" si="14"/>
        <v>66.24706206243097</v>
      </c>
      <c r="I199" s="27">
        <f t="shared" ca="1" si="15"/>
        <v>92.428265160346641</v>
      </c>
      <c r="J199" s="1"/>
      <c r="K199" s="1"/>
    </row>
    <row r="200" spans="1:11" x14ac:dyDescent="0.3">
      <c r="A200" s="26">
        <f>Prices!A200</f>
        <v>46231</v>
      </c>
      <c r="B200" s="40">
        <f>INDEX(Prices!$B200:$G200,1,Dashboard!$C$8)</f>
        <v>447.2</v>
      </c>
      <c r="C200" s="36">
        <f t="shared" si="12"/>
        <v>9.4808126410834692E-3</v>
      </c>
      <c r="D200" s="41">
        <f ca="1">AVERAGE(OFFSET(B200,1-MIN(Dashboard!$C$6,ROW()-1),0,MIN(Dashboard!$C$6,ROW()-1),1))</f>
        <v>455.44000000000005</v>
      </c>
      <c r="E200" s="41">
        <f ca="1">AVERAGE(OFFSET(B200,1-MIN(Dashboard!$C$7,ROW()-1),0,MIN(Dashboard!$C$7,ROW()-1),1))</f>
        <v>448.80799999999988</v>
      </c>
      <c r="F200" s="1">
        <f ca="1">IF(ROW()-1&gt;Dashboard!$C$7,IF(D199&gt;E199,1,0),0)</f>
        <v>1</v>
      </c>
      <c r="G200" s="36">
        <f t="shared" ca="1" si="13"/>
        <v>9.4808126410834692E-3</v>
      </c>
      <c r="H200" s="27">
        <f t="shared" si="14"/>
        <v>66.875138045867104</v>
      </c>
      <c r="I200" s="27">
        <f t="shared" ca="1" si="15"/>
        <v>93.304560225072265</v>
      </c>
      <c r="J200" s="1"/>
      <c r="K200" s="1"/>
    </row>
    <row r="201" spans="1:11" x14ac:dyDescent="0.3">
      <c r="A201" s="26">
        <f>Prices!A201</f>
        <v>46232</v>
      </c>
      <c r="B201" s="40">
        <f>INDEX(Prices!$B201:$G201,1,Dashboard!$C$8)</f>
        <v>466.4</v>
      </c>
      <c r="C201" s="36">
        <f t="shared" si="12"/>
        <v>4.29338103756709E-2</v>
      </c>
      <c r="D201" s="41">
        <f ca="1">AVERAGE(OFFSET(B201,1-MIN(Dashboard!$C$6,ROW()-1),0,MIN(Dashboard!$C$6,ROW()-1),1))</f>
        <v>457.2700000000001</v>
      </c>
      <c r="E201" s="41">
        <f ca="1">AVERAGE(OFFSET(B201,1-MIN(Dashboard!$C$7,ROW()-1),0,MIN(Dashboard!$C$7,ROW()-1),1))</f>
        <v>449.00799999999987</v>
      </c>
      <c r="F201" s="1">
        <f ca="1">IF(ROW()-1&gt;Dashboard!$C$7,IF(D200&gt;E200,1,0),0)</f>
        <v>1</v>
      </c>
      <c r="G201" s="36">
        <f t="shared" ca="1" si="13"/>
        <v>4.29338103756709E-2</v>
      </c>
      <c r="H201" s="27">
        <f t="shared" si="14"/>
        <v>69.746342541575174</v>
      </c>
      <c r="I201" s="27">
        <f t="shared" ca="1" si="15"/>
        <v>97.31048052096088</v>
      </c>
      <c r="J201" s="1"/>
      <c r="K201" s="1"/>
    </row>
    <row r="202" spans="1:11" x14ac:dyDescent="0.3">
      <c r="A202" s="26">
        <f>Prices!A202</f>
        <v>46233</v>
      </c>
      <c r="B202" s="40">
        <f>INDEX(Prices!$B202:$G202,1,Dashboard!$C$8)</f>
        <v>471.8</v>
      </c>
      <c r="C202" s="36">
        <f t="shared" si="12"/>
        <v>1.1578044596912695E-2</v>
      </c>
      <c r="D202" s="41">
        <f ca="1">AVERAGE(OFFSET(B202,1-MIN(Dashboard!$C$6,ROW()-1),0,MIN(Dashboard!$C$6,ROW()-1),1))</f>
        <v>459.35</v>
      </c>
      <c r="E202" s="41">
        <f ca="1">AVERAGE(OFFSET(B202,1-MIN(Dashboard!$C$7,ROW()-1),0,MIN(Dashboard!$C$7,ROW()-1),1))</f>
        <v>449.45999999999992</v>
      </c>
      <c r="F202" s="1">
        <f ca="1">IF(ROW()-1&gt;Dashboard!$C$7,IF(D201&gt;E201,1,0),0)</f>
        <v>1</v>
      </c>
      <c r="G202" s="36">
        <f t="shared" ca="1" si="13"/>
        <v>1.1578044596912695E-2</v>
      </c>
      <c r="H202" s="27">
        <f t="shared" si="14"/>
        <v>70.553868805993076</v>
      </c>
      <c r="I202" s="27">
        <f t="shared" ca="1" si="15"/>
        <v>98.437145604179562</v>
      </c>
      <c r="J202" s="1"/>
      <c r="K202" s="1"/>
    </row>
    <row r="203" spans="1:11" x14ac:dyDescent="0.3">
      <c r="A203" s="26">
        <f>Prices!A203</f>
        <v>46234</v>
      </c>
      <c r="B203" s="40">
        <f>INDEX(Prices!$B203:$G203,1,Dashboard!$C$8)</f>
        <v>475.2</v>
      </c>
      <c r="C203" s="36">
        <f t="shared" si="12"/>
        <v>7.2064434082237394E-3</v>
      </c>
      <c r="D203" s="41">
        <f ca="1">AVERAGE(OFFSET(B203,1-MIN(Dashboard!$C$6,ROW()-1),0,MIN(Dashboard!$C$6,ROW()-1),1))</f>
        <v>461.55</v>
      </c>
      <c r="E203" s="41">
        <f ca="1">AVERAGE(OFFSET(B203,1-MIN(Dashboard!$C$7,ROW()-1),0,MIN(Dashboard!$C$7,ROW()-1),1))</f>
        <v>449.76399999999995</v>
      </c>
      <c r="F203" s="1">
        <f ca="1">IF(ROW()-1&gt;Dashboard!$C$7,IF(D202&gt;E202,1,0),0)</f>
        <v>1</v>
      </c>
      <c r="G203" s="36">
        <f t="shared" ca="1" si="13"/>
        <v>7.2064434082237394E-3</v>
      </c>
      <c r="H203" s="27">
        <f t="shared" si="14"/>
        <v>71.062311268774707</v>
      </c>
      <c r="I203" s="27">
        <f t="shared" ca="1" si="15"/>
        <v>99.146527323243163</v>
      </c>
      <c r="J203" s="1"/>
      <c r="K203" s="1"/>
    </row>
    <row r="204" spans="1:11" x14ac:dyDescent="0.3">
      <c r="A204" s="26">
        <f>Prices!A204</f>
        <v>46237</v>
      </c>
      <c r="B204" s="40">
        <f>INDEX(Prices!$B204:$G204,1,Dashboard!$C$8)</f>
        <v>490.4</v>
      </c>
      <c r="C204" s="36">
        <f t="shared" si="12"/>
        <v>3.1986531986532007E-2</v>
      </c>
      <c r="D204" s="41">
        <f ca="1">AVERAGE(OFFSET(B204,1-MIN(Dashboard!$C$6,ROW()-1),0,MIN(Dashboard!$C$6,ROW()-1),1))</f>
        <v>463.46999999999997</v>
      </c>
      <c r="E204" s="41">
        <f ca="1">AVERAGE(OFFSET(B204,1-MIN(Dashboard!$C$7,ROW()-1),0,MIN(Dashboard!$C$7,ROW()-1),1))</f>
        <v>450.46800000000002</v>
      </c>
      <c r="F204" s="1">
        <f ca="1">IF(ROW()-1&gt;Dashboard!$C$7,IF(D203&gt;E203,1,0),0)</f>
        <v>1</v>
      </c>
      <c r="G204" s="36">
        <f t="shared" ca="1" si="13"/>
        <v>3.1986531986532007E-2</v>
      </c>
      <c r="H204" s="27">
        <f t="shared" si="14"/>
        <v>73.335348161210263</v>
      </c>
      <c r="I204" s="27">
        <f t="shared" ca="1" si="15"/>
        <v>102.31788089082166</v>
      </c>
      <c r="J204" s="1"/>
      <c r="K204" s="1"/>
    </row>
    <row r="205" spans="1:11" x14ac:dyDescent="0.3">
      <c r="A205" s="26">
        <f>Prices!A205</f>
        <v>46238</v>
      </c>
      <c r="B205" s="40">
        <f>INDEX(Prices!$B205:$G205,1,Dashboard!$C$8)</f>
        <v>487.6</v>
      </c>
      <c r="C205" s="36">
        <f t="shared" si="12"/>
        <v>-5.7096247960847224E-3</v>
      </c>
      <c r="D205" s="41">
        <f ca="1">AVERAGE(OFFSET(B205,1-MIN(Dashboard!$C$6,ROW()-1),0,MIN(Dashboard!$C$6,ROW()-1),1))</f>
        <v>464.79000000000008</v>
      </c>
      <c r="E205" s="41">
        <f ca="1">AVERAGE(OFFSET(B205,1-MIN(Dashboard!$C$7,ROW()-1),0,MIN(Dashboard!$C$7,ROW()-1),1))</f>
        <v>451.43999999999994</v>
      </c>
      <c r="F205" s="1">
        <f ca="1">IF(ROW()-1&gt;Dashboard!$C$7,IF(D204&gt;E204,1,0),0)</f>
        <v>1</v>
      </c>
      <c r="G205" s="36">
        <f t="shared" ca="1" si="13"/>
        <v>-5.7096247960847224E-3</v>
      </c>
      <c r="H205" s="27">
        <f t="shared" si="14"/>
        <v>72.916630838919517</v>
      </c>
      <c r="I205" s="27">
        <f t="shared" ca="1" si="15"/>
        <v>101.73368418100458</v>
      </c>
      <c r="J205" s="1"/>
      <c r="K205" s="1"/>
    </row>
    <row r="206" spans="1:11" x14ac:dyDescent="0.3">
      <c r="A206" s="26">
        <f>Prices!A206</f>
        <v>46239</v>
      </c>
      <c r="B206" s="40">
        <f>INDEX(Prices!$B206:$G206,1,Dashboard!$C$8)</f>
        <v>492.2</v>
      </c>
      <c r="C206" s="36">
        <f t="shared" si="12"/>
        <v>9.4339622641508303E-3</v>
      </c>
      <c r="D206" s="41">
        <f ca="1">AVERAGE(OFFSET(B206,1-MIN(Dashboard!$C$6,ROW()-1),0,MIN(Dashboard!$C$6,ROW()-1),1))</f>
        <v>465.46000000000004</v>
      </c>
      <c r="E206" s="41">
        <f ca="1">AVERAGE(OFFSET(B206,1-MIN(Dashboard!$C$7,ROW()-1),0,MIN(Dashboard!$C$7,ROW()-1),1))</f>
        <v>452.45599999999996</v>
      </c>
      <c r="F206" s="1">
        <f ca="1">IF(ROW()-1&gt;Dashboard!$C$7,IF(D205&gt;E205,1,0),0)</f>
        <v>1</v>
      </c>
      <c r="G206" s="36">
        <f t="shared" ca="1" si="13"/>
        <v>9.4339622641508303E-3</v>
      </c>
      <c r="H206" s="27">
        <f t="shared" si="14"/>
        <v>73.604523582682901</v>
      </c>
      <c r="I206" s="27">
        <f t="shared" ca="1" si="15"/>
        <v>102.69343591856121</v>
      </c>
      <c r="J206" s="1"/>
      <c r="K206" s="1"/>
    </row>
    <row r="207" spans="1:11" x14ac:dyDescent="0.3">
      <c r="A207" s="26">
        <f>Prices!A207</f>
        <v>46240</v>
      </c>
      <c r="B207" s="40">
        <f>INDEX(Prices!$B207:$G207,1,Dashboard!$C$8)</f>
        <v>479.2</v>
      </c>
      <c r="C207" s="36">
        <f t="shared" si="12"/>
        <v>-2.6412027631044332E-2</v>
      </c>
      <c r="D207" s="41">
        <f ca="1">AVERAGE(OFFSET(B207,1-MIN(Dashboard!$C$6,ROW()-1),0,MIN(Dashboard!$C$6,ROW()-1),1))</f>
        <v>465.94000000000005</v>
      </c>
      <c r="E207" s="41">
        <f ca="1">AVERAGE(OFFSET(B207,1-MIN(Dashboard!$C$7,ROW()-1),0,MIN(Dashboard!$C$7,ROW()-1),1))</f>
        <v>453.26000000000005</v>
      </c>
      <c r="F207" s="1">
        <f ca="1">IF(ROW()-1&gt;Dashboard!$C$7,IF(D206&gt;E206,1,0),0)</f>
        <v>1</v>
      </c>
      <c r="G207" s="36">
        <f t="shared" ca="1" si="13"/>
        <v>-2.6412027631044332E-2</v>
      </c>
      <c r="H207" s="27">
        <f t="shared" si="14"/>
        <v>71.660478872047221</v>
      </c>
      <c r="I207" s="27">
        <f t="shared" ca="1" si="15"/>
        <v>99.981094051553285</v>
      </c>
      <c r="J207" s="1"/>
      <c r="K207" s="1"/>
    </row>
    <row r="208" spans="1:11" x14ac:dyDescent="0.3">
      <c r="A208" s="26">
        <f>Prices!A208</f>
        <v>46241</v>
      </c>
      <c r="B208" s="40">
        <f>INDEX(Prices!$B208:$G208,1,Dashboard!$C$8)</f>
        <v>478.8</v>
      </c>
      <c r="C208" s="36">
        <f t="shared" si="12"/>
        <v>-8.3472454090149917E-4</v>
      </c>
      <c r="D208" s="41">
        <f ca="1">AVERAGE(OFFSET(B208,1-MIN(Dashboard!$C$6,ROW()-1),0,MIN(Dashboard!$C$6,ROW()-1),1))</f>
        <v>466.87</v>
      </c>
      <c r="E208" s="41">
        <f ca="1">AVERAGE(OFFSET(B208,1-MIN(Dashboard!$C$7,ROW()-1),0,MIN(Dashboard!$C$7,ROW()-1),1))</f>
        <v>454.14800000000008</v>
      </c>
      <c r="F208" s="1">
        <f ca="1">IF(ROW()-1&gt;Dashboard!$C$7,IF(D207&gt;E207,1,0),0)</f>
        <v>1</v>
      </c>
      <c r="G208" s="36">
        <f t="shared" ca="1" si="13"/>
        <v>-8.3472454090149917E-4</v>
      </c>
      <c r="H208" s="27">
        <f t="shared" si="14"/>
        <v>71.60066211171997</v>
      </c>
      <c r="I208" s="27">
        <f t="shared" ca="1" si="15"/>
        <v>99.897637378722266</v>
      </c>
      <c r="J208" s="1"/>
      <c r="K208" s="1"/>
    </row>
    <row r="209" spans="1:11" x14ac:dyDescent="0.3">
      <c r="A209" s="26">
        <f>Prices!A209</f>
        <v>46244</v>
      </c>
      <c r="B209" s="40">
        <f>INDEX(Prices!$B209:$G209,1,Dashboard!$C$8)</f>
        <v>481.4</v>
      </c>
      <c r="C209" s="36">
        <f t="shared" si="12"/>
        <v>5.430242272347563E-3</v>
      </c>
      <c r="D209" s="41">
        <f ca="1">AVERAGE(OFFSET(B209,1-MIN(Dashboard!$C$6,ROW()-1),0,MIN(Dashboard!$C$6,ROW()-1),1))</f>
        <v>468.05999999999995</v>
      </c>
      <c r="E209" s="41">
        <f ca="1">AVERAGE(OFFSET(B209,1-MIN(Dashboard!$C$7,ROW()-1),0,MIN(Dashboard!$C$7,ROW()-1),1))</f>
        <v>455.27600000000012</v>
      </c>
      <c r="F209" s="1">
        <f ca="1">IF(ROW()-1&gt;Dashboard!$C$7,IF(D208&gt;E208,1,0),0)</f>
        <v>1</v>
      </c>
      <c r="G209" s="36">
        <f t="shared" ca="1" si="13"/>
        <v>5.430242272347563E-3</v>
      </c>
      <c r="H209" s="27">
        <f t="shared" si="14"/>
        <v>71.989471053847112</v>
      </c>
      <c r="I209" s="27">
        <f t="shared" ca="1" si="15"/>
        <v>100.44010575212386</v>
      </c>
      <c r="J209" s="1"/>
      <c r="K209" s="1"/>
    </row>
    <row r="210" spans="1:11" x14ac:dyDescent="0.3">
      <c r="A210" s="26">
        <f>Prices!A210</f>
        <v>46245</v>
      </c>
      <c r="B210" s="40">
        <f>INDEX(Prices!$B210:$G210,1,Dashboard!$C$8)</f>
        <v>470.8</v>
      </c>
      <c r="C210" s="36">
        <f t="shared" si="12"/>
        <v>-2.2019110926464358E-2</v>
      </c>
      <c r="D210" s="41">
        <f ca="1">AVERAGE(OFFSET(B210,1-MIN(Dashboard!$C$6,ROW()-1),0,MIN(Dashboard!$C$6,ROW()-1),1))</f>
        <v>468.78999999999985</v>
      </c>
      <c r="E210" s="41">
        <f ca="1">AVERAGE(OFFSET(B210,1-MIN(Dashboard!$C$7,ROW()-1),0,MIN(Dashboard!$C$7,ROW()-1),1))</f>
        <v>456.14800000000008</v>
      </c>
      <c r="F210" s="1">
        <f ca="1">IF(ROW()-1&gt;Dashboard!$C$7,IF(D209&gt;E209,1,0),0)</f>
        <v>1</v>
      </c>
      <c r="G210" s="36">
        <f t="shared" ca="1" si="13"/>
        <v>-2.2019110926464358E-2</v>
      </c>
      <c r="H210" s="27">
        <f t="shared" si="14"/>
        <v>70.404326905174955</v>
      </c>
      <c r="I210" s="27">
        <f t="shared" ca="1" si="15"/>
        <v>98.228503922102036</v>
      </c>
      <c r="J210" s="1"/>
      <c r="K210" s="1"/>
    </row>
    <row r="211" spans="1:11" x14ac:dyDescent="0.3">
      <c r="A211" s="26">
        <f>Prices!A211</f>
        <v>46246</v>
      </c>
      <c r="B211" s="40">
        <f>INDEX(Prices!$B211:$G211,1,Dashboard!$C$8)</f>
        <v>461.6</v>
      </c>
      <c r="C211" s="36">
        <f t="shared" si="12"/>
        <v>-1.9541206457094229E-2</v>
      </c>
      <c r="D211" s="41">
        <f ca="1">AVERAGE(OFFSET(B211,1-MIN(Dashboard!$C$6,ROW()-1),0,MIN(Dashboard!$C$6,ROW()-1),1))</f>
        <v>468.16999999999996</v>
      </c>
      <c r="E211" s="41">
        <f ca="1">AVERAGE(OFFSET(B211,1-MIN(Dashboard!$C$7,ROW()-1),0,MIN(Dashboard!$C$7,ROW()-1),1))</f>
        <v>456.66000000000008</v>
      </c>
      <c r="F211" s="1">
        <f ca="1">IF(ROW()-1&gt;Dashboard!$C$7,IF(D210&gt;E210,1,0),0)</f>
        <v>1</v>
      </c>
      <c r="G211" s="36">
        <f t="shared" ca="1" si="13"/>
        <v>-1.9541206457094229E-2</v>
      </c>
      <c r="H211" s="27">
        <f t="shared" si="14"/>
        <v>69.028541417648171</v>
      </c>
      <c r="I211" s="27">
        <f t="shared" ca="1" si="15"/>
        <v>96.309000446988748</v>
      </c>
      <c r="J211" s="1"/>
      <c r="K211" s="1"/>
    </row>
    <row r="212" spans="1:11" x14ac:dyDescent="0.3">
      <c r="A212" s="26">
        <f>Prices!A212</f>
        <v>46247</v>
      </c>
      <c r="B212" s="40">
        <f>INDEX(Prices!$B212:$G212,1,Dashboard!$C$8)</f>
        <v>441</v>
      </c>
      <c r="C212" s="36">
        <f t="shared" si="12"/>
        <v>-4.4627383015597988E-2</v>
      </c>
      <c r="D212" s="41">
        <f ca="1">AVERAGE(OFFSET(B212,1-MIN(Dashboard!$C$6,ROW()-1),0,MIN(Dashboard!$C$6,ROW()-1),1))</f>
        <v>466.02</v>
      </c>
      <c r="E212" s="41">
        <f ca="1">AVERAGE(OFFSET(B212,1-MIN(Dashboard!$C$7,ROW()-1),0,MIN(Dashboard!$C$7,ROW()-1),1))</f>
        <v>455.84800000000013</v>
      </c>
      <c r="F212" s="1">
        <f ca="1">IF(ROW()-1&gt;Dashboard!$C$7,IF(D211&gt;E211,1,0),0)</f>
        <v>1</v>
      </c>
      <c r="G212" s="36">
        <f t="shared" ca="1" si="13"/>
        <v>-4.4627383015597988E-2</v>
      </c>
      <c r="H212" s="27">
        <f t="shared" si="14"/>
        <v>65.947978260794713</v>
      </c>
      <c r="I212" s="27">
        <f t="shared" ca="1" si="15"/>
        <v>92.010981796191587</v>
      </c>
      <c r="J212" s="1"/>
      <c r="K212" s="1"/>
    </row>
    <row r="213" spans="1:11" x14ac:dyDescent="0.3">
      <c r="A213" s="26">
        <f>Prices!A213</f>
        <v>46248</v>
      </c>
      <c r="B213" s="40">
        <f>INDEX(Prices!$B213:$G213,1,Dashboard!$C$8)</f>
        <v>440</v>
      </c>
      <c r="C213" s="36">
        <f t="shared" si="12"/>
        <v>-2.2675736961451642E-3</v>
      </c>
      <c r="D213" s="41">
        <f ca="1">AVERAGE(OFFSET(B213,1-MIN(Dashboard!$C$6,ROW()-1),0,MIN(Dashboard!$C$6,ROW()-1),1))</f>
        <v>464.93999999999994</v>
      </c>
      <c r="E213" s="41">
        <f ca="1">AVERAGE(OFFSET(B213,1-MIN(Dashboard!$C$7,ROW()-1),0,MIN(Dashboard!$C$7,ROW()-1),1))</f>
        <v>455.32000000000005</v>
      </c>
      <c r="F213" s="1">
        <f ca="1">IF(ROW()-1&gt;Dashboard!$C$7,IF(D212&gt;E212,1,0),0)</f>
        <v>1</v>
      </c>
      <c r="G213" s="36">
        <f t="shared" ca="1" si="13"/>
        <v>-2.2675736961451642E-3</v>
      </c>
      <c r="H213" s="27">
        <f t="shared" si="14"/>
        <v>65.798436359976577</v>
      </c>
      <c r="I213" s="27">
        <f t="shared" ca="1" si="15"/>
        <v>91.802340114114045</v>
      </c>
      <c r="J213" s="1"/>
      <c r="K213" s="1"/>
    </row>
    <row r="214" spans="1:11" x14ac:dyDescent="0.3">
      <c r="A214" s="26">
        <f>Prices!A214</f>
        <v>46251</v>
      </c>
      <c r="B214" s="40">
        <f>INDEX(Prices!$B214:$G214,1,Dashboard!$C$8)</f>
        <v>446.4</v>
      </c>
      <c r="C214" s="36">
        <f t="shared" si="12"/>
        <v>1.4545454545454417E-2</v>
      </c>
      <c r="D214" s="41">
        <f ca="1">AVERAGE(OFFSET(B214,1-MIN(Dashboard!$C$6,ROW()-1),0,MIN(Dashboard!$C$6,ROW()-1),1))</f>
        <v>463.37</v>
      </c>
      <c r="E214" s="41">
        <f ca="1">AVERAGE(OFFSET(B214,1-MIN(Dashboard!$C$7,ROW()-1),0,MIN(Dashboard!$C$7,ROW()-1),1))</f>
        <v>455.0680000000001</v>
      </c>
      <c r="F214" s="1">
        <f ca="1">IF(ROW()-1&gt;Dashboard!$C$7,IF(D213&gt;E213,1,0),0)</f>
        <v>1</v>
      </c>
      <c r="G214" s="36">
        <f t="shared" ca="1" si="13"/>
        <v>1.4545454545454417E-2</v>
      </c>
      <c r="H214" s="27">
        <f t="shared" si="14"/>
        <v>66.755504525212586</v>
      </c>
      <c r="I214" s="27">
        <f t="shared" ca="1" si="15"/>
        <v>93.137646879410241</v>
      </c>
      <c r="J214" s="1"/>
      <c r="K214" s="1"/>
    </row>
    <row r="215" spans="1:11" x14ac:dyDescent="0.3">
      <c r="A215" s="26">
        <f>Prices!A215</f>
        <v>46252</v>
      </c>
      <c r="B215" s="40">
        <f>INDEX(Prices!$B215:$G215,1,Dashboard!$C$8)</f>
        <v>442.4</v>
      </c>
      <c r="C215" s="36">
        <f t="shared" si="12"/>
        <v>-8.960573476702538E-3</v>
      </c>
      <c r="D215" s="41">
        <f ca="1">AVERAGE(OFFSET(B215,1-MIN(Dashboard!$C$6,ROW()-1),0,MIN(Dashboard!$C$6,ROW()-1),1))</f>
        <v>461.78999999999996</v>
      </c>
      <c r="E215" s="41">
        <f ca="1">AVERAGE(OFFSET(B215,1-MIN(Dashboard!$C$7,ROW()-1),0,MIN(Dashboard!$C$7,ROW()-1),1))</f>
        <v>454.85200000000009</v>
      </c>
      <c r="F215" s="1">
        <f ca="1">IF(ROW()-1&gt;Dashboard!$C$7,IF(D214&gt;E214,1,0),0)</f>
        <v>1</v>
      </c>
      <c r="G215" s="36">
        <f t="shared" ca="1" si="13"/>
        <v>-8.960573476702538E-3</v>
      </c>
      <c r="H215" s="27">
        <f t="shared" si="14"/>
        <v>66.157336921940072</v>
      </c>
      <c r="I215" s="27">
        <f t="shared" ca="1" si="15"/>
        <v>92.303080151100104</v>
      </c>
      <c r="J215" s="1"/>
      <c r="K215" s="1"/>
    </row>
    <row r="216" spans="1:11" x14ac:dyDescent="0.3">
      <c r="A216" s="26">
        <f>Prices!A216</f>
        <v>46253</v>
      </c>
      <c r="B216" s="40">
        <f>INDEX(Prices!$B216:$G216,1,Dashboard!$C$8)</f>
        <v>447.2</v>
      </c>
      <c r="C216" s="36">
        <f t="shared" si="12"/>
        <v>1.0849909584086825E-2</v>
      </c>
      <c r="D216" s="41">
        <f ca="1">AVERAGE(OFFSET(B216,1-MIN(Dashboard!$C$6,ROW()-1),0,MIN(Dashboard!$C$6,ROW()-1),1))</f>
        <v>462.12000000000006</v>
      </c>
      <c r="E216" s="41">
        <f ca="1">AVERAGE(OFFSET(B216,1-MIN(Dashboard!$C$7,ROW()-1),0,MIN(Dashboard!$C$7,ROW()-1),1))</f>
        <v>454.86800000000011</v>
      </c>
      <c r="F216" s="1">
        <f ca="1">IF(ROW()-1&gt;Dashboard!$C$7,IF(D215&gt;E215,1,0),0)</f>
        <v>1</v>
      </c>
      <c r="G216" s="36">
        <f t="shared" ca="1" si="13"/>
        <v>1.0849909584086825E-2</v>
      </c>
      <c r="H216" s="27">
        <f t="shared" si="14"/>
        <v>66.875138045867089</v>
      </c>
      <c r="I216" s="27">
        <f t="shared" ca="1" si="15"/>
        <v>93.304560225072265</v>
      </c>
      <c r="J216" s="1"/>
      <c r="K216" s="1"/>
    </row>
    <row r="217" spans="1:11" x14ac:dyDescent="0.3">
      <c r="A217" s="26">
        <f>Prices!A217</f>
        <v>46254</v>
      </c>
      <c r="B217" s="40">
        <f>INDEX(Prices!$B217:$G217,1,Dashboard!$C$8)</f>
        <v>451.4</v>
      </c>
      <c r="C217" s="36">
        <f t="shared" si="12"/>
        <v>9.3917710196780302E-3</v>
      </c>
      <c r="D217" s="41">
        <f ca="1">AVERAGE(OFFSET(B217,1-MIN(Dashboard!$C$6,ROW()-1),0,MIN(Dashboard!$C$6,ROW()-1),1))</f>
        <v>462.43</v>
      </c>
      <c r="E217" s="41">
        <f ca="1">AVERAGE(OFFSET(B217,1-MIN(Dashboard!$C$7,ROW()-1),0,MIN(Dashboard!$C$7,ROW()-1),1))</f>
        <v>454.83200000000011</v>
      </c>
      <c r="F217" s="1">
        <f ca="1">IF(ROW()-1&gt;Dashboard!$C$7,IF(D216&gt;E216,1,0),0)</f>
        <v>1</v>
      </c>
      <c r="G217" s="36">
        <f t="shared" ca="1" si="13"/>
        <v>9.3917710196780302E-3</v>
      </c>
      <c r="H217" s="27">
        <f t="shared" si="14"/>
        <v>67.503214029303237</v>
      </c>
      <c r="I217" s="27">
        <f t="shared" ca="1" si="15"/>
        <v>94.180855289797904</v>
      </c>
      <c r="J217" s="1"/>
      <c r="K217" s="1"/>
    </row>
    <row r="218" spans="1:11" x14ac:dyDescent="0.3">
      <c r="A218" s="26">
        <f>Prices!A218</f>
        <v>46255</v>
      </c>
      <c r="B218" s="40">
        <f>INDEX(Prices!$B218:$G218,1,Dashboard!$C$8)</f>
        <v>457</v>
      </c>
      <c r="C218" s="36">
        <f t="shared" si="12"/>
        <v>1.2405848471422232E-2</v>
      </c>
      <c r="D218" s="41">
        <f ca="1">AVERAGE(OFFSET(B218,1-MIN(Dashboard!$C$6,ROW()-1),0,MIN(Dashboard!$C$6,ROW()-1),1))</f>
        <v>463.55</v>
      </c>
      <c r="E218" s="41">
        <f ca="1">AVERAGE(OFFSET(B218,1-MIN(Dashboard!$C$7,ROW()-1),0,MIN(Dashboard!$C$7,ROW()-1),1))</f>
        <v>454.66000000000014</v>
      </c>
      <c r="F218" s="1">
        <f ca="1">IF(ROW()-1&gt;Dashboard!$C$7,IF(D217&gt;E217,1,0),0)</f>
        <v>1</v>
      </c>
      <c r="G218" s="36">
        <f t="shared" ca="1" si="13"/>
        <v>1.2405848471422232E-2</v>
      </c>
      <c r="H218" s="27">
        <f t="shared" si="14"/>
        <v>68.340648673884758</v>
      </c>
      <c r="I218" s="27">
        <f t="shared" ca="1" si="15"/>
        <v>95.349248709432075</v>
      </c>
      <c r="J218" s="1"/>
      <c r="K218" s="1"/>
    </row>
    <row r="219" spans="1:11" x14ac:dyDescent="0.3">
      <c r="A219" s="26">
        <f>Prices!A219</f>
        <v>46258</v>
      </c>
      <c r="B219" s="40">
        <f>INDEX(Prices!$B219:$G219,1,Dashboard!$C$8)</f>
        <v>440</v>
      </c>
      <c r="C219" s="36">
        <f t="shared" si="12"/>
        <v>-3.7199124726477018E-2</v>
      </c>
      <c r="D219" s="41">
        <f ca="1">AVERAGE(OFFSET(B219,1-MIN(Dashboard!$C$6,ROW()-1),0,MIN(Dashboard!$C$6,ROW()-1),1))</f>
        <v>463.39999999999992</v>
      </c>
      <c r="E219" s="41">
        <f ca="1">AVERAGE(OFFSET(B219,1-MIN(Dashboard!$C$7,ROW()-1),0,MIN(Dashboard!$C$7,ROW()-1),1))</f>
        <v>454.31600000000014</v>
      </c>
      <c r="F219" s="1">
        <f ca="1">IF(ROW()-1&gt;Dashboard!$C$7,IF(D218&gt;E218,1,0),0)</f>
        <v>1</v>
      </c>
      <c r="G219" s="36">
        <f t="shared" ca="1" si="13"/>
        <v>-3.7199124726477018E-2</v>
      </c>
      <c r="H219" s="27">
        <f t="shared" si="14"/>
        <v>65.798436359976577</v>
      </c>
      <c r="I219" s="27">
        <f t="shared" ca="1" si="15"/>
        <v>91.802340114114031</v>
      </c>
      <c r="J219" s="1"/>
      <c r="K219" s="1"/>
    </row>
    <row r="220" spans="1:11" x14ac:dyDescent="0.3">
      <c r="A220" s="26">
        <f>Prices!A220</f>
        <v>46259</v>
      </c>
      <c r="B220" s="40">
        <f>INDEX(Prices!$B220:$G220,1,Dashboard!$C$8)</f>
        <v>442</v>
      </c>
      <c r="C220" s="36">
        <f t="shared" si="12"/>
        <v>4.5454545454546302E-3</v>
      </c>
      <c r="D220" s="41">
        <f ca="1">AVERAGE(OFFSET(B220,1-MIN(Dashboard!$C$6,ROW()-1),0,MIN(Dashboard!$C$6,ROW()-1),1))</f>
        <v>463.14</v>
      </c>
      <c r="E220" s="41">
        <f ca="1">AVERAGE(OFFSET(B220,1-MIN(Dashboard!$C$7,ROW()-1),0,MIN(Dashboard!$C$7,ROW()-1),1))</f>
        <v>453.88400000000019</v>
      </c>
      <c r="F220" s="1">
        <f ca="1">IF(ROW()-1&gt;Dashboard!$C$7,IF(D219&gt;E219,1,0),0)</f>
        <v>1</v>
      </c>
      <c r="G220" s="36">
        <f t="shared" ca="1" si="13"/>
        <v>4.5454545454546302E-3</v>
      </c>
      <c r="H220" s="27">
        <f t="shared" si="14"/>
        <v>66.097520161612834</v>
      </c>
      <c r="I220" s="27">
        <f t="shared" ca="1" si="15"/>
        <v>92.219623478269099</v>
      </c>
      <c r="J220" s="1"/>
      <c r="K220" s="1"/>
    </row>
    <row r="221" spans="1:11" x14ac:dyDescent="0.3">
      <c r="A221" s="26">
        <f>Prices!A221</f>
        <v>46260</v>
      </c>
      <c r="B221" s="40">
        <f>INDEX(Prices!$B221:$G221,1,Dashboard!$C$8)</f>
        <v>445.4</v>
      </c>
      <c r="C221" s="36">
        <f t="shared" si="12"/>
        <v>7.692307692307665E-3</v>
      </c>
      <c r="D221" s="41">
        <f ca="1">AVERAGE(OFFSET(B221,1-MIN(Dashboard!$C$6,ROW()-1),0,MIN(Dashboard!$C$6,ROW()-1),1))</f>
        <v>462.08999999999986</v>
      </c>
      <c r="E221" s="41">
        <f ca="1">AVERAGE(OFFSET(B221,1-MIN(Dashboard!$C$7,ROW()-1),0,MIN(Dashboard!$C$7,ROW()-1),1))</f>
        <v>453.60000000000019</v>
      </c>
      <c r="F221" s="1">
        <f ca="1">IF(ROW()-1&gt;Dashboard!$C$7,IF(D220&gt;E220,1,0),0)</f>
        <v>1</v>
      </c>
      <c r="G221" s="36">
        <f t="shared" ca="1" si="13"/>
        <v>7.692307692307665E-3</v>
      </c>
      <c r="H221" s="27">
        <f t="shared" si="14"/>
        <v>66.605962624394465</v>
      </c>
      <c r="I221" s="27">
        <f t="shared" ca="1" si="15"/>
        <v>92.9290051973327</v>
      </c>
      <c r="J221" s="1"/>
      <c r="K221" s="1"/>
    </row>
    <row r="222" spans="1:11" x14ac:dyDescent="0.3">
      <c r="A222" s="26">
        <f>Prices!A222</f>
        <v>46261</v>
      </c>
      <c r="B222" s="40">
        <f>INDEX(Prices!$B222:$G222,1,Dashboard!$C$8)</f>
        <v>447.8</v>
      </c>
      <c r="C222" s="36">
        <f t="shared" si="12"/>
        <v>5.3884149079479471E-3</v>
      </c>
      <c r="D222" s="41">
        <f ca="1">AVERAGE(OFFSET(B222,1-MIN(Dashboard!$C$6,ROW()-1),0,MIN(Dashboard!$C$6,ROW()-1),1))</f>
        <v>460.88999999999987</v>
      </c>
      <c r="E222" s="41">
        <f ca="1">AVERAGE(OFFSET(B222,1-MIN(Dashboard!$C$7,ROW()-1),0,MIN(Dashboard!$C$7,ROW()-1),1))</f>
        <v>453.60800000000017</v>
      </c>
      <c r="F222" s="1">
        <f ca="1">IF(ROW()-1&gt;Dashboard!$C$7,IF(D221&gt;E221,1,0),0)</f>
        <v>1</v>
      </c>
      <c r="G222" s="36">
        <f t="shared" ca="1" si="13"/>
        <v>5.3884149079479471E-3</v>
      </c>
      <c r="H222" s="27">
        <f t="shared" si="14"/>
        <v>66.964863186357974</v>
      </c>
      <c r="I222" s="27">
        <f t="shared" ca="1" si="15"/>
        <v>93.429745234318773</v>
      </c>
      <c r="J222" s="1"/>
      <c r="K222" s="1"/>
    </row>
    <row r="223" spans="1:11" x14ac:dyDescent="0.3">
      <c r="A223" s="26">
        <f>Prices!A223</f>
        <v>46262</v>
      </c>
      <c r="B223" s="40">
        <f>INDEX(Prices!$B223:$G223,1,Dashboard!$C$8)</f>
        <v>455.2</v>
      </c>
      <c r="C223" s="36">
        <f t="shared" si="12"/>
        <v>1.6525234479678463E-2</v>
      </c>
      <c r="D223" s="41">
        <f ca="1">AVERAGE(OFFSET(B223,1-MIN(Dashboard!$C$6,ROW()-1),0,MIN(Dashboard!$C$6,ROW()-1),1))</f>
        <v>459.89</v>
      </c>
      <c r="E223" s="41">
        <f ca="1">AVERAGE(OFFSET(B223,1-MIN(Dashboard!$C$7,ROW()-1),0,MIN(Dashboard!$C$7,ROW()-1),1))</f>
        <v>453.80400000000014</v>
      </c>
      <c r="F223" s="1">
        <f ca="1">IF(ROW()-1&gt;Dashboard!$C$7,IF(D222&gt;E222,1,0),0)</f>
        <v>1</v>
      </c>
      <c r="G223" s="36">
        <f t="shared" ca="1" si="13"/>
        <v>1.6525234479678463E-2</v>
      </c>
      <c r="H223" s="27">
        <f t="shared" si="14"/>
        <v>68.071473252412133</v>
      </c>
      <c r="I223" s="27">
        <f t="shared" ca="1" si="15"/>
        <v>94.973693681692509</v>
      </c>
      <c r="J223" s="1"/>
      <c r="K223" s="1"/>
    </row>
    <row r="224" spans="1:11" x14ac:dyDescent="0.3">
      <c r="A224" s="26">
        <f>Prices!A224</f>
        <v>46265</v>
      </c>
      <c r="B224" s="40">
        <f>INDEX(Prices!$B224:$G224,1,Dashboard!$C$8)</f>
        <v>453</v>
      </c>
      <c r="C224" s="36">
        <f t="shared" si="12"/>
        <v>-4.833040421792556E-3</v>
      </c>
      <c r="D224" s="41">
        <f ca="1">AVERAGE(OFFSET(B224,1-MIN(Dashboard!$C$6,ROW()-1),0,MIN(Dashboard!$C$6,ROW()-1),1))</f>
        <v>458.02</v>
      </c>
      <c r="E224" s="41">
        <f ca="1">AVERAGE(OFFSET(B224,1-MIN(Dashboard!$C$7,ROW()-1),0,MIN(Dashboard!$C$7,ROW()-1),1))</f>
        <v>454.06000000000017</v>
      </c>
      <c r="F224" s="1">
        <f ca="1">IF(ROW()-1&gt;Dashboard!$C$7,IF(D223&gt;E223,1,0),0)</f>
        <v>1</v>
      </c>
      <c r="G224" s="36">
        <f t="shared" ca="1" si="13"/>
        <v>-4.833040421792556E-3</v>
      </c>
      <c r="H224" s="27">
        <f t="shared" si="14"/>
        <v>67.742481070612257</v>
      </c>
      <c r="I224" s="27">
        <f t="shared" ca="1" si="15"/>
        <v>94.514681981121939</v>
      </c>
      <c r="J224" s="1"/>
      <c r="K224" s="1"/>
    </row>
    <row r="225" spans="1:11" x14ac:dyDescent="0.3">
      <c r="A225" s="26">
        <f>Prices!A225</f>
        <v>46266</v>
      </c>
      <c r="B225" s="40">
        <f>INDEX(Prices!$B225:$G225,1,Dashboard!$C$8)</f>
        <v>441.4</v>
      </c>
      <c r="C225" s="36">
        <f t="shared" si="12"/>
        <v>-2.5607064017660108E-2</v>
      </c>
      <c r="D225" s="41">
        <f ca="1">AVERAGE(OFFSET(B225,1-MIN(Dashboard!$C$6,ROW()-1),0,MIN(Dashboard!$C$6,ROW()-1),1))</f>
        <v>455.70999999999992</v>
      </c>
      <c r="E225" s="41">
        <f ca="1">AVERAGE(OFFSET(B225,1-MIN(Dashboard!$C$7,ROW()-1),0,MIN(Dashboard!$C$7,ROW()-1),1))</f>
        <v>454.22800000000018</v>
      </c>
      <c r="F225" s="1">
        <f ca="1">IF(ROW()-1&gt;Dashboard!$C$7,IF(D224&gt;E224,1,0),0)</f>
        <v>1</v>
      </c>
      <c r="G225" s="36">
        <f t="shared" ca="1" si="13"/>
        <v>-2.5607064017660108E-2</v>
      </c>
      <c r="H225" s="27">
        <f t="shared" si="14"/>
        <v>66.007795021121964</v>
      </c>
      <c r="I225" s="27">
        <f t="shared" ca="1" si="15"/>
        <v>92.094438469022563</v>
      </c>
      <c r="J225" s="1"/>
      <c r="K225" s="1"/>
    </row>
    <row r="226" spans="1:11" x14ac:dyDescent="0.3">
      <c r="A226" s="26">
        <f>Prices!A226</f>
        <v>46267</v>
      </c>
      <c r="B226" s="40">
        <f>INDEX(Prices!$B226:$G226,1,Dashboard!$C$8)</f>
        <v>438.2</v>
      </c>
      <c r="C226" s="36">
        <f t="shared" si="12"/>
        <v>-7.2496601721794285E-3</v>
      </c>
      <c r="D226" s="41">
        <f ca="1">AVERAGE(OFFSET(B226,1-MIN(Dashboard!$C$6,ROW()-1),0,MIN(Dashboard!$C$6,ROW()-1),1))</f>
        <v>453.01000000000005</v>
      </c>
      <c r="E226" s="41">
        <f ca="1">AVERAGE(OFFSET(B226,1-MIN(Dashboard!$C$7,ROW()-1),0,MIN(Dashboard!$C$7,ROW()-1),1))</f>
        <v>454.6960000000002</v>
      </c>
      <c r="F226" s="1">
        <f ca="1">IF(ROW()-1&gt;Dashboard!$C$7,IF(D225&gt;E225,1,0),0)</f>
        <v>1</v>
      </c>
      <c r="G226" s="36">
        <f t="shared" ca="1" si="13"/>
        <v>-7.2496601721794285E-3</v>
      </c>
      <c r="H226" s="27">
        <f t="shared" si="14"/>
        <v>65.529260938503953</v>
      </c>
      <c r="I226" s="27">
        <f t="shared" ca="1" si="15"/>
        <v>91.426785086374466</v>
      </c>
      <c r="J226" s="1"/>
      <c r="K226" s="1"/>
    </row>
    <row r="227" spans="1:11" x14ac:dyDescent="0.3">
      <c r="A227" s="26">
        <f>Prices!A227</f>
        <v>46268</v>
      </c>
      <c r="B227" s="40">
        <f>INDEX(Prices!$B227:$G227,1,Dashboard!$C$8)</f>
        <v>433</v>
      </c>
      <c r="C227" s="36">
        <f t="shared" si="12"/>
        <v>-1.186672752167961E-2</v>
      </c>
      <c r="D227" s="41">
        <f ca="1">AVERAGE(OFFSET(B227,1-MIN(Dashboard!$C$6,ROW()-1),0,MIN(Dashboard!$C$6,ROW()-1),1))</f>
        <v>450.7</v>
      </c>
      <c r="E227" s="41">
        <f ca="1">AVERAGE(OFFSET(B227,1-MIN(Dashboard!$C$7,ROW()-1),0,MIN(Dashboard!$C$7,ROW()-1),1))</f>
        <v>454.7800000000002</v>
      </c>
      <c r="F227" s="1">
        <f ca="1">IF(ROW()-1&gt;Dashboard!$C$7,IF(D226&gt;E226,1,0),0)</f>
        <v>0</v>
      </c>
      <c r="G227" s="36">
        <f t="shared" ca="1" si="13"/>
        <v>0</v>
      </c>
      <c r="H227" s="27">
        <f t="shared" si="14"/>
        <v>64.751643054249683</v>
      </c>
      <c r="I227" s="27">
        <f t="shared" ca="1" si="15"/>
        <v>91.426785086374466</v>
      </c>
      <c r="J227" s="1"/>
      <c r="K227" s="1"/>
    </row>
    <row r="228" spans="1:11" x14ac:dyDescent="0.3">
      <c r="A228" s="26">
        <f>Prices!A228</f>
        <v>46269</v>
      </c>
      <c r="B228" s="40">
        <f>INDEX(Prices!$B228:$G228,1,Dashboard!$C$8)</f>
        <v>442.8</v>
      </c>
      <c r="C228" s="36">
        <f t="shared" si="12"/>
        <v>2.2632794457274841E-2</v>
      </c>
      <c r="D228" s="41">
        <f ca="1">AVERAGE(OFFSET(B228,1-MIN(Dashboard!$C$6,ROW()-1),0,MIN(Dashboard!$C$6,ROW()-1),1))</f>
        <v>448.9</v>
      </c>
      <c r="E228" s="41">
        <f ca="1">AVERAGE(OFFSET(B228,1-MIN(Dashboard!$C$7,ROW()-1),0,MIN(Dashboard!$C$7,ROW()-1),1))</f>
        <v>455.2080000000002</v>
      </c>
      <c r="F228" s="1">
        <f ca="1">IF(ROW()-1&gt;Dashboard!$C$7,IF(D227&gt;E227,1,0),0)</f>
        <v>0</v>
      </c>
      <c r="G228" s="36">
        <f t="shared" ca="1" si="13"/>
        <v>0</v>
      </c>
      <c r="H228" s="27">
        <f t="shared" si="14"/>
        <v>66.217153682267352</v>
      </c>
      <c r="I228" s="27">
        <f t="shared" ca="1" si="15"/>
        <v>91.426785086374466</v>
      </c>
      <c r="J228" s="1"/>
      <c r="K228" s="1"/>
    </row>
    <row r="229" spans="1:11" x14ac:dyDescent="0.3">
      <c r="A229" s="26">
        <f>Prices!A229</f>
        <v>46272</v>
      </c>
      <c r="B229" s="40">
        <f>INDEX(Prices!$B229:$G229,1,Dashboard!$C$8)</f>
        <v>438.4</v>
      </c>
      <c r="C229" s="36">
        <f t="shared" si="12"/>
        <v>-9.936766034327138E-3</v>
      </c>
      <c r="D229" s="41">
        <f ca="1">AVERAGE(OFFSET(B229,1-MIN(Dashboard!$C$6,ROW()-1),0,MIN(Dashboard!$C$6,ROW()-1),1))</f>
        <v>446.74999999999989</v>
      </c>
      <c r="E229" s="41">
        <f ca="1">AVERAGE(OFFSET(B229,1-MIN(Dashboard!$C$7,ROW()-1),0,MIN(Dashboard!$C$7,ROW()-1),1))</f>
        <v>455.74000000000012</v>
      </c>
      <c r="F229" s="1">
        <f ca="1">IF(ROW()-1&gt;Dashboard!$C$7,IF(D228&gt;E228,1,0),0)</f>
        <v>0</v>
      </c>
      <c r="G229" s="36">
        <f t="shared" ca="1" si="13"/>
        <v>0</v>
      </c>
      <c r="H229" s="27">
        <f t="shared" si="14"/>
        <v>65.559169318667571</v>
      </c>
      <c r="I229" s="27">
        <f t="shared" ca="1" si="15"/>
        <v>91.426785086374466</v>
      </c>
      <c r="J229" s="1"/>
      <c r="K229" s="1"/>
    </row>
    <row r="230" spans="1:11" x14ac:dyDescent="0.3">
      <c r="A230" s="26">
        <f>Prices!A230</f>
        <v>46273</v>
      </c>
      <c r="B230" s="40">
        <f>INDEX(Prices!$B230:$G230,1,Dashboard!$C$8)</f>
        <v>435.4</v>
      </c>
      <c r="C230" s="36">
        <f t="shared" si="12"/>
        <v>-6.8430656934306278E-3</v>
      </c>
      <c r="D230" s="41">
        <f ca="1">AVERAGE(OFFSET(B230,1-MIN(Dashboard!$C$6,ROW()-1),0,MIN(Dashboard!$C$6,ROW()-1),1))</f>
        <v>444.9799999999999</v>
      </c>
      <c r="E230" s="41">
        <f ca="1">AVERAGE(OFFSET(B230,1-MIN(Dashboard!$C$7,ROW()-1),0,MIN(Dashboard!$C$7,ROW()-1),1))</f>
        <v>456.04400000000015</v>
      </c>
      <c r="F230" s="1">
        <f ca="1">IF(ROW()-1&gt;Dashboard!$C$7,IF(D229&gt;E229,1,0),0)</f>
        <v>0</v>
      </c>
      <c r="G230" s="36">
        <f t="shared" ca="1" si="13"/>
        <v>0</v>
      </c>
      <c r="H230" s="27">
        <f t="shared" si="14"/>
        <v>65.110543616213192</v>
      </c>
      <c r="I230" s="27">
        <f t="shared" ca="1" si="15"/>
        <v>91.426785086374466</v>
      </c>
      <c r="J230" s="1"/>
      <c r="K230" s="1"/>
    </row>
    <row r="231" spans="1:11" x14ac:dyDescent="0.3">
      <c r="A231" s="26">
        <f>Prices!A231</f>
        <v>46274</v>
      </c>
      <c r="B231" s="40">
        <f>INDEX(Prices!$B231:$G231,1,Dashboard!$C$8)</f>
        <v>434</v>
      </c>
      <c r="C231" s="36">
        <f t="shared" si="12"/>
        <v>-3.215434083601254E-3</v>
      </c>
      <c r="D231" s="41">
        <f ca="1">AVERAGE(OFFSET(B231,1-MIN(Dashboard!$C$6,ROW()-1),0,MIN(Dashboard!$C$6,ROW()-1),1))</f>
        <v>443.6</v>
      </c>
      <c r="E231" s="41">
        <f ca="1">AVERAGE(OFFSET(B231,1-MIN(Dashboard!$C$7,ROW()-1),0,MIN(Dashboard!$C$7,ROW()-1),1))</f>
        <v>456.12800000000016</v>
      </c>
      <c r="F231" s="1">
        <f ca="1">IF(ROW()-1&gt;Dashboard!$C$7,IF(D230&gt;E230,1,0),0)</f>
        <v>0</v>
      </c>
      <c r="G231" s="36">
        <f t="shared" ca="1" si="13"/>
        <v>0</v>
      </c>
      <c r="H231" s="27">
        <f t="shared" si="14"/>
        <v>64.901184955067819</v>
      </c>
      <c r="I231" s="27">
        <f t="shared" ca="1" si="15"/>
        <v>91.426785086374466</v>
      </c>
      <c r="J231" s="1"/>
      <c r="K231" s="1"/>
    </row>
    <row r="232" spans="1:11" x14ac:dyDescent="0.3">
      <c r="A232" s="26">
        <f>Prices!A232</f>
        <v>46275</v>
      </c>
      <c r="B232" s="40">
        <f>INDEX(Prices!$B232:$G232,1,Dashboard!$C$8)</f>
        <v>425.6</v>
      </c>
      <c r="C232" s="36">
        <f t="shared" si="12"/>
        <v>-1.9354838709677358E-2</v>
      </c>
      <c r="D232" s="41">
        <f ca="1">AVERAGE(OFFSET(B232,1-MIN(Dashboard!$C$6,ROW()-1),0,MIN(Dashboard!$C$6,ROW()-1),1))</f>
        <v>442.83000000000004</v>
      </c>
      <c r="E232" s="41">
        <f ca="1">AVERAGE(OFFSET(B232,1-MIN(Dashboard!$C$7,ROW()-1),0,MIN(Dashboard!$C$7,ROW()-1),1))</f>
        <v>456.03600000000006</v>
      </c>
      <c r="F232" s="1">
        <f ca="1">IF(ROW()-1&gt;Dashboard!$C$7,IF(D231&gt;E231,1,0),0)</f>
        <v>0</v>
      </c>
      <c r="G232" s="36">
        <f t="shared" ca="1" si="13"/>
        <v>0</v>
      </c>
      <c r="H232" s="27">
        <f t="shared" si="14"/>
        <v>63.645032988195545</v>
      </c>
      <c r="I232" s="27">
        <f t="shared" ca="1" si="15"/>
        <v>91.426785086374466</v>
      </c>
      <c r="J232" s="1"/>
      <c r="K232" s="1"/>
    </row>
    <row r="233" spans="1:11" x14ac:dyDescent="0.3">
      <c r="A233" s="26">
        <f>Prices!A233</f>
        <v>46276</v>
      </c>
      <c r="B233" s="40">
        <f>INDEX(Prices!$B233:$G233,1,Dashboard!$C$8)</f>
        <v>428.4</v>
      </c>
      <c r="C233" s="36">
        <f t="shared" si="12"/>
        <v>6.5789473684210176E-3</v>
      </c>
      <c r="D233" s="41">
        <f ca="1">AVERAGE(OFFSET(B233,1-MIN(Dashboard!$C$6,ROW()-1),0,MIN(Dashboard!$C$6,ROW()-1),1))</f>
        <v>442.24999999999989</v>
      </c>
      <c r="E233" s="41">
        <f ca="1">AVERAGE(OFFSET(B233,1-MIN(Dashboard!$C$7,ROW()-1),0,MIN(Dashboard!$C$7,ROW()-1),1))</f>
        <v>455.98000000000013</v>
      </c>
      <c r="F233" s="1">
        <f ca="1">IF(ROW()-1&gt;Dashboard!$C$7,IF(D232&gt;E232,1,0),0)</f>
        <v>0</v>
      </c>
      <c r="G233" s="36">
        <f t="shared" ca="1" si="13"/>
        <v>0</v>
      </c>
      <c r="H233" s="27">
        <f t="shared" si="14"/>
        <v>64.063750310486299</v>
      </c>
      <c r="I233" s="27">
        <f t="shared" ca="1" si="15"/>
        <v>91.426785086374466</v>
      </c>
      <c r="J233" s="1"/>
      <c r="K233" s="1"/>
    </row>
    <row r="234" spans="1:11" x14ac:dyDescent="0.3">
      <c r="A234" s="26">
        <f>Prices!A234</f>
        <v>46279</v>
      </c>
      <c r="B234" s="40">
        <f>INDEX(Prices!$B234:$G234,1,Dashboard!$C$8)</f>
        <v>430.6</v>
      </c>
      <c r="C234" s="36">
        <f t="shared" si="12"/>
        <v>5.1353874883288686E-3</v>
      </c>
      <c r="D234" s="41">
        <f ca="1">AVERAGE(OFFSET(B234,1-MIN(Dashboard!$C$6,ROW()-1),0,MIN(Dashboard!$C$6,ROW()-1),1))</f>
        <v>441.45999999999992</v>
      </c>
      <c r="E234" s="41">
        <f ca="1">AVERAGE(OFFSET(B234,1-MIN(Dashboard!$C$7,ROW()-1),0,MIN(Dashboard!$C$7,ROW()-1),1))</f>
        <v>455.55200000000013</v>
      </c>
      <c r="F234" s="1">
        <f ca="1">IF(ROW()-1&gt;Dashboard!$C$7,IF(D233&gt;E233,1,0),0)</f>
        <v>0</v>
      </c>
      <c r="G234" s="36">
        <f t="shared" ca="1" si="13"/>
        <v>0</v>
      </c>
      <c r="H234" s="27">
        <f t="shared" si="14"/>
        <v>64.392742492286189</v>
      </c>
      <c r="I234" s="27">
        <f t="shared" ca="1" si="15"/>
        <v>91.426785086374466</v>
      </c>
      <c r="J234" s="1"/>
      <c r="K234" s="1"/>
    </row>
    <row r="235" spans="1:11" x14ac:dyDescent="0.3">
      <c r="A235" s="26">
        <f>Prices!A235</f>
        <v>46280</v>
      </c>
      <c r="B235" s="40">
        <f>INDEX(Prices!$B235:$G235,1,Dashboard!$C$8)</f>
        <v>438.8</v>
      </c>
      <c r="C235" s="36">
        <f t="shared" si="12"/>
        <v>1.9043195541105451E-2</v>
      </c>
      <c r="D235" s="41">
        <f ca="1">AVERAGE(OFFSET(B235,1-MIN(Dashboard!$C$6,ROW()-1),0,MIN(Dashboard!$C$6,ROW()-1),1))</f>
        <v>441.27999999999992</v>
      </c>
      <c r="E235" s="41">
        <f ca="1">AVERAGE(OFFSET(B235,1-MIN(Dashboard!$C$7,ROW()-1),0,MIN(Dashboard!$C$7,ROW()-1),1))</f>
        <v>455.1040000000001</v>
      </c>
      <c r="F235" s="1">
        <f ca="1">IF(ROW()-1&gt;Dashboard!$C$7,IF(D234&gt;E234,1,0),0)</f>
        <v>0</v>
      </c>
      <c r="G235" s="36">
        <f t="shared" ca="1" si="13"/>
        <v>0</v>
      </c>
      <c r="H235" s="27">
        <f t="shared" si="14"/>
        <v>65.618986078994851</v>
      </c>
      <c r="I235" s="27">
        <f t="shared" ca="1" si="15"/>
        <v>91.426785086374466</v>
      </c>
      <c r="J235" s="1"/>
      <c r="K235" s="1"/>
    </row>
    <row r="236" spans="1:11" x14ac:dyDescent="0.3">
      <c r="A236" s="26">
        <f>Prices!A236</f>
        <v>46281</v>
      </c>
      <c r="B236" s="40">
        <f>INDEX(Prices!$B236:$G236,1,Dashboard!$C$8)</f>
        <v>433.4</v>
      </c>
      <c r="C236" s="36">
        <f t="shared" si="12"/>
        <v>-1.2306289881495069E-2</v>
      </c>
      <c r="D236" s="41">
        <f ca="1">AVERAGE(OFFSET(B236,1-MIN(Dashboard!$C$6,ROW()-1),0,MIN(Dashboard!$C$6,ROW()-1),1))</f>
        <v>440.59</v>
      </c>
      <c r="E236" s="41">
        <f ca="1">AVERAGE(OFFSET(B236,1-MIN(Dashboard!$C$7,ROW()-1),0,MIN(Dashboard!$C$7,ROW()-1),1))</f>
        <v>454.19600000000008</v>
      </c>
      <c r="F236" s="1">
        <f ca="1">IF(ROW()-1&gt;Dashboard!$C$7,IF(D235&gt;E235,1,0),0)</f>
        <v>0</v>
      </c>
      <c r="G236" s="36">
        <f t="shared" ca="1" si="13"/>
        <v>0</v>
      </c>
      <c r="H236" s="27">
        <f t="shared" si="14"/>
        <v>64.811459814576949</v>
      </c>
      <c r="I236" s="27">
        <f t="shared" ca="1" si="15"/>
        <v>91.426785086374466</v>
      </c>
      <c r="J236" s="1"/>
      <c r="K236" s="1"/>
    </row>
    <row r="237" spans="1:11" x14ac:dyDescent="0.3">
      <c r="A237" s="26">
        <f>Prices!A237</f>
        <v>46282</v>
      </c>
      <c r="B237" s="40">
        <f>INDEX(Prices!$B237:$G237,1,Dashboard!$C$8)</f>
        <v>426</v>
      </c>
      <c r="C237" s="36">
        <f t="shared" si="12"/>
        <v>-1.7074296262113431E-2</v>
      </c>
      <c r="D237" s="41">
        <f ca="1">AVERAGE(OFFSET(B237,1-MIN(Dashboard!$C$6,ROW()-1),0,MIN(Dashboard!$C$6,ROW()-1),1))</f>
        <v>439.32</v>
      </c>
      <c r="E237" s="41">
        <f ca="1">AVERAGE(OFFSET(B237,1-MIN(Dashboard!$C$7,ROW()-1),0,MIN(Dashboard!$C$7,ROW()-1),1))</f>
        <v>453.32400000000001</v>
      </c>
      <c r="F237" s="1">
        <f ca="1">IF(ROW()-1&gt;Dashboard!$C$7,IF(D236&gt;E236,1,0),0)</f>
        <v>0</v>
      </c>
      <c r="G237" s="36">
        <f t="shared" ca="1" si="13"/>
        <v>0</v>
      </c>
      <c r="H237" s="27">
        <f t="shared" si="14"/>
        <v>63.704849748522804</v>
      </c>
      <c r="I237" s="27">
        <f t="shared" ca="1" si="15"/>
        <v>91.426785086374466</v>
      </c>
      <c r="J237" s="1"/>
      <c r="K237" s="1"/>
    </row>
    <row r="238" spans="1:11" x14ac:dyDescent="0.3">
      <c r="A238" s="26">
        <f>Prices!A238</f>
        <v>46283</v>
      </c>
      <c r="B238" s="40">
        <f>INDEX(Prices!$B238:$G238,1,Dashboard!$C$8)</f>
        <v>419</v>
      </c>
      <c r="C238" s="36">
        <f t="shared" si="12"/>
        <v>-1.6431924882629123E-2</v>
      </c>
      <c r="D238" s="41">
        <f ca="1">AVERAGE(OFFSET(B238,1-MIN(Dashboard!$C$6,ROW()-1),0,MIN(Dashboard!$C$6,ROW()-1),1))</f>
        <v>437.41999999999996</v>
      </c>
      <c r="E238" s="41">
        <f ca="1">AVERAGE(OFFSET(B238,1-MIN(Dashboard!$C$7,ROW()-1),0,MIN(Dashboard!$C$7,ROW()-1),1))</f>
        <v>452.50000000000006</v>
      </c>
      <c r="F238" s="1">
        <f ca="1">IF(ROW()-1&gt;Dashboard!$C$7,IF(D237&gt;E237,1,0),0)</f>
        <v>0</v>
      </c>
      <c r="G238" s="36">
        <f t="shared" ca="1" si="13"/>
        <v>0</v>
      </c>
      <c r="H238" s="27">
        <f t="shared" si="14"/>
        <v>62.658056442795903</v>
      </c>
      <c r="I238" s="27">
        <f t="shared" ca="1" si="15"/>
        <v>91.426785086374466</v>
      </c>
      <c r="J238" s="1"/>
      <c r="K238" s="1"/>
    </row>
    <row r="239" spans="1:11" x14ac:dyDescent="0.3">
      <c r="A239" s="26">
        <f>Prices!A239</f>
        <v>46286</v>
      </c>
      <c r="B239" s="40">
        <f>INDEX(Prices!$B239:$G239,1,Dashboard!$C$8)</f>
        <v>430</v>
      </c>
      <c r="C239" s="36">
        <f t="shared" si="12"/>
        <v>2.6252983293556076E-2</v>
      </c>
      <c r="D239" s="41">
        <f ca="1">AVERAGE(OFFSET(B239,1-MIN(Dashboard!$C$6,ROW()-1),0,MIN(Dashboard!$C$6,ROW()-1),1))</f>
        <v>436.91999999999996</v>
      </c>
      <c r="E239" s="41">
        <f ca="1">AVERAGE(OFFSET(B239,1-MIN(Dashboard!$C$7,ROW()-1),0,MIN(Dashboard!$C$7,ROW()-1),1))</f>
        <v>451.94800000000004</v>
      </c>
      <c r="F239" s="1">
        <f ca="1">IF(ROW()-1&gt;Dashboard!$C$7,IF(D238&gt;E238,1,0),0)</f>
        <v>0</v>
      </c>
      <c r="G239" s="36">
        <f t="shared" ca="1" si="13"/>
        <v>0</v>
      </c>
      <c r="H239" s="27">
        <f t="shared" si="14"/>
        <v>64.303017351795319</v>
      </c>
      <c r="I239" s="27">
        <f t="shared" ca="1" si="15"/>
        <v>91.426785086374466</v>
      </c>
      <c r="J239" s="1"/>
      <c r="K239" s="1"/>
    </row>
    <row r="240" spans="1:11" x14ac:dyDescent="0.3">
      <c r="A240" s="26">
        <f>Prices!A240</f>
        <v>46287</v>
      </c>
      <c r="B240" s="40">
        <f>INDEX(Prices!$B240:$G240,1,Dashboard!$C$8)</f>
        <v>451.6</v>
      </c>
      <c r="C240" s="36">
        <f t="shared" si="12"/>
        <v>5.0232558139534866E-2</v>
      </c>
      <c r="D240" s="41">
        <f ca="1">AVERAGE(OFFSET(B240,1-MIN(Dashboard!$C$6,ROW()-1),0,MIN(Dashboard!$C$6,ROW()-1),1))</f>
        <v>437.40000000000009</v>
      </c>
      <c r="E240" s="41">
        <f ca="1">AVERAGE(OFFSET(B240,1-MIN(Dashboard!$C$7,ROW()-1),0,MIN(Dashboard!$C$7,ROW()-1),1))</f>
        <v>451.85599999999994</v>
      </c>
      <c r="F240" s="1">
        <f ca="1">IF(ROW()-1&gt;Dashboard!$C$7,IF(D239&gt;E239,1,0),0)</f>
        <v>0</v>
      </c>
      <c r="G240" s="36">
        <f t="shared" ca="1" si="13"/>
        <v>0</v>
      </c>
      <c r="H240" s="27">
        <f t="shared" si="14"/>
        <v>67.533122409466898</v>
      </c>
      <c r="I240" s="27">
        <f t="shared" ca="1" si="15"/>
        <v>91.426785086374466</v>
      </c>
      <c r="J240" s="1"/>
      <c r="K240" s="1"/>
    </row>
    <row r="241" spans="1:11" x14ac:dyDescent="0.3">
      <c r="A241" s="26">
        <f>Prices!A241</f>
        <v>46288</v>
      </c>
      <c r="B241" s="40">
        <f>INDEX(Prices!$B241:$G241,1,Dashboard!$C$8)</f>
        <v>441</v>
      </c>
      <c r="C241" s="36">
        <f t="shared" si="12"/>
        <v>-2.347209920283444E-2</v>
      </c>
      <c r="D241" s="41">
        <f ca="1">AVERAGE(OFFSET(B241,1-MIN(Dashboard!$C$6,ROW()-1),0,MIN(Dashboard!$C$6,ROW()-1),1))</f>
        <v>437.18</v>
      </c>
      <c r="E241" s="41">
        <f ca="1">AVERAGE(OFFSET(B241,1-MIN(Dashboard!$C$7,ROW()-1),0,MIN(Dashboard!$C$7,ROW()-1),1))</f>
        <v>451.19599999999997</v>
      </c>
      <c r="F241" s="1">
        <f ca="1">IF(ROW()-1&gt;Dashboard!$C$7,IF(D240&gt;E240,1,0),0)</f>
        <v>0</v>
      </c>
      <c r="G241" s="36">
        <f t="shared" ca="1" si="13"/>
        <v>0</v>
      </c>
      <c r="H241" s="27">
        <f t="shared" si="14"/>
        <v>65.947978260794727</v>
      </c>
      <c r="I241" s="27">
        <f t="shared" ca="1" si="15"/>
        <v>91.426785086374466</v>
      </c>
      <c r="J241" s="1"/>
      <c r="K241" s="1"/>
    </row>
    <row r="242" spans="1:11" x14ac:dyDescent="0.3">
      <c r="A242" s="26">
        <f>Prices!A242</f>
        <v>46289</v>
      </c>
      <c r="B242" s="40">
        <f>INDEX(Prices!$B242:$G242,1,Dashboard!$C$8)</f>
        <v>438.4</v>
      </c>
      <c r="C242" s="36">
        <f t="shared" si="12"/>
        <v>-5.8956916099773826E-3</v>
      </c>
      <c r="D242" s="41">
        <f ca="1">AVERAGE(OFFSET(B242,1-MIN(Dashboard!$C$6,ROW()-1),0,MIN(Dashboard!$C$6,ROW()-1),1))</f>
        <v>436.71000000000004</v>
      </c>
      <c r="E242" s="41">
        <f ca="1">AVERAGE(OFFSET(B242,1-MIN(Dashboard!$C$7,ROW()-1),0,MIN(Dashboard!$C$7,ROW()-1),1))</f>
        <v>450.28399999999999</v>
      </c>
      <c r="F242" s="1">
        <f ca="1">IF(ROW()-1&gt;Dashboard!$C$7,IF(D241&gt;E241,1,0),0)</f>
        <v>0</v>
      </c>
      <c r="G242" s="36">
        <f t="shared" ca="1" si="13"/>
        <v>0</v>
      </c>
      <c r="H242" s="27">
        <f t="shared" si="14"/>
        <v>65.559169318667585</v>
      </c>
      <c r="I242" s="27">
        <f t="shared" ca="1" si="15"/>
        <v>91.426785086374466</v>
      </c>
      <c r="J242" s="1"/>
      <c r="K242" s="1"/>
    </row>
    <row r="243" spans="1:11" x14ac:dyDescent="0.3">
      <c r="A243" s="26">
        <f>Prices!A243</f>
        <v>46290</v>
      </c>
      <c r="B243" s="40">
        <f>INDEX(Prices!$B243:$G243,1,Dashboard!$C$8)</f>
        <v>436.6</v>
      </c>
      <c r="C243" s="36">
        <f t="shared" si="12"/>
        <v>-4.1058394160582434E-3</v>
      </c>
      <c r="D243" s="41">
        <f ca="1">AVERAGE(OFFSET(B243,1-MIN(Dashboard!$C$6,ROW()-1),0,MIN(Dashboard!$C$6,ROW()-1),1))</f>
        <v>435.78000000000003</v>
      </c>
      <c r="E243" s="41">
        <f ca="1">AVERAGE(OFFSET(B243,1-MIN(Dashboard!$C$7,ROW()-1),0,MIN(Dashboard!$C$7,ROW()-1),1))</f>
        <v>449.78399999999993</v>
      </c>
      <c r="F243" s="1">
        <f ca="1">IF(ROW()-1&gt;Dashboard!$C$7,IF(D242&gt;E242,1,0),0)</f>
        <v>0</v>
      </c>
      <c r="G243" s="36">
        <f t="shared" ca="1" si="13"/>
        <v>0</v>
      </c>
      <c r="H243" s="27">
        <f t="shared" si="14"/>
        <v>65.289993897194961</v>
      </c>
      <c r="I243" s="27">
        <f t="shared" ca="1" si="15"/>
        <v>91.426785086374466</v>
      </c>
      <c r="J243" s="1"/>
      <c r="K243" s="1"/>
    </row>
    <row r="244" spans="1:11" x14ac:dyDescent="0.3">
      <c r="A244" s="26">
        <f>Prices!A244</f>
        <v>46293</v>
      </c>
      <c r="B244" s="40">
        <f>INDEX(Prices!$B244:$G244,1,Dashboard!$C$8)</f>
        <v>439.8</v>
      </c>
      <c r="C244" s="36">
        <f t="shared" si="12"/>
        <v>7.3293632615665238E-3</v>
      </c>
      <c r="D244" s="41">
        <f ca="1">AVERAGE(OFFSET(B244,1-MIN(Dashboard!$C$6,ROW()-1),0,MIN(Dashboard!$C$6,ROW()-1),1))</f>
        <v>435.12</v>
      </c>
      <c r="E244" s="41">
        <f ca="1">AVERAGE(OFFSET(B244,1-MIN(Dashboard!$C$7,ROW()-1),0,MIN(Dashboard!$C$7,ROW()-1),1))</f>
        <v>449.02399999999994</v>
      </c>
      <c r="F244" s="1">
        <f ca="1">IF(ROW()-1&gt;Dashboard!$C$7,IF(D243&gt;E243,1,0),0)</f>
        <v>0</v>
      </c>
      <c r="G244" s="36">
        <f t="shared" ca="1" si="13"/>
        <v>0</v>
      </c>
      <c r="H244" s="27">
        <f t="shared" si="14"/>
        <v>65.768527979812959</v>
      </c>
      <c r="I244" s="27">
        <f t="shared" ca="1" si="15"/>
        <v>91.426785086374466</v>
      </c>
      <c r="J244" s="1"/>
      <c r="K244" s="1"/>
    </row>
    <row r="245" spans="1:11" x14ac:dyDescent="0.3">
      <c r="A245" s="26">
        <f>Prices!A245</f>
        <v>46294</v>
      </c>
      <c r="B245" s="40">
        <f>INDEX(Prices!$B245:$G245,1,Dashboard!$C$8)</f>
        <v>432</v>
      </c>
      <c r="C245" s="36">
        <f t="shared" si="12"/>
        <v>-1.7735334242837686E-2</v>
      </c>
      <c r="D245" s="41">
        <f ca="1">AVERAGE(OFFSET(B245,1-MIN(Dashboard!$C$6,ROW()-1),0,MIN(Dashboard!$C$6,ROW()-1),1))</f>
        <v>434.65</v>
      </c>
      <c r="E245" s="41">
        <f ca="1">AVERAGE(OFFSET(B245,1-MIN(Dashboard!$C$7,ROW()-1),0,MIN(Dashboard!$C$7,ROW()-1),1))</f>
        <v>448.18399999999997</v>
      </c>
      <c r="F245" s="1">
        <f ca="1">IF(ROW()-1&gt;Dashboard!$C$7,IF(D244&gt;E244,1,0),0)</f>
        <v>0</v>
      </c>
      <c r="G245" s="36">
        <f t="shared" ca="1" si="13"/>
        <v>0</v>
      </c>
      <c r="H245" s="27">
        <f t="shared" si="14"/>
        <v>64.602101153431548</v>
      </c>
      <c r="I245" s="27">
        <f t="shared" ca="1" si="15"/>
        <v>91.426785086374466</v>
      </c>
      <c r="J245" s="1"/>
      <c r="K245" s="1"/>
    </row>
    <row r="246" spans="1:11" x14ac:dyDescent="0.3">
      <c r="A246" s="26">
        <f>Prices!A246</f>
        <v>46295</v>
      </c>
      <c r="B246" s="40">
        <f>INDEX(Prices!$B246:$G246,1,Dashboard!$C$8)</f>
        <v>431</v>
      </c>
      <c r="C246" s="36">
        <f t="shared" si="12"/>
        <v>-2.3148148148147696E-3</v>
      </c>
      <c r="D246" s="41">
        <f ca="1">AVERAGE(OFFSET(B246,1-MIN(Dashboard!$C$6,ROW()-1),0,MIN(Dashboard!$C$6,ROW()-1),1))</f>
        <v>434.28999999999996</v>
      </c>
      <c r="E246" s="41">
        <f ca="1">AVERAGE(OFFSET(B246,1-MIN(Dashboard!$C$7,ROW()-1),0,MIN(Dashboard!$C$7,ROW()-1),1))</f>
        <v>447.99199999999996</v>
      </c>
      <c r="F246" s="1">
        <f ca="1">IF(ROW()-1&gt;Dashboard!$C$7,IF(D245&gt;E245,1,0),0)</f>
        <v>0</v>
      </c>
      <c r="G246" s="36">
        <f t="shared" ca="1" si="13"/>
        <v>0</v>
      </c>
      <c r="H246" s="27">
        <f t="shared" si="14"/>
        <v>64.452559252613426</v>
      </c>
      <c r="I246" s="27">
        <f t="shared" ca="1" si="15"/>
        <v>91.426785086374466</v>
      </c>
      <c r="J246" s="1"/>
      <c r="K246" s="1"/>
    </row>
    <row r="247" spans="1:11" x14ac:dyDescent="0.3">
      <c r="A247" s="26">
        <f>Prices!A247</f>
        <v>46297</v>
      </c>
      <c r="B247" s="40">
        <f>INDEX(Prices!$B247:$G247,1,Dashboard!$C$8)</f>
        <v>421.2</v>
      </c>
      <c r="C247" s="36">
        <f t="shared" si="12"/>
        <v>-2.2737819025522077E-2</v>
      </c>
      <c r="D247" s="41">
        <f ca="1">AVERAGE(OFFSET(B247,1-MIN(Dashboard!$C$6,ROW()-1),0,MIN(Dashboard!$C$6,ROW()-1),1))</f>
        <v>433.7</v>
      </c>
      <c r="E247" s="41">
        <f ca="1">AVERAGE(OFFSET(B247,1-MIN(Dashboard!$C$7,ROW()-1),0,MIN(Dashboard!$C$7,ROW()-1),1))</f>
        <v>447.51199999999994</v>
      </c>
      <c r="F247" s="1">
        <f ca="1">IF(ROW()-1&gt;Dashboard!$C$7,IF(D246&gt;E246,1,0),0)</f>
        <v>0</v>
      </c>
      <c r="G247" s="36">
        <f t="shared" ca="1" si="13"/>
        <v>0</v>
      </c>
      <c r="H247" s="27">
        <f t="shared" si="14"/>
        <v>62.987048624595765</v>
      </c>
      <c r="I247" s="27">
        <f t="shared" ca="1" si="15"/>
        <v>91.426785086374466</v>
      </c>
      <c r="J247" s="1"/>
      <c r="K247" s="1"/>
    </row>
    <row r="248" spans="1:11" x14ac:dyDescent="0.3">
      <c r="A248" s="26">
        <f>Prices!A248</f>
        <v>46300</v>
      </c>
      <c r="B248" s="40">
        <f>INDEX(Prices!$B248:$G248,1,Dashboard!$C$8)</f>
        <v>423</v>
      </c>
      <c r="C248" s="36">
        <f t="shared" si="12"/>
        <v>4.2735042735042583E-3</v>
      </c>
      <c r="D248" s="41">
        <f ca="1">AVERAGE(OFFSET(B248,1-MIN(Dashboard!$C$6,ROW()-1),0,MIN(Dashboard!$C$6,ROW()-1),1))</f>
        <v>432.71000000000004</v>
      </c>
      <c r="E248" s="41">
        <f ca="1">AVERAGE(OFFSET(B248,1-MIN(Dashboard!$C$7,ROW()-1),0,MIN(Dashboard!$C$7,ROW()-1),1))</f>
        <v>447.28</v>
      </c>
      <c r="F248" s="1">
        <f ca="1">IF(ROW()-1&gt;Dashboard!$C$7,IF(D247&gt;E247,1,0),0)</f>
        <v>0</v>
      </c>
      <c r="G248" s="36">
        <f t="shared" ca="1" si="13"/>
        <v>0</v>
      </c>
      <c r="H248" s="27">
        <f t="shared" si="14"/>
        <v>63.256224046068397</v>
      </c>
      <c r="I248" s="27">
        <f t="shared" ca="1" si="15"/>
        <v>91.426785086374466</v>
      </c>
      <c r="J248" s="1"/>
      <c r="K248" s="1"/>
    </row>
    <row r="249" spans="1:11" x14ac:dyDescent="0.3">
      <c r="A249" s="26">
        <f>Prices!A249</f>
        <v>46301</v>
      </c>
      <c r="B249" s="40">
        <f>INDEX(Prices!$B249:$G249,1,Dashboard!$C$8)</f>
        <v>428.2</v>
      </c>
      <c r="C249" s="36">
        <f t="shared" si="12"/>
        <v>1.2293144208037843E-2</v>
      </c>
      <c r="D249" s="41">
        <f ca="1">AVERAGE(OFFSET(B249,1-MIN(Dashboard!$C$6,ROW()-1),0,MIN(Dashboard!$C$6,ROW()-1),1))</f>
        <v>432.2000000000001</v>
      </c>
      <c r="E249" s="41">
        <f ca="1">AVERAGE(OFFSET(B249,1-MIN(Dashboard!$C$7,ROW()-1),0,MIN(Dashboard!$C$7,ROW()-1),1))</f>
        <v>446.98399999999992</v>
      </c>
      <c r="F249" s="1">
        <f ca="1">IF(ROW()-1&gt;Dashboard!$C$7,IF(D248&gt;E248,1,0),0)</f>
        <v>0</v>
      </c>
      <c r="G249" s="36">
        <f t="shared" ca="1" si="13"/>
        <v>0</v>
      </c>
      <c r="H249" s="27">
        <f t="shared" si="14"/>
        <v>64.033841930322666</v>
      </c>
      <c r="I249" s="27">
        <f t="shared" ca="1" si="15"/>
        <v>91.426785086374466</v>
      </c>
      <c r="J249" s="1"/>
      <c r="K249" s="1"/>
    </row>
    <row r="250" spans="1:11" x14ac:dyDescent="0.3">
      <c r="A250" s="26">
        <f>Prices!A250</f>
        <v>46302</v>
      </c>
      <c r="B250" s="40">
        <f>INDEX(Prices!$B250:$G250,1,Dashboard!$C$8)</f>
        <v>420.6</v>
      </c>
      <c r="C250" s="36">
        <f t="shared" si="12"/>
        <v>-1.7748715553479566E-2</v>
      </c>
      <c r="D250" s="41">
        <f ca="1">AVERAGE(OFFSET(B250,1-MIN(Dashboard!$C$6,ROW()-1),0,MIN(Dashboard!$C$6,ROW()-1),1))</f>
        <v>431.46000000000004</v>
      </c>
      <c r="E250" s="41">
        <f ca="1">AVERAGE(OFFSET(B250,1-MIN(Dashboard!$C$7,ROW()-1),0,MIN(Dashboard!$C$7,ROW()-1),1))</f>
        <v>446.45199999999988</v>
      </c>
      <c r="F250" s="1">
        <f ca="1">IF(ROW()-1&gt;Dashboard!$C$7,IF(D249&gt;E249,1,0),0)</f>
        <v>0</v>
      </c>
      <c r="G250" s="36">
        <f t="shared" ca="1" si="13"/>
        <v>0</v>
      </c>
      <c r="H250" s="27">
        <f t="shared" si="14"/>
        <v>62.897323484104895</v>
      </c>
      <c r="I250" s="27">
        <f t="shared" ca="1" si="15"/>
        <v>91.426785086374466</v>
      </c>
      <c r="J250" s="1"/>
      <c r="K250" s="1"/>
    </row>
    <row r="251" spans="1:11" x14ac:dyDescent="0.3">
      <c r="A251" s="26">
        <f>Prices!A251</f>
        <v>46303</v>
      </c>
      <c r="B251" s="40">
        <f>INDEX(Prices!$B251:$G251,1,Dashboard!$C$8)</f>
        <v>411.4</v>
      </c>
      <c r="C251" s="36">
        <f t="shared" si="12"/>
        <v>-2.1873514027579755E-2</v>
      </c>
      <c r="D251" s="41">
        <f ca="1">AVERAGE(OFFSET(B251,1-MIN(Dashboard!$C$6,ROW()-1),0,MIN(Dashboard!$C$6,ROW()-1),1))</f>
        <v>430.32999999999993</v>
      </c>
      <c r="E251" s="41">
        <f ca="1">AVERAGE(OFFSET(B251,1-MIN(Dashboard!$C$7,ROW()-1),0,MIN(Dashboard!$C$7,ROW()-1),1))</f>
        <v>445.35199999999992</v>
      </c>
      <c r="F251" s="1">
        <f ca="1">IF(ROW()-1&gt;Dashboard!$C$7,IF(D250&gt;E250,1,0),0)</f>
        <v>0</v>
      </c>
      <c r="G251" s="36">
        <f t="shared" ca="1" si="13"/>
        <v>0</v>
      </c>
      <c r="H251" s="27">
        <f t="shared" si="14"/>
        <v>61.521537996578104</v>
      </c>
      <c r="I251" s="27">
        <f t="shared" ca="1" si="15"/>
        <v>91.426785086374466</v>
      </c>
      <c r="J251" s="1"/>
      <c r="K251" s="1"/>
    </row>
    <row r="252" spans="1:11" x14ac:dyDescent="0.3">
      <c r="A252" s="26">
        <f>Prices!A252</f>
        <v>46304</v>
      </c>
      <c r="B252" s="40">
        <f>INDEX(Prices!$B252:$G252,1,Dashboard!$C$8)</f>
        <v>424.8</v>
      </c>
      <c r="C252" s="36">
        <f t="shared" si="12"/>
        <v>3.2571706368497821E-2</v>
      </c>
      <c r="D252" s="41">
        <f ca="1">AVERAGE(OFFSET(B252,1-MIN(Dashboard!$C$6,ROW()-1),0,MIN(Dashboard!$C$6,ROW()-1),1))</f>
        <v>430.28999999999996</v>
      </c>
      <c r="E252" s="41">
        <f ca="1">AVERAGE(OFFSET(B252,1-MIN(Dashboard!$C$7,ROW()-1),0,MIN(Dashboard!$C$7,ROW()-1),1))</f>
        <v>444.41199999999992</v>
      </c>
      <c r="F252" s="1">
        <f ca="1">IF(ROW()-1&gt;Dashboard!$C$7,IF(D251&gt;E251,1,0),0)</f>
        <v>0</v>
      </c>
      <c r="G252" s="36">
        <f t="shared" ca="1" si="13"/>
        <v>0</v>
      </c>
      <c r="H252" s="27">
        <f t="shared" si="14"/>
        <v>63.525399467541028</v>
      </c>
      <c r="I252" s="27">
        <f t="shared" ca="1" si="15"/>
        <v>91.426785086374466</v>
      </c>
      <c r="J252" s="1"/>
      <c r="K252" s="1"/>
    </row>
    <row r="253" spans="1:11" x14ac:dyDescent="0.3">
      <c r="A253" s="26">
        <f>Prices!A253</f>
        <v>46307</v>
      </c>
      <c r="B253" s="40">
        <f>INDEX(Prices!$B253:$G253,1,Dashboard!$C$8)</f>
        <v>425.8</v>
      </c>
      <c r="C253" s="36">
        <f t="shared" si="12"/>
        <v>2.3540489642184248E-3</v>
      </c>
      <c r="D253" s="41">
        <f ca="1">AVERAGE(OFFSET(B253,1-MIN(Dashboard!$C$6,ROW()-1),0,MIN(Dashboard!$C$6,ROW()-1),1))</f>
        <v>430.16</v>
      </c>
      <c r="E253" s="41">
        <f ca="1">AVERAGE(OFFSET(B253,1-MIN(Dashboard!$C$7,ROW()-1),0,MIN(Dashboard!$C$7,ROW()-1),1))</f>
        <v>443.42399999999992</v>
      </c>
      <c r="F253" s="1">
        <f ca="1">IF(ROW()-1&gt;Dashboard!$C$7,IF(D252&gt;E252,1,0),0)</f>
        <v>0</v>
      </c>
      <c r="G253" s="36">
        <f t="shared" ca="1" si="13"/>
        <v>0</v>
      </c>
      <c r="H253" s="27">
        <f t="shared" si="14"/>
        <v>63.674941368359157</v>
      </c>
      <c r="I253" s="27">
        <f t="shared" ca="1" si="15"/>
        <v>91.426785086374466</v>
      </c>
      <c r="J253" s="1"/>
      <c r="K253" s="1"/>
    </row>
    <row r="254" spans="1:11" x14ac:dyDescent="0.3">
      <c r="A254" s="26">
        <f>Prices!A254</f>
        <v>46308</v>
      </c>
      <c r="B254" s="40">
        <f>INDEX(Prices!$B254:$G254,1,Dashboard!$C$8)</f>
        <v>425.2</v>
      </c>
      <c r="C254" s="36">
        <f t="shared" si="12"/>
        <v>-1.4091122592767569E-3</v>
      </c>
      <c r="D254" s="41">
        <f ca="1">AVERAGE(OFFSET(B254,1-MIN(Dashboard!$C$6,ROW()-1),0,MIN(Dashboard!$C$6,ROW()-1),1))</f>
        <v>429.89</v>
      </c>
      <c r="E254" s="41">
        <f ca="1">AVERAGE(OFFSET(B254,1-MIN(Dashboard!$C$7,ROW()-1),0,MIN(Dashboard!$C$7,ROW()-1),1))</f>
        <v>442.12</v>
      </c>
      <c r="F254" s="1">
        <f ca="1">IF(ROW()-1&gt;Dashboard!$C$7,IF(D253&gt;E253,1,0),0)</f>
        <v>0</v>
      </c>
      <c r="G254" s="36">
        <f t="shared" ca="1" si="13"/>
        <v>0</v>
      </c>
      <c r="H254" s="27">
        <f t="shared" si="14"/>
        <v>63.585216227868273</v>
      </c>
      <c r="I254" s="27">
        <f t="shared" ca="1" si="15"/>
        <v>91.426785086374466</v>
      </c>
      <c r="J254" s="1"/>
      <c r="K254" s="1"/>
    </row>
    <row r="255" spans="1:11" x14ac:dyDescent="0.3">
      <c r="A255" s="26">
        <f>Prices!A255</f>
        <v>46309</v>
      </c>
      <c r="B255" s="40">
        <f>INDEX(Prices!$B255:$G255,1,Dashboard!$C$8)</f>
        <v>423.4</v>
      </c>
      <c r="C255" s="36">
        <f t="shared" si="12"/>
        <v>-4.2333019755409484E-3</v>
      </c>
      <c r="D255" s="41">
        <f ca="1">AVERAGE(OFFSET(B255,1-MIN(Dashboard!$C$6,ROW()-1),0,MIN(Dashboard!$C$6,ROW()-1),1))</f>
        <v>429.12</v>
      </c>
      <c r="E255" s="41">
        <f ca="1">AVERAGE(OFFSET(B255,1-MIN(Dashboard!$C$7,ROW()-1),0,MIN(Dashboard!$C$7,ROW()-1),1))</f>
        <v>440.83600000000001</v>
      </c>
      <c r="F255" s="1">
        <f ca="1">IF(ROW()-1&gt;Dashboard!$C$7,IF(D254&gt;E254,1,0),0)</f>
        <v>0</v>
      </c>
      <c r="G255" s="36">
        <f t="shared" ca="1" si="13"/>
        <v>0</v>
      </c>
      <c r="H255" s="27">
        <f t="shared" si="14"/>
        <v>63.316040806395641</v>
      </c>
      <c r="I255" s="27">
        <f t="shared" ca="1" si="15"/>
        <v>91.426785086374466</v>
      </c>
      <c r="J255" s="1"/>
      <c r="K255" s="1"/>
    </row>
    <row r="256" spans="1:11" x14ac:dyDescent="0.3">
      <c r="A256" s="26">
        <f>Prices!A256</f>
        <v>46310</v>
      </c>
      <c r="B256" s="40">
        <f>INDEX(Prices!$B256:$G256,1,Dashboard!$C$8)</f>
        <v>417.8</v>
      </c>
      <c r="C256" s="36">
        <f t="shared" si="12"/>
        <v>-1.3226263580538467E-2</v>
      </c>
      <c r="D256" s="41">
        <f ca="1">AVERAGE(OFFSET(B256,1-MIN(Dashboard!$C$6,ROW()-1),0,MIN(Dashboard!$C$6,ROW()-1),1))</f>
        <v>428.34</v>
      </c>
      <c r="E256" s="41">
        <f ca="1">AVERAGE(OFFSET(B256,1-MIN(Dashboard!$C$7,ROW()-1),0,MIN(Dashboard!$C$7,ROW()-1),1))</f>
        <v>439.34799999999996</v>
      </c>
      <c r="F256" s="1">
        <f ca="1">IF(ROW()-1&gt;Dashboard!$C$7,IF(D255&gt;E255,1,0),0)</f>
        <v>0</v>
      </c>
      <c r="G256" s="36">
        <f t="shared" ca="1" si="13"/>
        <v>0</v>
      </c>
      <c r="H256" s="27">
        <f t="shared" si="14"/>
        <v>62.47860616181412</v>
      </c>
      <c r="I256" s="27">
        <f t="shared" ca="1" si="15"/>
        <v>91.426785086374466</v>
      </c>
      <c r="J256" s="1"/>
      <c r="K256" s="1"/>
    </row>
    <row r="257" spans="1:11" x14ac:dyDescent="0.3">
      <c r="A257" s="26">
        <f>Prices!A257</f>
        <v>46311</v>
      </c>
      <c r="B257" s="40">
        <f>INDEX(Prices!$B257:$G257,1,Dashboard!$C$8)</f>
        <v>417.8</v>
      </c>
      <c r="C257" s="36">
        <f t="shared" si="12"/>
        <v>0</v>
      </c>
      <c r="D257" s="41">
        <f ca="1">AVERAGE(OFFSET(B257,1-MIN(Dashboard!$C$6,ROW()-1),0,MIN(Dashboard!$C$6,ROW()-1),1))</f>
        <v>427.93</v>
      </c>
      <c r="E257" s="41">
        <f ca="1">AVERAGE(OFFSET(B257,1-MIN(Dashboard!$C$7,ROW()-1),0,MIN(Dashboard!$C$7,ROW()-1),1))</f>
        <v>438.12</v>
      </c>
      <c r="F257" s="1">
        <f ca="1">IF(ROW()-1&gt;Dashboard!$C$7,IF(D256&gt;E256,1,0),0)</f>
        <v>0</v>
      </c>
      <c r="G257" s="36">
        <f t="shared" ca="1" si="13"/>
        <v>0</v>
      </c>
      <c r="H257" s="27">
        <f t="shared" si="14"/>
        <v>62.47860616181412</v>
      </c>
      <c r="I257" s="27">
        <f t="shared" ca="1" si="15"/>
        <v>91.426785086374466</v>
      </c>
      <c r="J257" s="1"/>
      <c r="K257" s="1"/>
    </row>
  </sheetData>
  <phoneticPr fontId="12" type="noConversion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README</vt:lpstr>
      <vt:lpstr>Dashboard</vt:lpstr>
      <vt:lpstr>Stats</vt:lpstr>
      <vt:lpstr>Correlation</vt:lpstr>
      <vt:lpstr>Monthly</vt:lpstr>
      <vt:lpstr>Prices</vt:lpstr>
      <vt:lpstr>Returns</vt:lpstr>
      <vt:lpstr>Drawdown</vt:lpstr>
      <vt:lpstr>Data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Asus</cp:lastModifiedBy>
  <cp:revision>1</cp:revision>
  <dcterms:created xsi:type="dcterms:W3CDTF">2026-10-20T10:33:59Z</dcterms:created>
  <dcterms:modified xsi:type="dcterms:W3CDTF">2026-10-20T10:45:37Z</dcterms:modified>
  <dc:language>en-US</dc:language>
</cp:coreProperties>
</file>